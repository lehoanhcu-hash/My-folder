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drawings/drawing10.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drawings/drawing11.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threadedComments/threadedComment11.xml" ContentType="application/vnd.ms-excel.threadedcomments+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ata\GĐ Tài chính\Cost Controlling\Costing Flow Chart\"/>
    </mc:Choice>
  </mc:AlternateContent>
  <xr:revisionPtr revIDLastSave="0" documentId="13_ncr:1_{C7A99C23-11D0-479C-87D3-A721489A4F3E}" xr6:coauthVersionLast="47" xr6:coauthVersionMax="47" xr10:uidLastSave="{00000000-0000-0000-0000-000000000000}"/>
  <bookViews>
    <workbookView xWindow="-110" yWindow="-110" windowWidth="19420" windowHeight="10300" firstSheet="7" activeTab="9" xr2:uid="{840C037F-8C86-46AD-AB84-25CA35BE36E3}"/>
  </bookViews>
  <sheets>
    <sheet name="Cảnh báo giá mua" sheetId="21" r:id="rId1"/>
    <sheet name="Sheet3" sheetId="26" r:id="rId2"/>
    <sheet name="BOM&amp;NRV" sheetId="20" r:id="rId3"/>
    <sheet name="GAP" sheetId="17" r:id="rId4"/>
    <sheet name="So sánh thiệt hại" sheetId="25" r:id="rId5"/>
    <sheet name="Giá mua Chai-Vảy" sheetId="10" r:id="rId6"/>
    <sheet name="Giá mua Chai-Vảy (Giá giảm)" sheetId="13" r:id="rId7"/>
    <sheet name="Hiệu suất" sheetId="18" r:id="rId8"/>
    <sheet name="H_Tỷ lệ HH&amp;PS" sheetId="19" r:id="rId9"/>
    <sheet name="H_Tỷ lệ HH&amp;PS (-PS)" sheetId="24" r:id="rId10"/>
    <sheet name="Chart" sheetId="27" r:id="rId11"/>
    <sheet name="Hảo_R&amp;D" sheetId="8" r:id="rId12"/>
    <sheet name="Hảo_R&amp;D (Vảy sạch)" sheetId="9" r:id="rId13"/>
    <sheet name="Hảo_R&amp;D (Vảy sạch) (-PS)" sheetId="22" r:id="rId14"/>
    <sheet name="Hảo_R&amp;D (Vảy sạch) (giảm giá)" sheetId="12" r:id="rId15"/>
    <sheet name="Hảo_R&amp;D (Hạt)" sheetId="11" r:id="rId16"/>
    <sheet name="Hảo_R&amp;D (Hạt) (full stage)-Chai" sheetId="14" r:id="rId17"/>
    <sheet name="Hảo_R&amp;D (Hạt) (full stage)-MN" sheetId="15" r:id="rId18"/>
    <sheet name="Hảo_R&amp;D (Hạt-Full stage-Mix)" sheetId="16" r:id="rId19"/>
    <sheet name="Phượng_QC" sheetId="6" r:id="rId20"/>
    <sheet name="01. ĐỊNH NGHĨA" sheetId="1"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Print_Area" localSheetId="9">'H_Tỷ lệ HH&amp;PS (-PS)'!$D$2:$AC$31</definedName>
    <definedName name="_xlnm.Print_Area" localSheetId="13">'Hảo_R&amp;D (Vảy sạch) (-PS)'!$S$1:$AF$33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I6" i="24" l="1"/>
  <c r="CA6" i="19"/>
  <c r="EC13" i="24" l="1"/>
  <c r="EC12" i="24"/>
  <c r="EC11" i="24"/>
  <c r="EC10" i="24"/>
  <c r="EC5" i="24"/>
  <c r="EC4" i="24"/>
  <c r="BG2" i="22" l="1"/>
  <c r="FS48" i="24" l="1"/>
  <c r="FS45" i="24"/>
  <c r="FS40" i="24"/>
  <c r="FS41" i="24" s="1"/>
  <c r="FS38" i="24"/>
  <c r="FS36" i="24"/>
  <c r="FS33" i="24"/>
  <c r="FS31" i="24"/>
  <c r="FS29" i="24"/>
  <c r="FS26" i="24"/>
  <c r="FS24" i="24"/>
  <c r="FS20" i="24"/>
  <c r="FS18" i="24"/>
  <c r="FS16" i="24"/>
  <c r="FS7" i="24"/>
  <c r="FS9" i="24"/>
  <c r="FS11" i="24"/>
  <c r="FS12" i="24"/>
  <c r="FS10" i="24"/>
  <c r="FS8" i="24"/>
  <c r="FS6" i="24"/>
  <c r="FS42" i="24" l="1"/>
  <c r="FS13" i="24"/>
  <c r="FS43" i="24" l="1"/>
  <c r="I126" i="27" l="1"/>
  <c r="I127" i="27" s="1"/>
  <c r="I128" i="27" s="1"/>
  <c r="I129" i="27" s="1"/>
  <c r="I130" i="27" s="1"/>
  <c r="I131" i="27" s="1"/>
  <c r="I132" i="27" s="1"/>
  <c r="I81" i="27"/>
  <c r="I82" i="27" s="1"/>
  <c r="I83" i="27" s="1"/>
  <c r="I84" i="27" s="1"/>
  <c r="I85" i="27" s="1"/>
  <c r="I86" i="27" s="1"/>
  <c r="I87" i="27" s="1"/>
  <c r="I45" i="27"/>
  <c r="I46" i="27" s="1"/>
  <c r="I47" i="27" s="1"/>
  <c r="I48" i="27" s="1"/>
  <c r="I49" i="27" s="1"/>
  <c r="I50" i="27" s="1"/>
  <c r="I51" i="27" s="1"/>
  <c r="I6" i="27"/>
  <c r="I7" i="27" s="1"/>
  <c r="I8" i="27" s="1"/>
  <c r="I9" i="27" s="1"/>
  <c r="I10" i="27" s="1"/>
  <c r="I11" i="27" s="1"/>
  <c r="I12" i="27" s="1"/>
  <c r="FC48" i="24"/>
  <c r="FC45" i="24"/>
  <c r="FC43" i="24"/>
  <c r="FC42" i="24"/>
  <c r="FC41" i="24"/>
  <c r="FC40" i="24"/>
  <c r="FC38" i="24"/>
  <c r="FC36" i="24"/>
  <c r="FC33" i="24"/>
  <c r="FC31" i="24"/>
  <c r="FC29" i="24"/>
  <c r="FC26" i="24"/>
  <c r="FM51" i="24"/>
  <c r="FL51" i="24"/>
  <c r="FK51" i="24"/>
  <c r="FJ51" i="24"/>
  <c r="FI51" i="24"/>
  <c r="FM50" i="24"/>
  <c r="FL50" i="24"/>
  <c r="FK50" i="24"/>
  <c r="FJ50" i="24"/>
  <c r="FI50" i="24"/>
  <c r="FJ48" i="24"/>
  <c r="FJ45" i="24"/>
  <c r="FJ43" i="24"/>
  <c r="FJ42" i="24"/>
  <c r="FJ41" i="24"/>
  <c r="FJ40" i="24"/>
  <c r="FJ38" i="24"/>
  <c r="FJ36" i="24"/>
  <c r="FJ33" i="24"/>
  <c r="FJ31" i="24"/>
  <c r="FJ29" i="24"/>
  <c r="FJ26" i="24"/>
  <c r="FN50" i="24" l="1"/>
  <c r="FN51" i="24"/>
  <c r="EK5" i="24" l="1"/>
  <c r="EK6" i="24" s="1"/>
  <c r="EK7" i="24" s="1"/>
  <c r="EJ5" i="24"/>
  <c r="EJ6" i="24" s="1"/>
  <c r="EJ7" i="24" s="1"/>
  <c r="FL7" i="24" s="1"/>
  <c r="EI5" i="24"/>
  <c r="EI6" i="24" s="1"/>
  <c r="EI7" i="24" s="1"/>
  <c r="EL4" i="24"/>
  <c r="EL5" i="24" l="1"/>
  <c r="FE7" i="24"/>
  <c r="FL6" i="24"/>
  <c r="FE6" i="24"/>
  <c r="K8" i="27" s="1"/>
  <c r="CG2" i="22" l="1"/>
  <c r="EO1" i="24"/>
  <c r="EN2" i="24"/>
  <c r="DQ19" i="24" l="1"/>
  <c r="CA2" i="22" l="1"/>
  <c r="CA3" i="24" l="1"/>
  <c r="ES51" i="24"/>
  <c r="ES50" i="24"/>
  <c r="ET13" i="24" l="1"/>
  <c r="FF13" i="24" s="1"/>
  <c r="ET12" i="24"/>
  <c r="FF12" i="24" s="1"/>
  <c r="ET11" i="24"/>
  <c r="ET10" i="24"/>
  <c r="ET9" i="24"/>
  <c r="FF9" i="24" s="1"/>
  <c r="ET8" i="24"/>
  <c r="FF8" i="24" s="1"/>
  <c r="ET7" i="24"/>
  <c r="FF7" i="24" s="1"/>
  <c r="EY13" i="24"/>
  <c r="FM13" i="24" s="1"/>
  <c r="EY12" i="24"/>
  <c r="FM12" i="24" s="1"/>
  <c r="EY11" i="24"/>
  <c r="EY10" i="24"/>
  <c r="EY9" i="24"/>
  <c r="FM9" i="24" s="1"/>
  <c r="EY8" i="24"/>
  <c r="FM8" i="24" s="1"/>
  <c r="EY7" i="24"/>
  <c r="FM7" i="24" s="1"/>
  <c r="EY6" i="24"/>
  <c r="FM6" i="24" s="1"/>
  <c r="ET6" i="24"/>
  <c r="CE10" i="22"/>
  <c r="K48" i="27" l="1"/>
  <c r="K129" i="27"/>
  <c r="EY2" i="24"/>
  <c r="FM11" i="24"/>
  <c r="FM2" i="24" s="1"/>
  <c r="ET1" i="24"/>
  <c r="FF10" i="24"/>
  <c r="ET2" i="24"/>
  <c r="FF11" i="24"/>
  <c r="EY1" i="24"/>
  <c r="FM10" i="24"/>
  <c r="FM1" i="24" s="1"/>
  <c r="FF6" i="24"/>
  <c r="EW51" i="24"/>
  <c r="ER51" i="24"/>
  <c r="EW50" i="24"/>
  <c r="ER50" i="24"/>
  <c r="EO48" i="24"/>
  <c r="EO38" i="24"/>
  <c r="EO36" i="24"/>
  <c r="EO33" i="24"/>
  <c r="EO31" i="24"/>
  <c r="EO29" i="24"/>
  <c r="EO24" i="24"/>
  <c r="EO26" i="24"/>
  <c r="EO20" i="24"/>
  <c r="EO18" i="24"/>
  <c r="EO16" i="24"/>
  <c r="EO40" i="24" l="1"/>
  <c r="EY38" i="24"/>
  <c r="FM38" i="24" s="1"/>
  <c r="ET38" i="24"/>
  <c r="FF38" i="24" s="1"/>
  <c r="EY48" i="24"/>
  <c r="FM48" i="24" s="1"/>
  <c r="ET48" i="24"/>
  <c r="FF48" i="24" s="1"/>
  <c r="ET18" i="24"/>
  <c r="FF18" i="24" s="1"/>
  <c r="EY18" i="24"/>
  <c r="FM18" i="24" s="1"/>
  <c r="K9" i="27"/>
  <c r="ET20" i="24"/>
  <c r="FF20" i="24" s="1"/>
  <c r="EY20" i="24"/>
  <c r="FM20" i="24" s="1"/>
  <c r="EY24" i="24"/>
  <c r="FM24" i="24" s="1"/>
  <c r="ET24" i="24"/>
  <c r="FF24" i="24" s="1"/>
  <c r="ET31" i="24"/>
  <c r="FF31" i="24" s="1"/>
  <c r="EY31" i="24"/>
  <c r="FM31" i="24" s="1"/>
  <c r="ET16" i="24"/>
  <c r="FF16" i="24" s="1"/>
  <c r="EY16" i="24"/>
  <c r="FM16" i="24" s="1"/>
  <c r="K130" i="27"/>
  <c r="K131" i="27"/>
  <c r="ET26" i="24"/>
  <c r="FF26" i="24" s="1"/>
  <c r="EY26" i="24"/>
  <c r="FM26" i="24" s="1"/>
  <c r="ET29" i="24"/>
  <c r="FF29" i="24" s="1"/>
  <c r="EY29" i="24"/>
  <c r="FM29" i="24" s="1"/>
  <c r="FF2" i="24"/>
  <c r="K49" i="27"/>
  <c r="ET33" i="24"/>
  <c r="FF33" i="24" s="1"/>
  <c r="EY33" i="24"/>
  <c r="FM33" i="24" s="1"/>
  <c r="FF1" i="24"/>
  <c r="K84" i="27"/>
  <c r="EY36" i="24"/>
  <c r="FM36" i="24" s="1"/>
  <c r="ET36" i="24"/>
  <c r="FF36" i="24" s="1"/>
  <c r="EO50" i="24"/>
  <c r="EO41" i="24"/>
  <c r="EO42" i="24"/>
  <c r="K10" i="27" l="1"/>
  <c r="K85" i="27"/>
  <c r="K86" i="27"/>
  <c r="K50" i="27"/>
  <c r="ET41" i="24"/>
  <c r="FF41" i="24" s="1"/>
  <c r="EY41" i="24"/>
  <c r="FM41" i="24" s="1"/>
  <c r="ET42" i="24"/>
  <c r="FF42" i="24" s="1"/>
  <c r="EY42" i="24"/>
  <c r="FM42" i="24" s="1"/>
  <c r="EY40" i="24"/>
  <c r="FM40" i="24" s="1"/>
  <c r="ET40" i="24"/>
  <c r="FF40" i="24" s="1"/>
  <c r="FB50" i="24"/>
  <c r="EO43" i="24"/>
  <c r="EO51" i="24"/>
  <c r="EP50" i="24"/>
  <c r="EX50" i="24"/>
  <c r="EZ50" i="24" s="1"/>
  <c r="EU50" i="24"/>
  <c r="EO45" i="24" l="1"/>
  <c r="EY43" i="24"/>
  <c r="FM43" i="24" s="1"/>
  <c r="ET43" i="24"/>
  <c r="FF43" i="24" s="1"/>
  <c r="K11" i="27"/>
  <c r="FB51" i="24"/>
  <c r="FD50" i="24"/>
  <c r="FG50" i="24" s="1"/>
  <c r="EX51" i="24"/>
  <c r="EZ51" i="24" s="1"/>
  <c r="EU51" i="24"/>
  <c r="EP51" i="24"/>
  <c r="EY45" i="24" l="1"/>
  <c r="FM45" i="24" s="1"/>
  <c r="ET45" i="24"/>
  <c r="FF45" i="24" s="1"/>
  <c r="FD51" i="24"/>
  <c r="FG51" i="24" s="1"/>
  <c r="AA8" i="8"/>
  <c r="V3" i="14" l="1"/>
  <c r="AJ5" i="24" l="1"/>
  <c r="DI3" i="24"/>
  <c r="DD3" i="24"/>
  <c r="DC3" i="24"/>
  <c r="DM2" i="24"/>
  <c r="BI17" i="22" l="1"/>
  <c r="EO2" i="24"/>
  <c r="DW3" i="24"/>
  <c r="EA3" i="24"/>
  <c r="DV3" i="24"/>
  <c r="DQ6" i="24"/>
  <c r="DQ8" i="24" s="1"/>
  <c r="DQ10" i="24" s="1"/>
  <c r="DQ12" i="24" s="1"/>
  <c r="DS13" i="24"/>
  <c r="DS11" i="24"/>
  <c r="DS9" i="24"/>
  <c r="DS7" i="24"/>
  <c r="BB7" i="24"/>
  <c r="CR3" i="24"/>
  <c r="CL3" i="24"/>
  <c r="CE3" i="24"/>
  <c r="BT3" i="24"/>
  <c r="BU3" i="24"/>
  <c r="BV3" i="24"/>
  <c r="Q41" i="24"/>
  <c r="BT8" i="24" s="1"/>
  <c r="Z70" i="24"/>
  <c r="S123" i="24"/>
  <c r="BU14" i="24" s="1"/>
  <c r="R123" i="24"/>
  <c r="BV14" i="24" s="1"/>
  <c r="Q123" i="24"/>
  <c r="BT14" i="24" s="1"/>
  <c r="S94" i="24"/>
  <c r="BU12" i="24" s="1"/>
  <c r="R94" i="24"/>
  <c r="BV12" i="24" s="1"/>
  <c r="Q94" i="24"/>
  <c r="BT12" i="24" s="1"/>
  <c r="S69" i="24"/>
  <c r="R69" i="24"/>
  <c r="BV10" i="24" s="1"/>
  <c r="Q69" i="24"/>
  <c r="BT10" i="24" s="1"/>
  <c r="S41" i="24"/>
  <c r="BU8" i="24" s="1"/>
  <c r="R41" i="24"/>
  <c r="BV8" i="24" s="1"/>
  <c r="S5" i="24"/>
  <c r="BU6" i="24" s="1"/>
  <c r="R5" i="24"/>
  <c r="BV6" i="24" s="1"/>
  <c r="Q5" i="24"/>
  <c r="BT6" i="24" s="1"/>
  <c r="L28" i="13"/>
  <c r="K28" i="13"/>
  <c r="L27" i="13"/>
  <c r="K27" i="13"/>
  <c r="L26" i="13"/>
  <c r="K26" i="13"/>
  <c r="L25" i="13"/>
  <c r="K25" i="13"/>
  <c r="L24" i="13"/>
  <c r="K24" i="13"/>
  <c r="L23" i="13"/>
  <c r="K23" i="13"/>
  <c r="I22" i="13"/>
  <c r="J22" i="13"/>
  <c r="N28" i="13"/>
  <c r="J28" i="13"/>
  <c r="I28" i="13"/>
  <c r="N27" i="13"/>
  <c r="J27" i="13"/>
  <c r="I27" i="13"/>
  <c r="N26" i="13"/>
  <c r="J26" i="13"/>
  <c r="I26" i="13"/>
  <c r="N25" i="13"/>
  <c r="J25" i="13"/>
  <c r="I25" i="13"/>
  <c r="N24" i="13"/>
  <c r="J24" i="13"/>
  <c r="I24" i="13"/>
  <c r="N23" i="13"/>
  <c r="J23" i="13"/>
  <c r="I23" i="13"/>
  <c r="N35" i="10"/>
  <c r="N40" i="10"/>
  <c r="N39" i="10"/>
  <c r="N38" i="10"/>
  <c r="N36" i="10"/>
  <c r="K35" i="10"/>
  <c r="J35" i="10"/>
  <c r="I36" i="10"/>
  <c r="I35" i="10"/>
  <c r="O40" i="13"/>
  <c r="O39" i="13"/>
  <c r="O38" i="13"/>
  <c r="O37" i="13"/>
  <c r="O36" i="13"/>
  <c r="O35" i="13"/>
  <c r="N37" i="10"/>
  <c r="L42" i="10"/>
  <c r="M40" i="10"/>
  <c r="M39" i="10"/>
  <c r="M38" i="10"/>
  <c r="M37" i="10"/>
  <c r="M36" i="10"/>
  <c r="M35" i="10"/>
  <c r="K40" i="10"/>
  <c r="K39" i="10"/>
  <c r="K38" i="10"/>
  <c r="K37" i="10"/>
  <c r="K36" i="10"/>
  <c r="J40" i="10"/>
  <c r="J39" i="10"/>
  <c r="J42" i="10" s="1"/>
  <c r="J38" i="10"/>
  <c r="J37" i="10"/>
  <c r="J36" i="10"/>
  <c r="I42" i="10"/>
  <c r="M7" i="26"/>
  <c r="M5" i="26"/>
  <c r="N27" i="20"/>
  <c r="F27" i="20"/>
  <c r="F31" i="20"/>
  <c r="F26" i="20"/>
  <c r="N7" i="20"/>
  <c r="M7" i="20"/>
  <c r="N14" i="13"/>
  <c r="L14" i="13"/>
  <c r="M14" i="13"/>
  <c r="P14" i="13"/>
  <c r="C21" i="10"/>
  <c r="C22" i="10"/>
  <c r="O21" i="13"/>
  <c r="O22" i="13"/>
  <c r="C10" i="13"/>
  <c r="BH12" i="24"/>
  <c r="BH14" i="24"/>
  <c r="BH10" i="24"/>
  <c r="BH8" i="24"/>
  <c r="BH6" i="24"/>
  <c r="O94" i="24"/>
  <c r="O69" i="24"/>
  <c r="O41" i="24"/>
  <c r="O5" i="24"/>
  <c r="BX9" i="24"/>
  <c r="EJ2" i="24"/>
  <c r="EI9" i="24"/>
  <c r="EK2" i="24" l="1"/>
  <c r="CM3" i="24"/>
  <c r="CB3" i="24"/>
  <c r="EI2" i="24"/>
  <c r="EL2" i="24" s="1"/>
  <c r="Z68" i="24"/>
  <c r="CA10" i="24" s="1"/>
  <c r="CA11" i="24" s="1"/>
  <c r="AB68" i="24"/>
  <c r="CB10" i="24" s="1"/>
  <c r="CB11" i="24" s="1"/>
  <c r="BU10" i="24"/>
  <c r="AA68" i="24"/>
  <c r="O123" i="24"/>
  <c r="CE10" i="24" l="1"/>
  <c r="CE11" i="24" s="1"/>
  <c r="EJ13" i="24"/>
  <c r="EI13" i="24"/>
  <c r="EK11" i="24"/>
  <c r="EJ11" i="24"/>
  <c r="EK9" i="24"/>
  <c r="EJ9" i="24"/>
  <c r="EL7" i="24"/>
  <c r="EC17" i="24"/>
  <c r="EB7" i="24"/>
  <c r="CO7" i="24"/>
  <c r="DF7" i="24" s="1"/>
  <c r="CC7" i="24"/>
  <c r="DF5" i="24" l="1"/>
  <c r="DF13" i="24"/>
  <c r="DF9" i="24"/>
  <c r="DF11" i="24"/>
  <c r="DF27" i="24"/>
  <c r="FL9" i="24"/>
  <c r="FE9" i="24"/>
  <c r="EB9" i="24"/>
  <c r="EB17" i="24"/>
  <c r="CC15" i="24"/>
  <c r="CO11" i="24"/>
  <c r="CO15" i="24" s="1"/>
  <c r="EB2" i="24"/>
  <c r="EB5" i="24"/>
  <c r="EC2" i="24"/>
  <c r="CC11" i="24"/>
  <c r="CC5" i="24"/>
  <c r="CO5" i="24"/>
  <c r="CC9" i="24"/>
  <c r="CO9" i="24"/>
  <c r="EK13" i="24"/>
  <c r="FE13" i="24" s="1"/>
  <c r="EI11" i="24"/>
  <c r="CO13" i="24" l="1"/>
  <c r="DF18" i="24"/>
  <c r="DF29" i="24"/>
  <c r="DF31" i="24"/>
  <c r="DF2" i="24"/>
  <c r="FL13" i="24"/>
  <c r="FL11" i="24"/>
  <c r="FE11" i="24"/>
  <c r="EL13" i="24"/>
  <c r="DE45" i="24"/>
  <c r="DE27" i="24"/>
  <c r="DE29" i="24" s="1"/>
  <c r="DE49" i="24"/>
  <c r="DE47" i="24"/>
  <c r="EB11" i="24"/>
  <c r="EB13" i="24" s="1"/>
  <c r="CO2" i="24"/>
  <c r="CC2" i="24"/>
  <c r="CC13" i="24"/>
  <c r="EL9" i="24"/>
  <c r="EL11" i="24"/>
  <c r="DF20" i="24" l="1"/>
  <c r="DF22" i="24"/>
  <c r="DF45" i="24"/>
  <c r="DF36" i="24"/>
  <c r="DE31" i="24"/>
  <c r="FE2" i="24"/>
  <c r="FL2" i="24"/>
  <c r="DE36" i="24"/>
  <c r="DE40" i="24" s="1"/>
  <c r="DE38" i="24"/>
  <c r="V3" i="16"/>
  <c r="DF40" i="24" l="1"/>
  <c r="DF38" i="24"/>
  <c r="DF49" i="24"/>
  <c r="DF47" i="24"/>
  <c r="I12" i="18"/>
  <c r="H12" i="18"/>
  <c r="G12" i="18"/>
  <c r="F12" i="18"/>
  <c r="E12" i="18"/>
  <c r="I11" i="18"/>
  <c r="I18" i="18" s="1"/>
  <c r="H11" i="18"/>
  <c r="H18" i="18" s="1"/>
  <c r="G11" i="18"/>
  <c r="G18" i="18" s="1"/>
  <c r="F11" i="18"/>
  <c r="F18" i="18" s="1"/>
  <c r="E11" i="18"/>
  <c r="E18" i="18" s="1"/>
  <c r="I8" i="18"/>
  <c r="H8" i="18"/>
  <c r="G8" i="18"/>
  <c r="F8" i="18"/>
  <c r="E8" i="18"/>
  <c r="I7" i="18"/>
  <c r="H7" i="18"/>
  <c r="G7" i="18"/>
  <c r="F7" i="18"/>
  <c r="E7" i="18"/>
  <c r="E14" i="18" s="1"/>
  <c r="I6" i="18"/>
  <c r="I13" i="18" s="1"/>
  <c r="H6" i="18"/>
  <c r="H13" i="18" s="1"/>
  <c r="G6" i="18"/>
  <c r="G13" i="18" s="1"/>
  <c r="F6" i="18"/>
  <c r="F13" i="18" s="1"/>
  <c r="E6" i="18"/>
  <c r="I10" i="18"/>
  <c r="H10" i="18"/>
  <c r="H17" i="18" s="1"/>
  <c r="G10" i="18"/>
  <c r="G17" i="18" s="1"/>
  <c r="F10" i="18"/>
  <c r="E10" i="18"/>
  <c r="I17" i="18"/>
  <c r="F17" i="18"/>
  <c r="E17" i="18"/>
  <c r="I16" i="18"/>
  <c r="F16" i="18"/>
  <c r="E16" i="18"/>
  <c r="I15" i="18"/>
  <c r="H15" i="18"/>
  <c r="G15" i="18"/>
  <c r="F15" i="18"/>
  <c r="E15" i="18"/>
  <c r="I14" i="18"/>
  <c r="H14" i="18"/>
  <c r="G14" i="18"/>
  <c r="F14" i="18"/>
  <c r="E13" i="18"/>
  <c r="D12" i="18"/>
  <c r="D11" i="18"/>
  <c r="DM2" i="22"/>
  <c r="DN2" i="22"/>
  <c r="DJ2" i="22"/>
  <c r="DM8" i="22"/>
  <c r="DN8" i="22" s="1"/>
  <c r="DL8" i="22"/>
  <c r="DJ1" i="22"/>
  <c r="DK1" i="22"/>
  <c r="DL2" i="22"/>
  <c r="DJ3" i="22"/>
  <c r="DL3" i="22"/>
  <c r="DJ4" i="22"/>
  <c r="DM4" i="22"/>
  <c r="DN4" i="22" s="1"/>
  <c r="DJ5" i="22"/>
  <c r="DL5" i="22"/>
  <c r="DJ6" i="22"/>
  <c r="DL6" i="22"/>
  <c r="DM6" i="22" s="1"/>
  <c r="DN6" i="22" s="1"/>
  <c r="DJ7" i="22"/>
  <c r="DL7" i="22"/>
  <c r="DM7" i="22"/>
  <c r="DN7" i="22"/>
  <c r="DJ8" i="22"/>
  <c r="DJ9" i="22"/>
  <c r="DL9" i="22"/>
  <c r="DD1" i="22"/>
  <c r="G16" i="18" l="1"/>
  <c r="H16" i="18"/>
  <c r="DM9" i="22"/>
  <c r="DN9" i="22" s="1"/>
  <c r="DM3" i="22"/>
  <c r="DN3" i="22" s="1"/>
  <c r="DM5" i="22"/>
  <c r="DN5" i="22" s="1"/>
  <c r="BZ9" i="22" l="1"/>
  <c r="CA9" i="22" s="1"/>
  <c r="BZ8" i="22"/>
  <c r="CA8" i="22" s="1"/>
  <c r="BZ7" i="22"/>
  <c r="CA7" i="22" s="1"/>
  <c r="BZ6" i="22"/>
  <c r="CA6" i="22" s="1"/>
  <c r="BZ5" i="22"/>
  <c r="CA5" i="22" s="1"/>
  <c r="BZ4" i="22"/>
  <c r="CA4" i="22" s="1"/>
  <c r="BZ3" i="22"/>
  <c r="BZ2" i="22"/>
  <c r="BZ10" i="22" l="1"/>
  <c r="BY10" i="22"/>
  <c r="BY4" i="22"/>
  <c r="BY3" i="22"/>
  <c r="BY5" i="22"/>
  <c r="BY6" i="22"/>
  <c r="BY7" i="22"/>
  <c r="BY8" i="22"/>
  <c r="BY9" i="22"/>
  <c r="CA3" i="22"/>
  <c r="BY2" i="22"/>
  <c r="CA10" i="22" l="1"/>
  <c r="DD9" i="22" l="1"/>
  <c r="DD8" i="22"/>
  <c r="DD7" i="22"/>
  <c r="DD6" i="22"/>
  <c r="DD5" i="22"/>
  <c r="DD4" i="22"/>
  <c r="DD3" i="22"/>
  <c r="DD2" i="22"/>
  <c r="BK12" i="24"/>
  <c r="CY39" i="24" l="1"/>
  <c r="CY37" i="24"/>
  <c r="CY35" i="24"/>
  <c r="CH12" i="24"/>
  <c r="BW12" i="24"/>
  <c r="BB398" i="24"/>
  <c r="BB396" i="24"/>
  <c r="BB394" i="24"/>
  <c r="BB382" i="24"/>
  <c r="BB380" i="24"/>
  <c r="BB378" i="24"/>
  <c r="BB365" i="24"/>
  <c r="BB363" i="24"/>
  <c r="BB361" i="24"/>
  <c r="BB206" i="24"/>
  <c r="BB184" i="24"/>
  <c r="BB138" i="24"/>
  <c r="BB162" i="24"/>
  <c r="BB348" i="24"/>
  <c r="BB346" i="24"/>
  <c r="BB344" i="24"/>
  <c r="BB331" i="24"/>
  <c r="BB329" i="24"/>
  <c r="BB327" i="24"/>
  <c r="BB315" i="24"/>
  <c r="BB313" i="24"/>
  <c r="BB311" i="24"/>
  <c r="BB300" i="24"/>
  <c r="BB298" i="24"/>
  <c r="BB296" i="24"/>
  <c r="BB285" i="24"/>
  <c r="BB283" i="24"/>
  <c r="BB281" i="24"/>
  <c r="BB236" i="24"/>
  <c r="BB234" i="24"/>
  <c r="BB232" i="24"/>
  <c r="BB251" i="24"/>
  <c r="BB249" i="24"/>
  <c r="BB247" i="24"/>
  <c r="BB268" i="24"/>
  <c r="BB266" i="24"/>
  <c r="BB264" i="24"/>
  <c r="BB220" i="24"/>
  <c r="BB218" i="24"/>
  <c r="BB216" i="24"/>
  <c r="BB204" i="24"/>
  <c r="BB202" i="24"/>
  <c r="BB200" i="24"/>
  <c r="BB182" i="24"/>
  <c r="BB180" i="24"/>
  <c r="BB178" i="24"/>
  <c r="BB160" i="24"/>
  <c r="BB158" i="24"/>
  <c r="BB156" i="24"/>
  <c r="BB136" i="24"/>
  <c r="BB134" i="24"/>
  <c r="BB132" i="24"/>
  <c r="BB116" i="24"/>
  <c r="BB114" i="24"/>
  <c r="BB112" i="24"/>
  <c r="BB98" i="24"/>
  <c r="BB96" i="24"/>
  <c r="BB94" i="24"/>
  <c r="BB80" i="24"/>
  <c r="BB78" i="24"/>
  <c r="BB76" i="24"/>
  <c r="BB61" i="24"/>
  <c r="BB59" i="24"/>
  <c r="BB57" i="24"/>
  <c r="BB39" i="24"/>
  <c r="BB37" i="24"/>
  <c r="BB35" i="24"/>
  <c r="DZ17" i="24" s="1"/>
  <c r="BB22" i="24"/>
  <c r="BB20" i="24"/>
  <c r="BB18" i="24"/>
  <c r="CS4" i="22"/>
  <c r="BB17" i="24" l="1"/>
  <c r="DZ6" i="24" s="1"/>
  <c r="BB231" i="24"/>
  <c r="BB326" i="24"/>
  <c r="BB75" i="24"/>
  <c r="BB177" i="24"/>
  <c r="BB280" i="24"/>
  <c r="BB34" i="24"/>
  <c r="DZ16" i="24" s="1"/>
  <c r="BB310" i="24"/>
  <c r="BB111" i="24"/>
  <c r="BB199" i="24"/>
  <c r="BB246" i="24"/>
  <c r="BB215" i="24"/>
  <c r="DZ20" i="24" s="1"/>
  <c r="BB131" i="24"/>
  <c r="BB343" i="24"/>
  <c r="BB295" i="24"/>
  <c r="BB377" i="24"/>
  <c r="BB263" i="24"/>
  <c r="BB93" i="24"/>
  <c r="BB393" i="24"/>
  <c r="BB360" i="24"/>
  <c r="BB155" i="24"/>
  <c r="BB56" i="24"/>
  <c r="DZ24" i="24" l="1"/>
  <c r="DZ18" i="24"/>
  <c r="BA290" i="24"/>
  <c r="BA274" i="24"/>
  <c r="AQ9" i="18" s="1"/>
  <c r="E22" i="10" l="1"/>
  <c r="E21" i="10"/>
  <c r="BB388" i="24"/>
  <c r="BA387" i="24"/>
  <c r="BD387" i="24" s="1"/>
  <c r="BC386" i="24"/>
  <c r="BB372" i="24"/>
  <c r="BA371" i="24"/>
  <c r="BC370" i="24"/>
  <c r="BB355" i="24"/>
  <c r="BA354" i="24"/>
  <c r="BD354" i="24" s="1"/>
  <c r="BC353" i="24"/>
  <c r="BB338" i="24"/>
  <c r="BA337" i="24"/>
  <c r="BC336" i="24"/>
  <c r="BB321" i="24"/>
  <c r="BA320" i="24"/>
  <c r="BD320" i="24" s="1"/>
  <c r="BC319" i="24"/>
  <c r="BB306" i="24"/>
  <c r="BA305" i="24"/>
  <c r="BC304" i="24"/>
  <c r="BC289" i="24"/>
  <c r="BB275" i="24"/>
  <c r="BC273" i="24"/>
  <c r="BB258" i="24"/>
  <c r="BA257" i="24"/>
  <c r="BC256" i="24"/>
  <c r="BA145" i="24"/>
  <c r="BB192" i="24"/>
  <c r="BB190" i="24"/>
  <c r="BA189" i="24"/>
  <c r="BC188" i="24"/>
  <c r="BB170" i="24"/>
  <c r="BB168" i="24"/>
  <c r="BA167" i="24"/>
  <c r="BD167" i="24" s="1"/>
  <c r="BC166" i="24"/>
  <c r="BA65" i="24"/>
  <c r="BC64" i="24"/>
  <c r="BA17" i="24"/>
  <c r="AG164" i="24"/>
  <c r="AG162" i="24"/>
  <c r="AG160" i="24"/>
  <c r="AI6" i="24"/>
  <c r="AH20" i="24"/>
  <c r="AL15" i="24"/>
  <c r="C21" i="13"/>
  <c r="N9" i="18"/>
  <c r="N10" i="18" s="1"/>
  <c r="AR10" i="18"/>
  <c r="AP10" i="18"/>
  <c r="AN10" i="18"/>
  <c r="AL10" i="18"/>
  <c r="AJ10" i="18"/>
  <c r="AR8" i="18"/>
  <c r="AP8" i="18"/>
  <c r="AN8" i="18"/>
  <c r="AL8" i="18"/>
  <c r="AJ8" i="18"/>
  <c r="AR7" i="18"/>
  <c r="AP7" i="18"/>
  <c r="AN7" i="18"/>
  <c r="AL7" i="18"/>
  <c r="AJ7" i="18"/>
  <c r="AR6" i="18"/>
  <c r="AP6" i="18"/>
  <c r="AN6" i="18"/>
  <c r="AL6" i="18"/>
  <c r="AJ6" i="18"/>
  <c r="D7" i="18"/>
  <c r="BA6" i="24"/>
  <c r="BA104" i="24"/>
  <c r="AM9" i="18" s="1"/>
  <c r="AI9" i="18" l="1"/>
  <c r="DS5" i="24"/>
  <c r="BD337" i="24"/>
  <c r="AW9" i="18"/>
  <c r="O10" i="18"/>
  <c r="N11" i="18"/>
  <c r="BD305" i="24"/>
  <c r="AU9" i="18"/>
  <c r="AS9" i="18"/>
  <c r="D8" i="18"/>
  <c r="BD371" i="24"/>
  <c r="BD290" i="24"/>
  <c r="BD274" i="24"/>
  <c r="BD257" i="24"/>
  <c r="O9" i="18"/>
  <c r="N8" i="18"/>
  <c r="G31" i="26"/>
  <c r="D30" i="26"/>
  <c r="D29" i="26"/>
  <c r="O28" i="26"/>
  <c r="D28" i="26"/>
  <c r="F28" i="26" s="1"/>
  <c r="H28" i="26" s="1"/>
  <c r="D27" i="26"/>
  <c r="G26" i="26"/>
  <c r="G21" i="26"/>
  <c r="E21" i="26"/>
  <c r="D21" i="26"/>
  <c r="Q20" i="26"/>
  <c r="R20" i="26" s="1"/>
  <c r="S20" i="26" s="1"/>
  <c r="T20" i="26" s="1"/>
  <c r="P20" i="26"/>
  <c r="D20" i="26"/>
  <c r="Q19" i="26"/>
  <c r="P19" i="26"/>
  <c r="R19" i="26" s="1"/>
  <c r="S19" i="26" s="1"/>
  <c r="T19" i="26" s="1"/>
  <c r="Q18" i="26"/>
  <c r="P18" i="26"/>
  <c r="R18" i="26" s="1"/>
  <c r="S18" i="26" s="1"/>
  <c r="T18" i="26" s="1"/>
  <c r="T17" i="26"/>
  <c r="S17" i="26"/>
  <c r="Q17" i="26"/>
  <c r="R17" i="26" s="1"/>
  <c r="P17" i="26"/>
  <c r="Z16" i="26"/>
  <c r="Y16" i="26"/>
  <c r="X16" i="26"/>
  <c r="W16" i="26"/>
  <c r="V16" i="26"/>
  <c r="U16" i="26"/>
  <c r="Q16" i="26"/>
  <c r="R16" i="26" s="1"/>
  <c r="S16" i="26" s="1"/>
  <c r="T16" i="26" s="1"/>
  <c r="P16" i="26"/>
  <c r="Q15" i="26"/>
  <c r="P15" i="26"/>
  <c r="R15" i="26" s="1"/>
  <c r="S15" i="26" s="1"/>
  <c r="T15" i="26" s="1"/>
  <c r="AE15" i="26" s="1"/>
  <c r="Z14" i="26"/>
  <c r="Y14" i="26"/>
  <c r="X14" i="26"/>
  <c r="W14" i="26"/>
  <c r="V14" i="26"/>
  <c r="U14" i="26"/>
  <c r="F14" i="26"/>
  <c r="H14" i="26" s="1"/>
  <c r="Z13" i="26"/>
  <c r="Y13" i="26"/>
  <c r="X13" i="26"/>
  <c r="W13" i="26"/>
  <c r="V13" i="26"/>
  <c r="U13" i="26"/>
  <c r="O13" i="26"/>
  <c r="F13" i="26"/>
  <c r="H13" i="26" s="1"/>
  <c r="F12" i="26"/>
  <c r="H12" i="26" s="1"/>
  <c r="Z11" i="26"/>
  <c r="Y11" i="26"/>
  <c r="X11" i="26"/>
  <c r="W11" i="26"/>
  <c r="V11" i="26"/>
  <c r="U11" i="26"/>
  <c r="O11" i="26"/>
  <c r="F11" i="26"/>
  <c r="H11" i="26" s="1"/>
  <c r="Z10" i="26"/>
  <c r="Y10" i="26"/>
  <c r="X10" i="26"/>
  <c r="W10" i="26"/>
  <c r="V10" i="26"/>
  <c r="U10" i="26"/>
  <c r="M10" i="26"/>
  <c r="F10" i="26"/>
  <c r="H10" i="26" s="1"/>
  <c r="Z9" i="26"/>
  <c r="Y9" i="26"/>
  <c r="X9" i="26"/>
  <c r="W9" i="26"/>
  <c r="V9" i="26"/>
  <c r="U9" i="26"/>
  <c r="M9" i="26"/>
  <c r="F9" i="26"/>
  <c r="H9" i="26" s="1"/>
  <c r="O8" i="26"/>
  <c r="O12" i="26" s="1"/>
  <c r="F8" i="26"/>
  <c r="H8" i="26" s="1"/>
  <c r="Z7" i="26"/>
  <c r="Y7" i="26"/>
  <c r="X7" i="26"/>
  <c r="W7" i="26"/>
  <c r="V7" i="26"/>
  <c r="U7" i="26"/>
  <c r="F7" i="26"/>
  <c r="H7" i="26" s="1"/>
  <c r="H21" i="26" s="1"/>
  <c r="Z6" i="26"/>
  <c r="X6" i="26"/>
  <c r="V6" i="26"/>
  <c r="I6" i="26"/>
  <c r="E6" i="26"/>
  <c r="Z5" i="26"/>
  <c r="X5" i="26"/>
  <c r="V5" i="26"/>
  <c r="M13" i="26"/>
  <c r="M27" i="26" s="1"/>
  <c r="M31" i="20"/>
  <c r="G31" i="20"/>
  <c r="D30" i="20"/>
  <c r="D29" i="20"/>
  <c r="N28" i="20"/>
  <c r="D28" i="20"/>
  <c r="F28" i="20" s="1"/>
  <c r="H28" i="20" s="1"/>
  <c r="D27" i="20"/>
  <c r="D31" i="20" s="1"/>
  <c r="G26" i="20"/>
  <c r="G21" i="20"/>
  <c r="E21" i="20"/>
  <c r="Q20" i="20"/>
  <c r="P20" i="20"/>
  <c r="R20" i="20" s="1"/>
  <c r="S20" i="20" s="1"/>
  <c r="T20" i="20" s="1"/>
  <c r="D20" i="20"/>
  <c r="D21" i="20" s="1"/>
  <c r="Q19" i="20"/>
  <c r="P19" i="20"/>
  <c r="R19" i="20" s="1"/>
  <c r="S19" i="20" s="1"/>
  <c r="T19" i="20" s="1"/>
  <c r="Q18" i="20"/>
  <c r="P18" i="20"/>
  <c r="R18" i="20" s="1"/>
  <c r="S18" i="20" s="1"/>
  <c r="T18" i="20" s="1"/>
  <c r="Q17" i="20"/>
  <c r="P17" i="20"/>
  <c r="R17" i="20" s="1"/>
  <c r="S17" i="20" s="1"/>
  <c r="T17" i="20" s="1"/>
  <c r="Q16" i="20"/>
  <c r="P16" i="20"/>
  <c r="R16" i="20" s="1"/>
  <c r="S16" i="20" s="1"/>
  <c r="T16" i="20" s="1"/>
  <c r="Q15" i="20"/>
  <c r="P15" i="20"/>
  <c r="R15" i="20" s="1"/>
  <c r="S15" i="20" s="1"/>
  <c r="T15" i="20" s="1"/>
  <c r="M14" i="20"/>
  <c r="F14" i="20"/>
  <c r="H14" i="20" s="1"/>
  <c r="M13" i="20"/>
  <c r="F13" i="20"/>
  <c r="H13" i="20" s="1"/>
  <c r="F12" i="20"/>
  <c r="H12" i="20" s="1"/>
  <c r="M11" i="20"/>
  <c r="F11" i="20"/>
  <c r="H11" i="20" s="1"/>
  <c r="M10" i="20"/>
  <c r="H10" i="20"/>
  <c r="F10" i="20"/>
  <c r="M9" i="20"/>
  <c r="F9" i="20"/>
  <c r="H9" i="20" s="1"/>
  <c r="F8" i="20"/>
  <c r="H8" i="20" s="1"/>
  <c r="F7" i="20"/>
  <c r="I6" i="20"/>
  <c r="E6" i="20"/>
  <c r="L13" i="17"/>
  <c r="N12" i="18" l="1"/>
  <c r="O12" i="18" s="1"/>
  <c r="O11" i="18"/>
  <c r="N7" i="18"/>
  <c r="O8" i="18"/>
  <c r="D10" i="18"/>
  <c r="I9" i="26"/>
  <c r="I11" i="26"/>
  <c r="I7" i="26"/>
  <c r="P7" i="26" s="1"/>
  <c r="I14" i="26"/>
  <c r="I10" i="26"/>
  <c r="I12" i="26"/>
  <c r="F21" i="26"/>
  <c r="D31" i="26"/>
  <c r="F27" i="26"/>
  <c r="M14" i="26"/>
  <c r="AF7" i="26"/>
  <c r="M11" i="26"/>
  <c r="I8" i="26"/>
  <c r="I13" i="26"/>
  <c r="I12" i="20"/>
  <c r="I13" i="20"/>
  <c r="I7" i="20"/>
  <c r="I14" i="20"/>
  <c r="I8" i="20"/>
  <c r="F21" i="20"/>
  <c r="I10" i="20"/>
  <c r="M21" i="20"/>
  <c r="H7" i="20"/>
  <c r="H21" i="20" s="1"/>
  <c r="I9" i="20" s="1"/>
  <c r="N9" i="20"/>
  <c r="N6" i="18" l="1"/>
  <c r="O6" i="18" s="1"/>
  <c r="O7" i="18"/>
  <c r="O18" i="18"/>
  <c r="M28" i="26"/>
  <c r="M31" i="26" s="1"/>
  <c r="N27" i="26" s="1"/>
  <c r="P11" i="26"/>
  <c r="J11" i="26"/>
  <c r="K11" i="26" s="1"/>
  <c r="Q11" i="26" s="1"/>
  <c r="F31" i="26"/>
  <c r="H27" i="26"/>
  <c r="H31" i="26" s="1"/>
  <c r="F26" i="26"/>
  <c r="J9" i="26"/>
  <c r="K9" i="26" s="1"/>
  <c r="Q9" i="26" s="1"/>
  <c r="P9" i="26"/>
  <c r="R9" i="26" s="1"/>
  <c r="S9" i="26" s="1"/>
  <c r="T9" i="26" s="1"/>
  <c r="AE9" i="26" s="1"/>
  <c r="J12" i="26"/>
  <c r="K12" i="26" s="1"/>
  <c r="Q12" i="26" s="1"/>
  <c r="P12" i="26"/>
  <c r="R12" i="26" s="1"/>
  <c r="S12" i="26" s="1"/>
  <c r="T12" i="26" s="1"/>
  <c r="AE12" i="26" s="1"/>
  <c r="J13" i="26"/>
  <c r="K13" i="26" s="1"/>
  <c r="Q13" i="26" s="1"/>
  <c r="I26" i="26"/>
  <c r="P13" i="26"/>
  <c r="J8" i="26"/>
  <c r="K8" i="26" s="1"/>
  <c r="Q8" i="26" s="1"/>
  <c r="P8" i="26"/>
  <c r="R8" i="26" s="1"/>
  <c r="S8" i="26" s="1"/>
  <c r="T8" i="26" s="1"/>
  <c r="AE8" i="26" s="1"/>
  <c r="P10" i="26"/>
  <c r="J10" i="26"/>
  <c r="K10" i="26" s="1"/>
  <c r="Q10" i="26" s="1"/>
  <c r="P14" i="26"/>
  <c r="J14" i="26"/>
  <c r="K14" i="26" s="1"/>
  <c r="Q14" i="26" s="1"/>
  <c r="M21" i="26"/>
  <c r="N7" i="26" s="1"/>
  <c r="I21" i="26"/>
  <c r="P21" i="26" s="1"/>
  <c r="P22" i="26" s="1"/>
  <c r="J7" i="26"/>
  <c r="P10" i="20"/>
  <c r="J10" i="20"/>
  <c r="K10" i="20" s="1"/>
  <c r="Q10" i="20" s="1"/>
  <c r="P8" i="20"/>
  <c r="J8" i="20"/>
  <c r="K8" i="20" s="1"/>
  <c r="Q8" i="20" s="1"/>
  <c r="P14" i="20"/>
  <c r="J14" i="20"/>
  <c r="K14" i="20" s="1"/>
  <c r="Q14" i="20" s="1"/>
  <c r="I21" i="20"/>
  <c r="P21" i="20" s="1"/>
  <c r="P22" i="20" s="1"/>
  <c r="P7" i="20"/>
  <c r="J7" i="20"/>
  <c r="H27" i="20"/>
  <c r="H31" i="20" s="1"/>
  <c r="P13" i="20"/>
  <c r="R13" i="20" s="1"/>
  <c r="S13" i="20" s="1"/>
  <c r="T13" i="20" s="1"/>
  <c r="J13" i="20"/>
  <c r="K13" i="20" s="1"/>
  <c r="Q13" i="20" s="1"/>
  <c r="I26" i="20"/>
  <c r="J12" i="20"/>
  <c r="K12" i="20" s="1"/>
  <c r="Q12" i="20" s="1"/>
  <c r="P12" i="20"/>
  <c r="R12" i="20" s="1"/>
  <c r="S12" i="20" s="1"/>
  <c r="T12" i="20" s="1"/>
  <c r="P9" i="20"/>
  <c r="J9" i="20"/>
  <c r="K9" i="20" s="1"/>
  <c r="Q9" i="20" s="1"/>
  <c r="I11" i="20"/>
  <c r="N8" i="20"/>
  <c r="N16" i="20"/>
  <c r="N17" i="20"/>
  <c r="N15" i="20"/>
  <c r="N12" i="20"/>
  <c r="T21" i="20"/>
  <c r="N14" i="20"/>
  <c r="N13" i="20"/>
  <c r="N11" i="20"/>
  <c r="N10" i="20"/>
  <c r="I27" i="26" l="1"/>
  <c r="J27" i="26" s="1"/>
  <c r="K27" i="26" s="1"/>
  <c r="I28" i="26"/>
  <c r="J28" i="26" s="1"/>
  <c r="K28" i="26" s="1"/>
  <c r="N8" i="26"/>
  <c r="T21" i="26"/>
  <c r="N16" i="26"/>
  <c r="N17" i="26"/>
  <c r="N15" i="26"/>
  <c r="N12" i="26"/>
  <c r="N13" i="26"/>
  <c r="N9" i="26"/>
  <c r="N10" i="26"/>
  <c r="R14" i="26"/>
  <c r="S14" i="26" s="1"/>
  <c r="T14" i="26" s="1"/>
  <c r="AE14" i="26" s="1"/>
  <c r="R10" i="26"/>
  <c r="S10" i="26" s="1"/>
  <c r="T10" i="26" s="1"/>
  <c r="AE10" i="26" s="1"/>
  <c r="N11" i="26"/>
  <c r="J6" i="26"/>
  <c r="K7" i="26"/>
  <c r="Q7" i="26" s="1"/>
  <c r="R7" i="26" s="1"/>
  <c r="S7" i="26" s="1"/>
  <c r="R11" i="26"/>
  <c r="S11" i="26" s="1"/>
  <c r="T11" i="26" s="1"/>
  <c r="AE11" i="26" s="1"/>
  <c r="N28" i="26"/>
  <c r="R13" i="26"/>
  <c r="S13" i="26" s="1"/>
  <c r="T13" i="26" s="1"/>
  <c r="AE13" i="26" s="1"/>
  <c r="N14" i="26"/>
  <c r="K7" i="20"/>
  <c r="J11" i="20"/>
  <c r="K11" i="20" s="1"/>
  <c r="Q11" i="20" s="1"/>
  <c r="P11" i="20"/>
  <c r="R11" i="20" s="1"/>
  <c r="S11" i="20" s="1"/>
  <c r="T11" i="20" s="1"/>
  <c r="R14" i="20"/>
  <c r="S14" i="20" s="1"/>
  <c r="T14" i="20" s="1"/>
  <c r="R9" i="20"/>
  <c r="S9" i="20" s="1"/>
  <c r="T9" i="20" s="1"/>
  <c r="R8" i="20"/>
  <c r="S8" i="20" s="1"/>
  <c r="T8" i="20" s="1"/>
  <c r="I27" i="20"/>
  <c r="J27" i="20" s="1"/>
  <c r="K27" i="20" s="1"/>
  <c r="I28" i="20"/>
  <c r="J28" i="20" s="1"/>
  <c r="K28" i="20" s="1"/>
  <c r="R10" i="20"/>
  <c r="S10" i="20" s="1"/>
  <c r="T10" i="20" s="1"/>
  <c r="T7" i="26" l="1"/>
  <c r="AE7" i="26" s="1"/>
  <c r="K6" i="26"/>
  <c r="J6" i="20"/>
  <c r="K6" i="20"/>
  <c r="Q7" i="20"/>
  <c r="R7" i="20" s="1"/>
  <c r="S7" i="20" s="1"/>
  <c r="T7" i="20" s="1"/>
  <c r="D14" i="25" l="1"/>
  <c r="D13" i="25"/>
  <c r="D12" i="25"/>
  <c r="D11" i="25"/>
  <c r="D10" i="25"/>
  <c r="D9" i="25"/>
  <c r="D8" i="25"/>
  <c r="M14" i="25"/>
  <c r="M13" i="25"/>
  <c r="M12" i="25"/>
  <c r="M11" i="25"/>
  <c r="M10" i="25"/>
  <c r="M9" i="25"/>
  <c r="M8" i="25"/>
  <c r="V14" i="25"/>
  <c r="V13" i="25"/>
  <c r="V12" i="25"/>
  <c r="V11" i="25"/>
  <c r="V10" i="25"/>
  <c r="V9" i="25"/>
  <c r="V8" i="25"/>
  <c r="AE14" i="25"/>
  <c r="AE13" i="25"/>
  <c r="AE12" i="25"/>
  <c r="AE11" i="25"/>
  <c r="AE10" i="25"/>
  <c r="AE9" i="25"/>
  <c r="AE8" i="25"/>
  <c r="AG25" i="25"/>
  <c r="X25" i="25"/>
  <c r="O25" i="25"/>
  <c r="AD4" i="25"/>
  <c r="AD6" i="25" s="1"/>
  <c r="U4" i="25"/>
  <c r="U6" i="25" s="1"/>
  <c r="L4" i="25"/>
  <c r="L6" i="25" s="1"/>
  <c r="C4" i="25"/>
  <c r="C6" i="25" s="1"/>
  <c r="F25" i="25"/>
  <c r="AD5" i="25" l="1"/>
  <c r="U5" i="25"/>
  <c r="L5" i="25"/>
  <c r="C5" i="25"/>
  <c r="X20" i="25" l="1"/>
  <c r="O20" i="25"/>
  <c r="AG20" i="25"/>
  <c r="F22" i="25"/>
  <c r="AG22" i="25"/>
  <c r="O22" i="25"/>
  <c r="X22" i="25"/>
  <c r="F21" i="25"/>
  <c r="O21" i="25"/>
  <c r="AG21" i="25"/>
  <c r="X21" i="25"/>
  <c r="F20" i="25" l="1"/>
  <c r="O26" i="25"/>
  <c r="AG26" i="25"/>
  <c r="X26" i="25"/>
  <c r="X24" i="25"/>
  <c r="AG19" i="25"/>
  <c r="O19" i="25"/>
  <c r="AG24" i="25"/>
  <c r="AG23" i="25"/>
  <c r="F23" i="25"/>
  <c r="X19" i="25"/>
  <c r="X23" i="25"/>
  <c r="F19" i="25"/>
  <c r="O24" i="25"/>
  <c r="O23" i="25"/>
  <c r="F24" i="25"/>
  <c r="AG27" i="25" l="1"/>
  <c r="X27" i="25"/>
  <c r="O27" i="25"/>
  <c r="F26" i="25"/>
  <c r="F27" i="25" l="1"/>
  <c r="U11" i="25"/>
  <c r="L14" i="25"/>
  <c r="AD11" i="25" l="1"/>
  <c r="AD12" i="25"/>
  <c r="AD10" i="25"/>
  <c r="AD8" i="25"/>
  <c r="AD14" i="25"/>
  <c r="AD9" i="25"/>
  <c r="AD13" i="25"/>
  <c r="L10" i="25"/>
  <c r="L13" i="25"/>
  <c r="U8" i="25"/>
  <c r="U10" i="25"/>
  <c r="U12" i="25"/>
  <c r="U9" i="25"/>
  <c r="U14" i="25"/>
  <c r="U13" i="25"/>
  <c r="L9" i="25"/>
  <c r="L8" i="25"/>
  <c r="L12" i="25"/>
  <c r="L11" i="25"/>
  <c r="C12" i="25"/>
  <c r="C10" i="25"/>
  <c r="C13" i="25"/>
  <c r="C14" i="25"/>
  <c r="C11" i="25"/>
  <c r="C9" i="25"/>
  <c r="C8" i="25"/>
  <c r="L15" i="25" l="1"/>
  <c r="M15" i="25" s="1"/>
  <c r="C15" i="25"/>
  <c r="D15" i="25" s="1"/>
  <c r="AD15" i="25"/>
  <c r="U15" i="25"/>
  <c r="V15" i="25" s="1"/>
  <c r="AE24" i="25"/>
  <c r="AE22" i="25"/>
  <c r="V24" i="25"/>
  <c r="V22" i="25"/>
  <c r="M24" i="25"/>
  <c r="M22" i="25"/>
  <c r="M19" i="25"/>
  <c r="N19" i="25" s="1"/>
  <c r="D22" i="25"/>
  <c r="D24" i="25"/>
  <c r="E24" i="25" s="1"/>
  <c r="D19" i="25"/>
  <c r="G19" i="25" s="1"/>
  <c r="H19" i="25" s="1"/>
  <c r="AE21" i="25"/>
  <c r="AF21" i="25" s="1"/>
  <c r="AE25" i="25"/>
  <c r="AF25" i="25" s="1"/>
  <c r="AE23" i="25"/>
  <c r="AF23" i="25" s="1"/>
  <c r="D23" i="25"/>
  <c r="E23" i="25" s="1"/>
  <c r="V20" i="25"/>
  <c r="Y20" i="25" s="1"/>
  <c r="Z20" i="25" s="1"/>
  <c r="AE20" i="25"/>
  <c r="V19" i="25"/>
  <c r="W19" i="25" s="1"/>
  <c r="AE19" i="25"/>
  <c r="AH19" i="25" s="1"/>
  <c r="M23" i="25"/>
  <c r="N23" i="25" s="1"/>
  <c r="V23" i="25"/>
  <c r="M21" i="25"/>
  <c r="P21" i="25" s="1"/>
  <c r="Q21" i="25" s="1"/>
  <c r="V21" i="25"/>
  <c r="M25" i="25"/>
  <c r="P25" i="25" s="1"/>
  <c r="Q25" i="25" s="1"/>
  <c r="V25" i="25"/>
  <c r="D20" i="25"/>
  <c r="E20" i="25" s="1"/>
  <c r="M20" i="25"/>
  <c r="D25" i="25"/>
  <c r="E25" i="25" s="1"/>
  <c r="D21" i="25"/>
  <c r="D26" i="25" l="1"/>
  <c r="M26" i="25"/>
  <c r="V26" i="25"/>
  <c r="W26" i="25" s="1"/>
  <c r="AE26" i="25"/>
  <c r="AE15" i="25"/>
  <c r="AH23" i="25"/>
  <c r="AI23" i="25" s="1"/>
  <c r="AH21" i="25"/>
  <c r="AI21" i="25" s="1"/>
  <c r="AH25" i="25"/>
  <c r="AI25" i="25" s="1"/>
  <c r="W20" i="25"/>
  <c r="Y19" i="25"/>
  <c r="Z19" i="25" s="1"/>
  <c r="AH24" i="25"/>
  <c r="AI24" i="25" s="1"/>
  <c r="AF24" i="25"/>
  <c r="E19" i="25"/>
  <c r="AF22" i="25"/>
  <c r="AH22" i="25"/>
  <c r="AI22" i="25" s="1"/>
  <c r="AF19" i="25"/>
  <c r="AF20" i="25"/>
  <c r="AH20" i="25"/>
  <c r="AI20" i="25" s="1"/>
  <c r="N25" i="25"/>
  <c r="N21" i="25"/>
  <c r="W25" i="25"/>
  <c r="Y25" i="25"/>
  <c r="Z25" i="25" s="1"/>
  <c r="W21" i="25"/>
  <c r="Y21" i="25"/>
  <c r="Z21" i="25" s="1"/>
  <c r="W23" i="25"/>
  <c r="Y23" i="25"/>
  <c r="Z23" i="25" s="1"/>
  <c r="P23" i="25"/>
  <c r="Q23" i="25" s="1"/>
  <c r="W22" i="25"/>
  <c r="Y22" i="25"/>
  <c r="Z22" i="25" s="1"/>
  <c r="W24" i="25"/>
  <c r="Y24" i="25"/>
  <c r="Z24" i="25" s="1"/>
  <c r="P19" i="25"/>
  <c r="G20" i="25"/>
  <c r="H20" i="25" s="1"/>
  <c r="N22" i="25"/>
  <c r="P22" i="25"/>
  <c r="Q22" i="25" s="1"/>
  <c r="N24" i="25"/>
  <c r="P24" i="25"/>
  <c r="Q24" i="25" s="1"/>
  <c r="N20" i="25"/>
  <c r="P20" i="25"/>
  <c r="Q20" i="25" s="1"/>
  <c r="G25" i="25"/>
  <c r="E21" i="25"/>
  <c r="G21" i="25"/>
  <c r="G24" i="25"/>
  <c r="E22" i="25"/>
  <c r="G22" i="25"/>
  <c r="G23" i="25"/>
  <c r="AF26" i="25" l="1"/>
  <c r="AH26" i="25"/>
  <c r="AI26" i="25" s="1"/>
  <c r="E26" i="25"/>
  <c r="G26" i="25"/>
  <c r="H26" i="25" s="1"/>
  <c r="N26" i="25"/>
  <c r="P26" i="25"/>
  <c r="Q26" i="25" s="1"/>
  <c r="Y26" i="25"/>
  <c r="AI19" i="25"/>
  <c r="Q19" i="25"/>
  <c r="H25" i="25"/>
  <c r="H24" i="25"/>
  <c r="H23" i="25"/>
  <c r="H21" i="25"/>
  <c r="H22" i="25"/>
  <c r="Z26" i="25" l="1"/>
  <c r="Z27" i="25" s="1"/>
  <c r="Z28" i="25" s="1"/>
  <c r="Q27" i="25"/>
  <c r="Q28" i="25" s="1"/>
  <c r="P27" i="25"/>
  <c r="G27" i="25"/>
  <c r="AI27" i="25"/>
  <c r="AI28" i="25" s="1"/>
  <c r="AH27" i="25"/>
  <c r="Y27" i="25"/>
  <c r="H27" i="25"/>
  <c r="H28" i="25" s="1"/>
  <c r="AH168" i="24" l="1"/>
  <c r="AK168" i="24" s="1"/>
  <c r="BD189" i="24" s="1"/>
  <c r="AH159" i="24"/>
  <c r="AH158" i="24" s="1"/>
  <c r="AI151" i="24"/>
  <c r="AH138" i="24"/>
  <c r="AH124" i="24"/>
  <c r="CZ43" i="24" s="1"/>
  <c r="AH103" i="24"/>
  <c r="AH95" i="24"/>
  <c r="CZ34" i="24" s="1"/>
  <c r="AI77" i="24"/>
  <c r="AI75" i="24"/>
  <c r="AH74" i="24"/>
  <c r="AH71" i="24"/>
  <c r="AH50" i="24"/>
  <c r="AH42" i="24"/>
  <c r="CZ16" i="24" s="1"/>
  <c r="AI33" i="24"/>
  <c r="AA158" i="24"/>
  <c r="AA145" i="24"/>
  <c r="AA84" i="24"/>
  <c r="AA51" i="24"/>
  <c r="AA27" i="24"/>
  <c r="AA26" i="24"/>
  <c r="AA25" i="24"/>
  <c r="AA23" i="24"/>
  <c r="AA21" i="24"/>
  <c r="AA19" i="24"/>
  <c r="AA17" i="24"/>
  <c r="AA15" i="24"/>
  <c r="AA13" i="24"/>
  <c r="Z12" i="24"/>
  <c r="Z48" i="24"/>
  <c r="Z73" i="24"/>
  <c r="Z101" i="24"/>
  <c r="Z165" i="24"/>
  <c r="Z130" i="24"/>
  <c r="AG108" i="24"/>
  <c r="AI108" i="24" s="1"/>
  <c r="AG106" i="24"/>
  <c r="AG141" i="24" s="1"/>
  <c r="AG51" i="24"/>
  <c r="AG21" i="24"/>
  <c r="AG55" i="24" s="1"/>
  <c r="AI55" i="24" s="1"/>
  <c r="AG23" i="24"/>
  <c r="AI23" i="24" s="1"/>
  <c r="AG29" i="24"/>
  <c r="AI29" i="24" s="1"/>
  <c r="AG181" i="24"/>
  <c r="AG112" i="24"/>
  <c r="AI112" i="24" s="1"/>
  <c r="AG53" i="24"/>
  <c r="AI53" i="24" s="1"/>
  <c r="Y139" i="24"/>
  <c r="AA139" i="24" s="1"/>
  <c r="Y141" i="24"/>
  <c r="AA141" i="24" s="1"/>
  <c r="Y143" i="24"/>
  <c r="AA143" i="24" s="1"/>
  <c r="Y151" i="24"/>
  <c r="AA151" i="24" s="1"/>
  <c r="Y153" i="24"/>
  <c r="AA153" i="24" s="1"/>
  <c r="Y180" i="24"/>
  <c r="Y184" i="24"/>
  <c r="Y172" i="24"/>
  <c r="Y170" i="24"/>
  <c r="Y168" i="24"/>
  <c r="Y166" i="24"/>
  <c r="Y149" i="24"/>
  <c r="AA149" i="24" s="1"/>
  <c r="Y137" i="24"/>
  <c r="AA137" i="24" s="1"/>
  <c r="Y114" i="24"/>
  <c r="AA114" i="24" s="1"/>
  <c r="Y112" i="24"/>
  <c r="AA112" i="24" s="1"/>
  <c r="Y110" i="24"/>
  <c r="AA110" i="24" s="1"/>
  <c r="Y108" i="24"/>
  <c r="AA108" i="24" s="1"/>
  <c r="Y78" i="24"/>
  <c r="AA78" i="24" s="1"/>
  <c r="Y86" i="24"/>
  <c r="AA86" i="24" s="1"/>
  <c r="Y82" i="24"/>
  <c r="AA82" i="24" s="1"/>
  <c r="Y80" i="24"/>
  <c r="AA80" i="24" s="1"/>
  <c r="Y76" i="24"/>
  <c r="AA76" i="24" s="1"/>
  <c r="Y57" i="24"/>
  <c r="AA57" i="24" s="1"/>
  <c r="Y55" i="24"/>
  <c r="AA55" i="24" s="1"/>
  <c r="Y53" i="24"/>
  <c r="AA53" i="24" s="1"/>
  <c r="Y59" i="24"/>
  <c r="AA59" i="24" s="1"/>
  <c r="Y63" i="24"/>
  <c r="AA63" i="24" s="1"/>
  <c r="Y61" i="24"/>
  <c r="Y182" i="24" s="1"/>
  <c r="Y74" i="24"/>
  <c r="AA74" i="24" s="1"/>
  <c r="Y106" i="24"/>
  <c r="AA106" i="24" s="1"/>
  <c r="Y135" i="24"/>
  <c r="AA135" i="24" s="1"/>
  <c r="Y147" i="24"/>
  <c r="AA147" i="24" s="1"/>
  <c r="Y104" i="24"/>
  <c r="AA104" i="24" s="1"/>
  <c r="Y133" i="24"/>
  <c r="AA133" i="24" s="1"/>
  <c r="Y131" i="24"/>
  <c r="AA131" i="24" s="1"/>
  <c r="Y102" i="24"/>
  <c r="AA102" i="24" s="1"/>
  <c r="Y49" i="24"/>
  <c r="AA49" i="24" s="1"/>
  <c r="BB242" i="24"/>
  <c r="BA241" i="24"/>
  <c r="BC240" i="24"/>
  <c r="BA225" i="24"/>
  <c r="BC224" i="24"/>
  <c r="BA210" i="24"/>
  <c r="AO9" i="18" s="1"/>
  <c r="BC209" i="24"/>
  <c r="BC144" i="24"/>
  <c r="Z159" i="24"/>
  <c r="BA122" i="24"/>
  <c r="BC121" i="24"/>
  <c r="BC103" i="24"/>
  <c r="Z124" i="24"/>
  <c r="AJ123" i="24"/>
  <c r="Z95" i="24"/>
  <c r="AJ94" i="24"/>
  <c r="AJ69" i="24"/>
  <c r="BA85" i="24"/>
  <c r="BC84" i="24"/>
  <c r="BA46" i="24"/>
  <c r="AK9" i="18" s="1"/>
  <c r="BC45" i="24"/>
  <c r="Z42" i="24"/>
  <c r="AJ41" i="24"/>
  <c r="DR38" i="24"/>
  <c r="DQ39" i="24"/>
  <c r="DR36" i="24"/>
  <c r="DQ37" i="24"/>
  <c r="DP36" i="24"/>
  <c r="DR33" i="24"/>
  <c r="DQ34" i="24"/>
  <c r="DR31" i="24"/>
  <c r="DQ32" i="24"/>
  <c r="DR29" i="24"/>
  <c r="DQ30" i="24"/>
  <c r="DR28" i="24"/>
  <c r="DR26" i="24"/>
  <c r="BZ25" i="24"/>
  <c r="BS25" i="24"/>
  <c r="BA25" i="24"/>
  <c r="DS15" i="24" s="1"/>
  <c r="BZ24" i="24"/>
  <c r="BC24" i="24"/>
  <c r="DR24" i="24"/>
  <c r="DQ25" i="24"/>
  <c r="DR23" i="24"/>
  <c r="DP23" i="24"/>
  <c r="DR20" i="24"/>
  <c r="DR18" i="24"/>
  <c r="DR16" i="24"/>
  <c r="DQ17" i="24"/>
  <c r="AZ15" i="24"/>
  <c r="DP16" i="24"/>
  <c r="BB13" i="24"/>
  <c r="BB53" i="24" s="1"/>
  <c r="AL13" i="24"/>
  <c r="DR12" i="24"/>
  <c r="J124" i="27" s="1"/>
  <c r="BK14" i="24"/>
  <c r="BB11" i="24"/>
  <c r="BB30" i="24" s="1"/>
  <c r="BB68" i="24" s="1"/>
  <c r="AL11" i="24"/>
  <c r="DR10" i="24"/>
  <c r="J79" i="27" s="1"/>
  <c r="BK10" i="24"/>
  <c r="BB9" i="24"/>
  <c r="BB109" i="24" s="1"/>
  <c r="AL9" i="24"/>
  <c r="DR8" i="24"/>
  <c r="J43" i="27" s="1"/>
  <c r="BK8" i="24"/>
  <c r="AL7" i="24"/>
  <c r="EJ40" i="24"/>
  <c r="EB6" i="24"/>
  <c r="DR6" i="24"/>
  <c r="J4" i="27" s="1"/>
  <c r="CO6" i="24"/>
  <c r="DF6" i="24" s="1"/>
  <c r="CC6" i="24"/>
  <c r="BK6" i="24"/>
  <c r="BJ5" i="24"/>
  <c r="BH4" i="24"/>
  <c r="Z6" i="24"/>
  <c r="DP5" i="24"/>
  <c r="BH5" i="24"/>
  <c r="BC5" i="24"/>
  <c r="CV2" i="24"/>
  <c r="AH138" i="19"/>
  <c r="AH103" i="19"/>
  <c r="Z95" i="19"/>
  <c r="Z101" i="19"/>
  <c r="AH95" i="19"/>
  <c r="AK95" i="19" s="1"/>
  <c r="AJ94" i="19"/>
  <c r="AH71" i="19"/>
  <c r="BD37" i="22"/>
  <c r="BC37" i="22"/>
  <c r="AR37" i="22"/>
  <c r="AK37" i="22"/>
  <c r="AJ37" i="22" s="1"/>
  <c r="AG37" i="22"/>
  <c r="AR33" i="22"/>
  <c r="AQ33" i="22"/>
  <c r="AP33" i="22"/>
  <c r="AO33" i="22"/>
  <c r="AN33" i="22"/>
  <c r="AM33" i="22"/>
  <c r="AJ33" i="22"/>
  <c r="AG33" i="22"/>
  <c r="AR29" i="22"/>
  <c r="AQ29" i="22"/>
  <c r="AP29" i="22"/>
  <c r="AO29" i="22"/>
  <c r="AN29" i="22"/>
  <c r="AM29" i="22"/>
  <c r="AJ29" i="22"/>
  <c r="AG29" i="22"/>
  <c r="AR28" i="22"/>
  <c r="AQ28" i="22"/>
  <c r="AP28" i="22"/>
  <c r="AO28" i="22"/>
  <c r="AN28" i="22"/>
  <c r="AM28" i="22"/>
  <c r="AK28" i="22"/>
  <c r="AJ28" i="22" s="1"/>
  <c r="AG28" i="22"/>
  <c r="AR27" i="22"/>
  <c r="AQ27" i="22"/>
  <c r="AP27" i="22"/>
  <c r="AO27" i="22"/>
  <c r="AN27" i="22"/>
  <c r="AM27" i="22"/>
  <c r="AK27" i="22"/>
  <c r="AJ27" i="22"/>
  <c r="AG27" i="22"/>
  <c r="AR26" i="22"/>
  <c r="AQ26" i="22"/>
  <c r="AP26" i="22"/>
  <c r="AO26" i="22"/>
  <c r="AN26" i="22"/>
  <c r="AM26" i="22"/>
  <c r="AK26" i="22"/>
  <c r="AJ26" i="22"/>
  <c r="AG26" i="22"/>
  <c r="CN25" i="22"/>
  <c r="BN25" i="22"/>
  <c r="BI25" i="22"/>
  <c r="AR25" i="22"/>
  <c r="AQ25" i="22"/>
  <c r="AP25" i="22"/>
  <c r="AO25" i="22"/>
  <c r="AN25" i="22"/>
  <c r="AM25" i="22"/>
  <c r="AK25" i="22"/>
  <c r="AJ25" i="22"/>
  <c r="AG25" i="22"/>
  <c r="CN24" i="22"/>
  <c r="BN24" i="22"/>
  <c r="BI24" i="22"/>
  <c r="CN22" i="22"/>
  <c r="BN22" i="22"/>
  <c r="CN21" i="22"/>
  <c r="BN21" i="22"/>
  <c r="BM21" i="22"/>
  <c r="CN20" i="22"/>
  <c r="BN20" i="22"/>
  <c r="CN19" i="22"/>
  <c r="CE19" i="22"/>
  <c r="CD19" i="22"/>
  <c r="BN19" i="22"/>
  <c r="AR18" i="22"/>
  <c r="AQ18" i="22"/>
  <c r="AP18" i="22"/>
  <c r="AO18" i="22"/>
  <c r="AN18" i="22"/>
  <c r="AM18" i="22"/>
  <c r="AK18" i="22"/>
  <c r="BG5" i="22" s="1"/>
  <c r="AG18" i="22"/>
  <c r="AR17" i="22"/>
  <c r="AQ17" i="22"/>
  <c r="AP17" i="22"/>
  <c r="AO17" i="22"/>
  <c r="AN17" i="22"/>
  <c r="AM17" i="22"/>
  <c r="AK17" i="22"/>
  <c r="AJ17" i="22"/>
  <c r="AG17" i="22"/>
  <c r="AR16" i="22"/>
  <c r="AQ16" i="22"/>
  <c r="AP16" i="22"/>
  <c r="AO16" i="22"/>
  <c r="AN16" i="22"/>
  <c r="AM16" i="22"/>
  <c r="AK16" i="22"/>
  <c r="AJ16" i="22" s="1"/>
  <c r="AG16" i="22"/>
  <c r="AR15" i="22"/>
  <c r="AQ15" i="22"/>
  <c r="AP15" i="22"/>
  <c r="AO15" i="22"/>
  <c r="AN15" i="22"/>
  <c r="AM15" i="22"/>
  <c r="AK15" i="22"/>
  <c r="AJ15" i="22"/>
  <c r="AG15" i="22"/>
  <c r="AR11" i="22"/>
  <c r="AQ11" i="22"/>
  <c r="AP11" i="22"/>
  <c r="AO11" i="22"/>
  <c r="AN11" i="22"/>
  <c r="AM11" i="22"/>
  <c r="AJ11" i="22"/>
  <c r="AG11" i="22"/>
  <c r="AR10" i="22"/>
  <c r="AQ10" i="22"/>
  <c r="AP10" i="22"/>
  <c r="AO10" i="22"/>
  <c r="AN10" i="22"/>
  <c r="AM10" i="22"/>
  <c r="AJ10" i="22"/>
  <c r="AG10" i="22"/>
  <c r="CS9" i="22"/>
  <c r="CN9" i="22"/>
  <c r="CD9" i="22"/>
  <c r="BN9" i="22"/>
  <c r="AR9" i="22"/>
  <c r="AQ9" i="22"/>
  <c r="AP9" i="22"/>
  <c r="AO9" i="22"/>
  <c r="AN9" i="22"/>
  <c r="AM9" i="22"/>
  <c r="AS9" i="22" s="1"/>
  <c r="AK9" i="22"/>
  <c r="AJ9" i="22" s="1"/>
  <c r="AG9" i="22"/>
  <c r="CS8" i="22"/>
  <c r="CN8" i="22"/>
  <c r="CD8" i="22"/>
  <c r="CD25" i="22" s="1"/>
  <c r="BN8" i="22"/>
  <c r="AR8" i="22"/>
  <c r="AQ8" i="22"/>
  <c r="AP8" i="22"/>
  <c r="AO8" i="22"/>
  <c r="AN8" i="22"/>
  <c r="AM8" i="22"/>
  <c r="AK8" i="22"/>
  <c r="BG3" i="22" s="1"/>
  <c r="AJ8" i="22"/>
  <c r="AG8" i="22"/>
  <c r="CS7" i="22"/>
  <c r="CN7" i="22"/>
  <c r="CD7" i="22"/>
  <c r="CD24" i="22" s="1"/>
  <c r="BW7" i="22"/>
  <c r="BX7" i="22" s="1"/>
  <c r="BV7" i="22"/>
  <c r="BN7" i="22"/>
  <c r="AR7" i="22"/>
  <c r="AQ7" i="22"/>
  <c r="AP7" i="22"/>
  <c r="AO7" i="22"/>
  <c r="AN7" i="22"/>
  <c r="AM7" i="22"/>
  <c r="AJ7" i="22"/>
  <c r="AG7" i="22"/>
  <c r="CS6" i="22"/>
  <c r="CN6" i="22"/>
  <c r="CD6" i="22"/>
  <c r="BN6" i="22"/>
  <c r="CS5" i="22"/>
  <c r="CN5" i="22"/>
  <c r="CD5" i="22"/>
  <c r="CD22" i="22" s="1"/>
  <c r="BW5" i="22"/>
  <c r="BX5" i="22" s="1"/>
  <c r="BV5" i="22"/>
  <c r="BN5" i="22"/>
  <c r="BA5" i="22"/>
  <c r="AR5" i="22"/>
  <c r="AZ5" i="22" s="1"/>
  <c r="AQ5" i="22"/>
  <c r="AY5" i="22" s="1"/>
  <c r="AP5" i="22"/>
  <c r="AX5" i="22" s="1"/>
  <c r="AO5" i="22"/>
  <c r="AW5" i="22" s="1"/>
  <c r="AN5" i="22"/>
  <c r="AV5" i="22" s="1"/>
  <c r="AM5" i="22"/>
  <c r="AU5" i="22" s="1"/>
  <c r="CD4" i="22"/>
  <c r="CD21" i="22" s="1"/>
  <c r="BW4" i="22"/>
  <c r="BX4" i="22" s="1"/>
  <c r="BV4" i="22"/>
  <c r="BN4" i="22"/>
  <c r="BG4" i="22"/>
  <c r="CS3" i="22"/>
  <c r="CN3" i="22"/>
  <c r="CE3" i="22"/>
  <c r="CD3" i="22"/>
  <c r="CD20" i="22" s="1"/>
  <c r="BW3" i="22"/>
  <c r="BX3" i="22" s="1"/>
  <c r="BV3" i="22"/>
  <c r="BN3" i="22"/>
  <c r="AC3" i="22"/>
  <c r="AD9" i="22" s="1"/>
  <c r="X3" i="22"/>
  <c r="CS2" i="22"/>
  <c r="CN2" i="22"/>
  <c r="BW2" i="22"/>
  <c r="BX2" i="22" s="1"/>
  <c r="BV2" i="22"/>
  <c r="BN2" i="22"/>
  <c r="X2" i="22"/>
  <c r="CS1" i="22"/>
  <c r="CT1" i="22" s="1"/>
  <c r="CL1" i="22"/>
  <c r="CM1" i="22" s="1"/>
  <c r="AE1" i="22"/>
  <c r="AD1" i="22"/>
  <c r="AA1" i="22"/>
  <c r="Y1" i="22"/>
  <c r="W1" i="22"/>
  <c r="U1" i="22"/>
  <c r="DF8" i="24" l="1"/>
  <c r="DF12" i="24"/>
  <c r="DF4" i="24"/>
  <c r="DI5" i="24" s="1"/>
  <c r="DH5" i="24" s="1"/>
  <c r="DF10" i="24"/>
  <c r="EK43" i="24"/>
  <c r="AA130" i="24"/>
  <c r="CD14" i="24" s="1"/>
  <c r="CP14" i="24" s="1"/>
  <c r="DG44" i="24" s="1"/>
  <c r="CI9" i="24"/>
  <c r="CZ25" i="24"/>
  <c r="CY30" i="24"/>
  <c r="CY26" i="24"/>
  <c r="CY28" i="24"/>
  <c r="CY48" i="24"/>
  <c r="CY46" i="24"/>
  <c r="CY44" i="24"/>
  <c r="CY21" i="24"/>
  <c r="CY19" i="24"/>
  <c r="CY17" i="24"/>
  <c r="CY8" i="24"/>
  <c r="CY6" i="24"/>
  <c r="CY12" i="24"/>
  <c r="CY10" i="24"/>
  <c r="EL6" i="24"/>
  <c r="EI1" i="24"/>
  <c r="EB31" i="24"/>
  <c r="EB4" i="24"/>
  <c r="EB1" i="24"/>
  <c r="EB8" i="24"/>
  <c r="EB10" i="24" s="1"/>
  <c r="EC41" i="24"/>
  <c r="EC1" i="24"/>
  <c r="CO4" i="24"/>
  <c r="CR5" i="24" s="1"/>
  <c r="CH14" i="24"/>
  <c r="BW14" i="24"/>
  <c r="BW6" i="24"/>
  <c r="CH6" i="24"/>
  <c r="CH8" i="24"/>
  <c r="BW8" i="24"/>
  <c r="CH10" i="24"/>
  <c r="BW10" i="24"/>
  <c r="Z9" i="18"/>
  <c r="Z8" i="18" s="1"/>
  <c r="Z15" i="18" s="1"/>
  <c r="CI11" i="24"/>
  <c r="CN13" i="24" s="1"/>
  <c r="V9" i="18"/>
  <c r="V10" i="18" s="1"/>
  <c r="V16" i="18" s="1"/>
  <c r="CI7" i="24"/>
  <c r="CN9" i="24" s="1"/>
  <c r="DE18" i="24" s="1"/>
  <c r="AB9" i="18"/>
  <c r="AB8" i="18" s="1"/>
  <c r="AB15" i="18" s="1"/>
  <c r="CI13" i="24"/>
  <c r="CN15" i="24" s="1"/>
  <c r="X9" i="18"/>
  <c r="X10" i="18" s="1"/>
  <c r="AH68" i="24"/>
  <c r="AJ68" i="24"/>
  <c r="CM10" i="24" s="1"/>
  <c r="DD26" i="24" s="1"/>
  <c r="AI68" i="24"/>
  <c r="BX5" i="24"/>
  <c r="AA4" i="24"/>
  <c r="Z4" i="24"/>
  <c r="CA6" i="24" s="1"/>
  <c r="AB4" i="24"/>
  <c r="CB6" i="24" s="1"/>
  <c r="AB93" i="24"/>
  <c r="Z93" i="24"/>
  <c r="AA93" i="24"/>
  <c r="AA122" i="24"/>
  <c r="AB122" i="24"/>
  <c r="Z122" i="24"/>
  <c r="AB40" i="24"/>
  <c r="AA40" i="24"/>
  <c r="Z40" i="24"/>
  <c r="P9" i="18"/>
  <c r="Q9" i="18" s="1"/>
  <c r="BX11" i="24"/>
  <c r="R9" i="18"/>
  <c r="R8" i="18" s="1"/>
  <c r="S8" i="18" s="1"/>
  <c r="BX13" i="24"/>
  <c r="L9" i="18"/>
  <c r="M9" i="18" s="1"/>
  <c r="BX7" i="24"/>
  <c r="AA73" i="24"/>
  <c r="CD10" i="24" s="1"/>
  <c r="EI48" i="24"/>
  <c r="AG79" i="24"/>
  <c r="AG139" i="24" s="1"/>
  <c r="AI51" i="24"/>
  <c r="J9" i="18"/>
  <c r="J8" i="18" s="1"/>
  <c r="K8" i="18" s="1"/>
  <c r="CW25" i="22"/>
  <c r="CW24" i="22"/>
  <c r="AP14" i="22"/>
  <c r="AQ14" i="22"/>
  <c r="AM14" i="22"/>
  <c r="AJ18" i="22"/>
  <c r="AM6" i="22"/>
  <c r="AN6" i="22"/>
  <c r="AS33" i="22"/>
  <c r="AP24" i="22"/>
  <c r="AR14" i="22"/>
  <c r="AN14" i="22"/>
  <c r="AS29" i="22"/>
  <c r="AO14" i="22"/>
  <c r="CE5" i="22"/>
  <c r="CE6" i="22" s="1"/>
  <c r="BG6" i="22"/>
  <c r="BH5" i="22" s="1"/>
  <c r="BH2" i="22"/>
  <c r="EB29" i="24"/>
  <c r="AG25" i="24"/>
  <c r="AG81" i="24" s="1"/>
  <c r="AI81" i="24" s="1"/>
  <c r="EB18" i="24"/>
  <c r="AL6" i="24"/>
  <c r="AI106" i="24"/>
  <c r="EK26" i="24"/>
  <c r="EK45" i="24"/>
  <c r="CC4" i="24"/>
  <c r="EB48" i="24"/>
  <c r="U101" i="24"/>
  <c r="AK70" i="24"/>
  <c r="CK20" i="24" s="1"/>
  <c r="EC20" i="24"/>
  <c r="AA61" i="24"/>
  <c r="AA48" i="24" s="1"/>
  <c r="CD8" i="24" s="1"/>
  <c r="CP8" i="24" s="1"/>
  <c r="DG17" i="24" s="1"/>
  <c r="EC36" i="24"/>
  <c r="EJ36" i="24"/>
  <c r="BB105" i="24"/>
  <c r="EK36" i="24"/>
  <c r="EC29" i="24"/>
  <c r="EK29" i="24"/>
  <c r="BB86" i="24"/>
  <c r="EC42" i="24"/>
  <c r="AA12" i="24"/>
  <c r="CD6" i="24" s="1"/>
  <c r="CP6" i="24" s="1"/>
  <c r="EC16" i="24"/>
  <c r="Z2" i="24"/>
  <c r="EC18" i="24"/>
  <c r="EK20" i="24"/>
  <c r="U48" i="24"/>
  <c r="EK1" i="24"/>
  <c r="EC31" i="24"/>
  <c r="AK95" i="24"/>
  <c r="CK22" i="24" s="1"/>
  <c r="EK12" i="24"/>
  <c r="EC48" i="24"/>
  <c r="BB49" i="24"/>
  <c r="AA101" i="24"/>
  <c r="CD12" i="24" s="1"/>
  <c r="BB123" i="24"/>
  <c r="EI8" i="24"/>
  <c r="EK24" i="24"/>
  <c r="EJ45" i="24"/>
  <c r="AG171" i="24"/>
  <c r="AI141" i="24"/>
  <c r="AG31" i="24"/>
  <c r="AI21" i="24"/>
  <c r="AG59" i="24"/>
  <c r="AI59" i="24" s="1"/>
  <c r="EJ38" i="24"/>
  <c r="AK159" i="24"/>
  <c r="AK158" i="24" s="1"/>
  <c r="BA2" i="24"/>
  <c r="EK38" i="24"/>
  <c r="BB47" i="24"/>
  <c r="AG85" i="24"/>
  <c r="EI10" i="24"/>
  <c r="EI40" i="24"/>
  <c r="AK124" i="24"/>
  <c r="CK24" i="24" s="1"/>
  <c r="EK40" i="24"/>
  <c r="EK18" i="24"/>
  <c r="EK41" i="24"/>
  <c r="EK48" i="24"/>
  <c r="AK42" i="24"/>
  <c r="CK18" i="24" s="1"/>
  <c r="BB32" i="24"/>
  <c r="BB72" i="24" s="1"/>
  <c r="BB148" i="24"/>
  <c r="BB6" i="24"/>
  <c r="EB41" i="24"/>
  <c r="EB40" i="24"/>
  <c r="EB38" i="24"/>
  <c r="EB36" i="24"/>
  <c r="EB26" i="24"/>
  <c r="EB43" i="24"/>
  <c r="EB33" i="24"/>
  <c r="EB20" i="24"/>
  <c r="EB42" i="24"/>
  <c r="EB16" i="24"/>
  <c r="BB125" i="24"/>
  <c r="EI36" i="24"/>
  <c r="EI26" i="24"/>
  <c r="EI12" i="24"/>
  <c r="EI43" i="24"/>
  <c r="EI45" i="24"/>
  <c r="EI20" i="24"/>
  <c r="EI18" i="24"/>
  <c r="EI42" i="24"/>
  <c r="EI31" i="24"/>
  <c r="EB24" i="24"/>
  <c r="EI29" i="24"/>
  <c r="EJ26" i="24"/>
  <c r="EJ12" i="24"/>
  <c r="EJ1" i="24"/>
  <c r="EJ43" i="24"/>
  <c r="EJ10" i="24"/>
  <c r="EJ8" i="24"/>
  <c r="EJ33" i="24"/>
  <c r="EJ18" i="24"/>
  <c r="EJ42" i="24"/>
  <c r="EJ31" i="24"/>
  <c r="EJ16" i="24"/>
  <c r="EJ48" i="24"/>
  <c r="EJ29" i="24"/>
  <c r="EI16" i="24"/>
  <c r="EI24" i="24"/>
  <c r="EI33" i="24"/>
  <c r="EJ24" i="24"/>
  <c r="EJ20" i="24"/>
  <c r="EI41" i="24"/>
  <c r="CC14" i="24"/>
  <c r="CC10" i="24"/>
  <c r="CC8" i="24"/>
  <c r="EI38" i="24"/>
  <c r="EJ41" i="24"/>
  <c r="CO10" i="24"/>
  <c r="DF26" i="24" s="1"/>
  <c r="CO8" i="24"/>
  <c r="BB211" i="24"/>
  <c r="BB226" i="24"/>
  <c r="BB107" i="24"/>
  <c r="BB88" i="24"/>
  <c r="CO14" i="24"/>
  <c r="DF44" i="24" s="1"/>
  <c r="BB26" i="24"/>
  <c r="BB146" i="24"/>
  <c r="EC33" i="24"/>
  <c r="EK16" i="24"/>
  <c r="EC43" i="24"/>
  <c r="EC26" i="24"/>
  <c r="EK31" i="24"/>
  <c r="EK42" i="24"/>
  <c r="EC24" i="24"/>
  <c r="EK33" i="24"/>
  <c r="EC38" i="24"/>
  <c r="EK8" i="24"/>
  <c r="EK10" i="24"/>
  <c r="EC40" i="24"/>
  <c r="U101" i="19"/>
  <c r="BX10" i="22"/>
  <c r="AS8" i="22"/>
  <c r="AS28" i="22"/>
  <c r="AO6" i="22"/>
  <c r="AS7" i="22"/>
  <c r="AS11" i="22"/>
  <c r="AS26" i="22"/>
  <c r="AS27" i="22"/>
  <c r="AD33" i="22"/>
  <c r="AP6" i="22"/>
  <c r="AD8" i="22"/>
  <c r="AD26" i="22"/>
  <c r="AD27" i="22"/>
  <c r="AD28" i="22"/>
  <c r="AD29" i="22"/>
  <c r="AQ6" i="22"/>
  <c r="AD7" i="22"/>
  <c r="AS10" i="22"/>
  <c r="AD11" i="22"/>
  <c r="AD37" i="22"/>
  <c r="AR6" i="22"/>
  <c r="CE20" i="22"/>
  <c r="BW10" i="22"/>
  <c r="AR24" i="22"/>
  <c r="AS25" i="22"/>
  <c r="AM24" i="22"/>
  <c r="AD10" i="22"/>
  <c r="AS15" i="22"/>
  <c r="AS16" i="22"/>
  <c r="AS17" i="22"/>
  <c r="AS18" i="22"/>
  <c r="AN24" i="22"/>
  <c r="AD25" i="22"/>
  <c r="AO24" i="22"/>
  <c r="AD15" i="22"/>
  <c r="AD16" i="22"/>
  <c r="AD17" i="22"/>
  <c r="AD18" i="22"/>
  <c r="AQ24" i="22"/>
  <c r="CD11" i="24" l="1"/>
  <c r="CP10" i="24"/>
  <c r="DG26" i="24" s="1"/>
  <c r="CO12" i="24"/>
  <c r="DF35" i="24" s="1"/>
  <c r="DF17" i="24"/>
  <c r="DF28" i="24"/>
  <c r="DF30" i="24"/>
  <c r="DE22" i="24"/>
  <c r="DE20" i="24"/>
  <c r="DF48" i="24"/>
  <c r="DF46" i="24"/>
  <c r="FE42" i="24"/>
  <c r="FL42" i="24"/>
  <c r="FE40" i="24"/>
  <c r="FL40" i="24"/>
  <c r="FE18" i="24"/>
  <c r="FL18" i="24"/>
  <c r="FL48" i="24"/>
  <c r="FE48" i="24"/>
  <c r="FE38" i="24"/>
  <c r="FL38" i="24"/>
  <c r="FL20" i="24"/>
  <c r="FE20" i="24"/>
  <c r="FE45" i="24"/>
  <c r="FL45" i="24"/>
  <c r="FE41" i="24"/>
  <c r="FL41" i="24"/>
  <c r="FE26" i="24"/>
  <c r="FL26" i="24"/>
  <c r="FE31" i="24"/>
  <c r="FL31" i="24"/>
  <c r="FE33" i="24"/>
  <c r="FL33" i="24"/>
  <c r="FL43" i="24"/>
  <c r="FE43" i="24"/>
  <c r="FE36" i="24"/>
  <c r="FL36" i="24"/>
  <c r="FL24" i="24"/>
  <c r="FE24" i="24"/>
  <c r="FL16" i="24"/>
  <c r="FE16" i="24"/>
  <c r="FL29" i="24"/>
  <c r="FE29" i="24"/>
  <c r="FE10" i="24"/>
  <c r="FL10" i="24"/>
  <c r="FL12" i="24"/>
  <c r="FE12" i="24"/>
  <c r="FL8" i="24"/>
  <c r="FE8" i="24"/>
  <c r="CN8" i="24"/>
  <c r="CN11" i="24"/>
  <c r="CD9" i="24"/>
  <c r="CN10" i="24"/>
  <c r="DE26" i="24" s="1"/>
  <c r="DE30" i="24" s="1"/>
  <c r="CN14" i="24"/>
  <c r="DE44" i="24" s="1"/>
  <c r="DE48" i="24" s="1"/>
  <c r="CE6" i="24"/>
  <c r="CM11" i="24"/>
  <c r="DD27" i="24"/>
  <c r="CG10" i="24"/>
  <c r="CC12" i="24"/>
  <c r="CR10" i="24"/>
  <c r="CL10" i="24"/>
  <c r="CB7" i="24"/>
  <c r="CC1" i="24"/>
  <c r="CE5" i="24"/>
  <c r="CD5" i="24" s="1"/>
  <c r="CO1" i="24"/>
  <c r="CA7" i="24"/>
  <c r="Z10" i="18"/>
  <c r="AA10" i="18" s="1"/>
  <c r="V8" i="18"/>
  <c r="V15" i="18" s="1"/>
  <c r="AB10" i="18"/>
  <c r="AB16" i="18" s="1"/>
  <c r="AH122" i="24"/>
  <c r="CA14" i="24"/>
  <c r="CA15" i="24" s="1"/>
  <c r="AJ122" i="24"/>
  <c r="CB14" i="24"/>
  <c r="CB15" i="24" s="1"/>
  <c r="AI122" i="24"/>
  <c r="CE14" i="24"/>
  <c r="CE15" i="24" s="1"/>
  <c r="AI93" i="24"/>
  <c r="CE12" i="24"/>
  <c r="CE13" i="24" s="1"/>
  <c r="AH93" i="24"/>
  <c r="CA12" i="24"/>
  <c r="AJ93" i="24"/>
  <c r="CM12" i="24" s="1"/>
  <c r="DD35" i="24" s="1"/>
  <c r="CB12" i="24"/>
  <c r="CB13" i="24" s="1"/>
  <c r="AH40" i="24"/>
  <c r="CA8" i="24"/>
  <c r="CA9" i="24" s="1"/>
  <c r="AI40" i="24"/>
  <c r="CE8" i="24"/>
  <c r="CE9" i="24" s="1"/>
  <c r="AJ40" i="24"/>
  <c r="CM8" i="24" s="1"/>
  <c r="DD17" i="24" s="1"/>
  <c r="DD19" i="24" s="1"/>
  <c r="CB8" i="24"/>
  <c r="CB9" i="24" s="1"/>
  <c r="Y9" i="18"/>
  <c r="X8" i="18"/>
  <c r="X15" i="18" s="1"/>
  <c r="L8" i="18"/>
  <c r="M8" i="18" s="1"/>
  <c r="M15" i="18" s="1"/>
  <c r="L10" i="18"/>
  <c r="L11" i="18" s="1"/>
  <c r="R10" i="18"/>
  <c r="S10" i="18" s="1"/>
  <c r="S9" i="18"/>
  <c r="AC9" i="18" s="1"/>
  <c r="P8" i="18"/>
  <c r="Q8" i="18" s="1"/>
  <c r="Q15" i="18" s="1"/>
  <c r="EL48" i="24"/>
  <c r="P10" i="18"/>
  <c r="Q10" i="18" s="1"/>
  <c r="AG143" i="24"/>
  <c r="AG173" i="24" s="1"/>
  <c r="AI79" i="24"/>
  <c r="AI25" i="24"/>
  <c r="AG145" i="24"/>
  <c r="AI145" i="24" s="1"/>
  <c r="J10" i="18"/>
  <c r="J11" i="18" s="1"/>
  <c r="K9" i="18"/>
  <c r="W10" i="18"/>
  <c r="AA8" i="18"/>
  <c r="X11" i="18"/>
  <c r="Y10" i="18"/>
  <c r="AG27" i="24"/>
  <c r="AG57" i="24" s="1"/>
  <c r="AI57" i="24" s="1"/>
  <c r="AI50" i="24" s="1"/>
  <c r="AG110" i="24"/>
  <c r="AG114" i="24" s="1"/>
  <c r="AI114" i="24" s="1"/>
  <c r="V11" i="18"/>
  <c r="V17" i="18" s="1"/>
  <c r="X16" i="18"/>
  <c r="AM2" i="22"/>
  <c r="AU6" i="22" s="1"/>
  <c r="BH9" i="22"/>
  <c r="BH6" i="22"/>
  <c r="BH4" i="22"/>
  <c r="BH3" i="22"/>
  <c r="BZ41" i="24"/>
  <c r="AK138" i="24"/>
  <c r="BB25" i="24"/>
  <c r="BB66" i="24"/>
  <c r="BB65" i="24" s="1"/>
  <c r="EL45" i="24"/>
  <c r="BB122" i="24"/>
  <c r="Z7" i="18"/>
  <c r="AB7" i="18"/>
  <c r="AB14" i="18" s="1"/>
  <c r="EL36" i="24"/>
  <c r="R7" i="18"/>
  <c r="S7" i="18" s="1"/>
  <c r="S14" i="18" s="1"/>
  <c r="EL29" i="24"/>
  <c r="J7" i="18"/>
  <c r="K7" i="18" s="1"/>
  <c r="K14" i="18" s="1"/>
  <c r="BB46" i="24"/>
  <c r="W9" i="18"/>
  <c r="AA9" i="18"/>
  <c r="BB85" i="24"/>
  <c r="EL8" i="24"/>
  <c r="EL38" i="24"/>
  <c r="BB104" i="24"/>
  <c r="AI31" i="24"/>
  <c r="AG153" i="24"/>
  <c r="AI153" i="24" s="1"/>
  <c r="EL40" i="24"/>
  <c r="EL18" i="24"/>
  <c r="BD225" i="24"/>
  <c r="DU37" i="24" s="1"/>
  <c r="AI85" i="24"/>
  <c r="AG104" i="24"/>
  <c r="AI104" i="24" s="1"/>
  <c r="AI139" i="24"/>
  <c r="AG169" i="24"/>
  <c r="EL1" i="24"/>
  <c r="EL24" i="24"/>
  <c r="EL10" i="24"/>
  <c r="EL12" i="24"/>
  <c r="EL16" i="24"/>
  <c r="EL26" i="24"/>
  <c r="EL41" i="24"/>
  <c r="EL42" i="24"/>
  <c r="EL20" i="24"/>
  <c r="EL31" i="24"/>
  <c r="EL33" i="24"/>
  <c r="EL43" i="24"/>
  <c r="AU9" i="22"/>
  <c r="AU7" i="22"/>
  <c r="AU28" i="22"/>
  <c r="AU27" i="22"/>
  <c r="AU26" i="22"/>
  <c r="AU11" i="22"/>
  <c r="AU8" i="22"/>
  <c r="AU29" i="22"/>
  <c r="AU14" i="22"/>
  <c r="AU10" i="22"/>
  <c r="AQ2" i="22"/>
  <c r="AS14" i="22"/>
  <c r="CE21" i="22"/>
  <c r="AN2" i="22"/>
  <c r="AV24" i="22" s="1"/>
  <c r="AU18" i="22"/>
  <c r="AU24" i="22"/>
  <c r="AU16" i="22"/>
  <c r="AR2" i="22"/>
  <c r="AS24" i="22"/>
  <c r="AU15" i="22"/>
  <c r="AU33" i="22"/>
  <c r="AP2" i="22"/>
  <c r="AS6" i="22"/>
  <c r="AU25" i="22"/>
  <c r="AO2" i="22"/>
  <c r="AU17" i="22"/>
  <c r="CE7" i="22"/>
  <c r="CP9" i="24" l="1"/>
  <c r="DG18" i="24" s="1"/>
  <c r="CR11" i="24"/>
  <c r="DI26" i="24"/>
  <c r="DI27" i="24" s="1"/>
  <c r="CG11" i="24"/>
  <c r="CP11" i="24"/>
  <c r="DG27" i="24" s="1"/>
  <c r="DG29" i="24" s="1"/>
  <c r="CL11" i="24"/>
  <c r="DC26" i="24"/>
  <c r="CE7" i="24"/>
  <c r="DF19" i="24"/>
  <c r="DF21" i="24"/>
  <c r="DE17" i="24"/>
  <c r="DE19" i="24" s="1"/>
  <c r="CT8" i="24"/>
  <c r="DF39" i="24"/>
  <c r="DF37" i="24"/>
  <c r="K47" i="27"/>
  <c r="K128" i="27"/>
  <c r="K83" i="27"/>
  <c r="FL1" i="24"/>
  <c r="FE1" i="24"/>
  <c r="DG21" i="24"/>
  <c r="DG19" i="24"/>
  <c r="CG6" i="24"/>
  <c r="DG31" i="24"/>
  <c r="DG30" i="24"/>
  <c r="DG28" i="24"/>
  <c r="DE28" i="24"/>
  <c r="CD13" i="24"/>
  <c r="CP12" i="24"/>
  <c r="CN12" i="24"/>
  <c r="DE35" i="24" s="1"/>
  <c r="DE39" i="24" s="1"/>
  <c r="DE46" i="24"/>
  <c r="CD15" i="24"/>
  <c r="DG46" i="24"/>
  <c r="DG48" i="24" s="1"/>
  <c r="DD45" i="24"/>
  <c r="DD46" i="24"/>
  <c r="CM13" i="24"/>
  <c r="DD36" i="24"/>
  <c r="CM9" i="24"/>
  <c r="DD18" i="24" s="1"/>
  <c r="CM15" i="24"/>
  <c r="CM14" i="24"/>
  <c r="DD44" i="24" s="1"/>
  <c r="V7" i="18"/>
  <c r="V14" i="18" s="1"/>
  <c r="CR8" i="24"/>
  <c r="CR14" i="24"/>
  <c r="CL8" i="24"/>
  <c r="CL14" i="24"/>
  <c r="DC28" i="24"/>
  <c r="DC27" i="24"/>
  <c r="DC30" i="24"/>
  <c r="CR12" i="24"/>
  <c r="DI28" i="24"/>
  <c r="DI30" i="24"/>
  <c r="CQ8" i="24"/>
  <c r="CL12" i="24"/>
  <c r="DD28" i="24"/>
  <c r="DD30" i="24"/>
  <c r="DD29" i="24"/>
  <c r="DD31" i="24"/>
  <c r="EB12" i="24"/>
  <c r="W8" i="18"/>
  <c r="W15" i="18" s="1"/>
  <c r="Z16" i="18"/>
  <c r="Z11" i="18"/>
  <c r="Z12" i="18" s="1"/>
  <c r="AA12" i="18" s="1"/>
  <c r="CG9" i="24"/>
  <c r="AB11" i="18"/>
  <c r="AC11" i="18" s="1"/>
  <c r="CG12" i="24"/>
  <c r="CA13" i="24"/>
  <c r="CG8" i="24"/>
  <c r="CG14" i="24"/>
  <c r="Y16" i="18"/>
  <c r="X7" i="18"/>
  <c r="Y7" i="18" s="1"/>
  <c r="Y8" i="18"/>
  <c r="Y15" i="18" s="1"/>
  <c r="P7" i="18"/>
  <c r="Q7" i="18" s="1"/>
  <c r="Q14" i="18" s="1"/>
  <c r="L7" i="18"/>
  <c r="M7" i="18" s="1"/>
  <c r="M14" i="18" s="1"/>
  <c r="P11" i="18"/>
  <c r="Q11" i="18" s="1"/>
  <c r="S16" i="18"/>
  <c r="R11" i="18"/>
  <c r="S11" i="18" s="1"/>
  <c r="S17" i="18" s="1"/>
  <c r="M10" i="18"/>
  <c r="M16" i="18" s="1"/>
  <c r="S15" i="18"/>
  <c r="AC10" i="18"/>
  <c r="AC16" i="18" s="1"/>
  <c r="AC8" i="18"/>
  <c r="AC15" i="18" s="1"/>
  <c r="AA16" i="18"/>
  <c r="AI143" i="24"/>
  <c r="K10" i="18"/>
  <c r="K16" i="18" s="1"/>
  <c r="AI110" i="24"/>
  <c r="AI27" i="24"/>
  <c r="AG83" i="24"/>
  <c r="AI83" i="24" s="1"/>
  <c r="AG147" i="24"/>
  <c r="AG149" i="24" s="1"/>
  <c r="AG116" i="24"/>
  <c r="AI116" i="24" s="1"/>
  <c r="AA15" i="18"/>
  <c r="K15" i="18"/>
  <c r="W16" i="18"/>
  <c r="AC7" i="18"/>
  <c r="V12" i="18"/>
  <c r="W12" i="18" s="1"/>
  <c r="W11" i="18"/>
  <c r="X12" i="18"/>
  <c r="Y12" i="18" s="1"/>
  <c r="Y11" i="18"/>
  <c r="Z14" i="18"/>
  <c r="AA7" i="18"/>
  <c r="AA14" i="18" s="1"/>
  <c r="X17" i="18"/>
  <c r="L12" i="18"/>
  <c r="M12" i="18" s="1"/>
  <c r="M11" i="18"/>
  <c r="Q16" i="18"/>
  <c r="J12" i="18"/>
  <c r="K12" i="18" s="1"/>
  <c r="K11" i="18"/>
  <c r="Z6" i="18"/>
  <c r="AA6" i="18" s="1"/>
  <c r="AB6" i="18"/>
  <c r="AC6" i="18" s="1"/>
  <c r="J6" i="18"/>
  <c r="K6" i="18" s="1"/>
  <c r="K13" i="18" s="1"/>
  <c r="R6" i="18"/>
  <c r="S6" i="18" s="1"/>
  <c r="AW9" i="22"/>
  <c r="AW28" i="22"/>
  <c r="AW27" i="22"/>
  <c r="AW26" i="22"/>
  <c r="AW11" i="22"/>
  <c r="AW8" i="22"/>
  <c r="AW29" i="22"/>
  <c r="AW33" i="22"/>
  <c r="AW18" i="22"/>
  <c r="AW17" i="22"/>
  <c r="AW16" i="22"/>
  <c r="AW7" i="22"/>
  <c r="AW25" i="22"/>
  <c r="AW15" i="22"/>
  <c r="AW10" i="22"/>
  <c r="AW14" i="22"/>
  <c r="AW6" i="22"/>
  <c r="AY28" i="22"/>
  <c r="AY27" i="22"/>
  <c r="AY26" i="22"/>
  <c r="AY11" i="22"/>
  <c r="AY8" i="22"/>
  <c r="AY33" i="22"/>
  <c r="AY16" i="22"/>
  <c r="AY15" i="22"/>
  <c r="AY9" i="22"/>
  <c r="AY18" i="22"/>
  <c r="AY17" i="22"/>
  <c r="AY14" i="22"/>
  <c r="AY7" i="22"/>
  <c r="AY10" i="22"/>
  <c r="AY25" i="22"/>
  <c r="AY29" i="22"/>
  <c r="AY6" i="22"/>
  <c r="AW24" i="22"/>
  <c r="AS2" i="22"/>
  <c r="AO1" i="22" s="1"/>
  <c r="AV18" i="22"/>
  <c r="AV17" i="22"/>
  <c r="AV16" i="22"/>
  <c r="AV15" i="22"/>
  <c r="AV14" i="22"/>
  <c r="AV10" i="22"/>
  <c r="AV33" i="22"/>
  <c r="AV7" i="22"/>
  <c r="AV28" i="22"/>
  <c r="AV27" i="22"/>
  <c r="AV26" i="22"/>
  <c r="AV11" i="22"/>
  <c r="AV8" i="22"/>
  <c r="AV29" i="22"/>
  <c r="AV6" i="22"/>
  <c r="AV9" i="22"/>
  <c r="AV25" i="22"/>
  <c r="AX26" i="22"/>
  <c r="AX28" i="22"/>
  <c r="AX14" i="22"/>
  <c r="AX18" i="22"/>
  <c r="AX17" i="22"/>
  <c r="AX16" i="22"/>
  <c r="AX7" i="22"/>
  <c r="AX15" i="22"/>
  <c r="AX29" i="22"/>
  <c r="AX9" i="22"/>
  <c r="AX33" i="22"/>
  <c r="AX10" i="22"/>
  <c r="AX8" i="22"/>
  <c r="AX24" i="22"/>
  <c r="AX25" i="22"/>
  <c r="AX27" i="22"/>
  <c r="AX11" i="22"/>
  <c r="AZ25" i="22"/>
  <c r="AZ29" i="22"/>
  <c r="AZ33" i="22"/>
  <c r="AZ9" i="22"/>
  <c r="AZ18" i="22"/>
  <c r="AZ17" i="22"/>
  <c r="AZ16" i="22"/>
  <c r="AZ15" i="22"/>
  <c r="AZ14" i="22"/>
  <c r="AZ8" i="22"/>
  <c r="AZ11" i="22"/>
  <c r="AZ28" i="22"/>
  <c r="AZ26" i="22"/>
  <c r="AZ27" i="22"/>
  <c r="AZ7" i="22"/>
  <c r="AZ10" i="22"/>
  <c r="CE22" i="22"/>
  <c r="AX6" i="22"/>
  <c r="AZ6" i="22"/>
  <c r="AZ24" i="22"/>
  <c r="CE8" i="22"/>
  <c r="AY24" i="22"/>
  <c r="DG20" i="24" l="1"/>
  <c r="DG22" i="24"/>
  <c r="CP15" i="24"/>
  <c r="DG45" i="24" s="1"/>
  <c r="DG47" i="24" s="1"/>
  <c r="DG49" i="24" s="1"/>
  <c r="CR9" i="24"/>
  <c r="DI17" i="24"/>
  <c r="DI21" i="24" s="1"/>
  <c r="CR13" i="24"/>
  <c r="DI35" i="24"/>
  <c r="CL15" i="24"/>
  <c r="DC44" i="24"/>
  <c r="DC46" i="24" s="1"/>
  <c r="CL9" i="24"/>
  <c r="DC17" i="24"/>
  <c r="DC19" i="24" s="1"/>
  <c r="CR15" i="24"/>
  <c r="DI44" i="24"/>
  <c r="DI46" i="24" s="1"/>
  <c r="DG35" i="24"/>
  <c r="DG37" i="24" s="1"/>
  <c r="DG39" i="24" s="1"/>
  <c r="CP13" i="24"/>
  <c r="DG36" i="24" s="1"/>
  <c r="DG38" i="24" s="1"/>
  <c r="DG40" i="24" s="1"/>
  <c r="CL13" i="24"/>
  <c r="DC35" i="24"/>
  <c r="DC37" i="24" s="1"/>
  <c r="CQ9" i="24"/>
  <c r="DH17" i="24"/>
  <c r="DH21" i="24" s="1"/>
  <c r="DE21" i="24"/>
  <c r="CG15" i="24"/>
  <c r="DE37" i="24"/>
  <c r="CG13" i="24"/>
  <c r="V6" i="18"/>
  <c r="W6" i="18" s="1"/>
  <c r="W7" i="18"/>
  <c r="W14" i="18" s="1"/>
  <c r="DC29" i="24"/>
  <c r="DC31" i="24"/>
  <c r="DI31" i="24"/>
  <c r="DI29" i="24"/>
  <c r="DC36" i="24"/>
  <c r="DC39" i="24"/>
  <c r="DD20" i="24"/>
  <c r="DD22" i="24"/>
  <c r="DD40" i="24"/>
  <c r="DD38" i="24"/>
  <c r="DD21" i="24"/>
  <c r="DD39" i="24"/>
  <c r="DD37" i="24"/>
  <c r="DD49" i="24"/>
  <c r="DD47" i="24"/>
  <c r="DI36" i="24"/>
  <c r="DI37" i="24"/>
  <c r="DI39" i="24"/>
  <c r="DD48" i="24"/>
  <c r="DH19" i="24"/>
  <c r="Z17" i="18"/>
  <c r="AA11" i="18"/>
  <c r="AA17" i="18" s="1"/>
  <c r="AB12" i="18"/>
  <c r="AC12" i="18" s="1"/>
  <c r="AC18" i="18" s="1"/>
  <c r="AB17" i="18"/>
  <c r="X6" i="18"/>
  <c r="Y6" i="18" s="1"/>
  <c r="Y13" i="18" s="1"/>
  <c r="X14" i="18"/>
  <c r="Y14" i="18"/>
  <c r="L6" i="18"/>
  <c r="M6" i="18" s="1"/>
  <c r="M13" i="18" s="1"/>
  <c r="P6" i="18"/>
  <c r="Q6" i="18" s="1"/>
  <c r="Q13" i="18" s="1"/>
  <c r="AC14" i="18"/>
  <c r="P12" i="18"/>
  <c r="Q12" i="18" s="1"/>
  <c r="Q18" i="18" s="1"/>
  <c r="K18" i="18"/>
  <c r="AC17" i="18"/>
  <c r="R12" i="18"/>
  <c r="S12" i="18" s="1"/>
  <c r="S18" i="18" s="1"/>
  <c r="AI147" i="24"/>
  <c r="M18" i="18"/>
  <c r="Y18" i="18"/>
  <c r="X18" i="18"/>
  <c r="K17" i="18"/>
  <c r="V18" i="18"/>
  <c r="W18" i="18"/>
  <c r="Z18" i="18"/>
  <c r="M17" i="18"/>
  <c r="W17" i="18"/>
  <c r="Q17" i="18"/>
  <c r="Y17" i="18"/>
  <c r="BA24" i="22"/>
  <c r="BD24" i="22" s="1"/>
  <c r="BF24" i="22" s="1"/>
  <c r="AR1" i="22"/>
  <c r="Z13" i="18"/>
  <c r="AA13" i="18"/>
  <c r="AB13" i="18"/>
  <c r="AC13" i="18"/>
  <c r="S13" i="18"/>
  <c r="AG175" i="24"/>
  <c r="AG177" i="24" s="1"/>
  <c r="AG179" i="24" s="1"/>
  <c r="AI149" i="24"/>
  <c r="AW4" i="22"/>
  <c r="AO4" i="22"/>
  <c r="BA6" i="22"/>
  <c r="AQ1" i="22"/>
  <c r="BA33" i="22"/>
  <c r="AS1" i="22"/>
  <c r="BA9" i="22"/>
  <c r="BA29" i="22"/>
  <c r="BA18" i="22"/>
  <c r="BA17" i="22"/>
  <c r="AM1" i="22"/>
  <c r="BA27" i="22"/>
  <c r="BA28" i="22"/>
  <c r="BA25" i="22"/>
  <c r="BA7" i="22"/>
  <c r="BA10" i="22"/>
  <c r="BA26" i="22"/>
  <c r="BA8" i="22"/>
  <c r="BA16" i="22"/>
  <c r="BA11" i="22"/>
  <c r="BA15" i="22"/>
  <c r="BA14" i="22"/>
  <c r="CE24" i="22"/>
  <c r="AN1" i="22"/>
  <c r="AN4" i="22" s="1"/>
  <c r="AP1" i="22"/>
  <c r="DK17" i="24" l="1"/>
  <c r="DL17" i="24" s="1"/>
  <c r="DM17" i="24" s="1"/>
  <c r="DH18" i="24"/>
  <c r="DI19" i="24"/>
  <c r="DI45" i="24"/>
  <c r="DI49" i="24" s="1"/>
  <c r="DI18" i="24"/>
  <c r="DC21" i="24"/>
  <c r="DC48" i="24"/>
  <c r="DI48" i="24"/>
  <c r="DC18" i="24"/>
  <c r="DC22" i="24" s="1"/>
  <c r="DC45" i="24"/>
  <c r="W13" i="18"/>
  <c r="V13" i="18"/>
  <c r="DH22" i="24"/>
  <c r="DH20" i="24"/>
  <c r="DI38" i="24"/>
  <c r="DI40" i="24"/>
  <c r="DI20" i="24"/>
  <c r="DI22" i="24"/>
  <c r="DK21" i="24"/>
  <c r="DL21" i="24" s="1"/>
  <c r="DM21" i="24" s="1"/>
  <c r="DN21" i="24" s="1"/>
  <c r="DC47" i="24"/>
  <c r="DC49" i="24"/>
  <c r="DK19" i="24"/>
  <c r="DL19" i="24" s="1"/>
  <c r="DM19" i="24" s="1"/>
  <c r="DC40" i="24"/>
  <c r="DC38" i="24"/>
  <c r="AA18" i="18"/>
  <c r="AB18" i="18"/>
  <c r="X13" i="18"/>
  <c r="BC24" i="22"/>
  <c r="BE24" i="22" s="1"/>
  <c r="BA1" i="22"/>
  <c r="AZ4" i="22"/>
  <c r="AR4" i="22"/>
  <c r="BC9" i="22"/>
  <c r="BD9" i="22"/>
  <c r="AX4" i="22"/>
  <c r="AP4" i="22"/>
  <c r="BD10" i="22"/>
  <c r="BC10" i="22"/>
  <c r="BP7" i="22" s="1"/>
  <c r="BD25" i="22"/>
  <c r="BF25" i="22" s="1"/>
  <c r="BC25" i="22"/>
  <c r="BE25" i="22" s="1"/>
  <c r="BD6" i="22"/>
  <c r="BF6" i="22" s="1"/>
  <c r="BC6" i="22"/>
  <c r="BE6" i="22" s="1"/>
  <c r="BD14" i="22"/>
  <c r="BF14" i="22" s="1"/>
  <c r="BC14" i="22"/>
  <c r="BE14" i="22" s="1"/>
  <c r="BD15" i="22"/>
  <c r="BF15" i="22" s="1"/>
  <c r="BC15" i="22"/>
  <c r="BE15" i="22" s="1"/>
  <c r="BD16" i="22"/>
  <c r="BF16" i="22" s="1"/>
  <c r="BC16" i="22"/>
  <c r="BE16" i="22" s="1"/>
  <c r="BD29" i="22"/>
  <c r="BF29" i="22" s="1"/>
  <c r="BC29" i="22"/>
  <c r="BE29" i="22" s="1"/>
  <c r="BD11" i="22"/>
  <c r="BC11" i="22"/>
  <c r="AS4" i="22"/>
  <c r="BA4" i="22"/>
  <c r="BD33" i="22"/>
  <c r="BC33" i="22"/>
  <c r="BD8" i="22"/>
  <c r="BC8" i="22"/>
  <c r="BD26" i="22"/>
  <c r="BF26" i="22" s="1"/>
  <c r="BC26" i="22"/>
  <c r="BE26" i="22" s="1"/>
  <c r="BD7" i="22"/>
  <c r="BC7" i="22"/>
  <c r="AV4" i="22"/>
  <c r="BD28" i="22"/>
  <c r="BF28" i="22" s="1"/>
  <c r="BC28" i="22"/>
  <c r="BE28" i="22" s="1"/>
  <c r="AY4" i="22"/>
  <c r="AQ4" i="22"/>
  <c r="BD27" i="22"/>
  <c r="BF27" i="22" s="1"/>
  <c r="BC27" i="22"/>
  <c r="BE27" i="22" s="1"/>
  <c r="AU4" i="22"/>
  <c r="AM4" i="22"/>
  <c r="CE25" i="22"/>
  <c r="CF24" i="22"/>
  <c r="CC24" i="22" s="1"/>
  <c r="BD17" i="22"/>
  <c r="BC17" i="22"/>
  <c r="BP2" i="22" s="1"/>
  <c r="BD18" i="22"/>
  <c r="BC18" i="22"/>
  <c r="BP5" i="22" s="1"/>
  <c r="DC20" i="24" l="1"/>
  <c r="DK18" i="24"/>
  <c r="DL18" i="24" s="1"/>
  <c r="DM18" i="24" s="1"/>
  <c r="DI47" i="24"/>
  <c r="DK22" i="24"/>
  <c r="DL22" i="24" s="1"/>
  <c r="DM22" i="24" s="1"/>
  <c r="DN19" i="24"/>
  <c r="DK20" i="24"/>
  <c r="DL20" i="24" s="1"/>
  <c r="DM20" i="24" s="1"/>
  <c r="DN17" i="24"/>
  <c r="BP3" i="22"/>
  <c r="BP4" i="22"/>
  <c r="BP6" i="22"/>
  <c r="BF18" i="22"/>
  <c r="BQ5" i="22"/>
  <c r="BU5" i="22" s="1"/>
  <c r="BF8" i="22"/>
  <c r="BQ3" i="22"/>
  <c r="BE33" i="22"/>
  <c r="BP9" i="22"/>
  <c r="BF33" i="22"/>
  <c r="BQ9" i="22"/>
  <c r="BF17" i="22"/>
  <c r="BQ2" i="22"/>
  <c r="BE18" i="22"/>
  <c r="BE11" i="22"/>
  <c r="BP8" i="22"/>
  <c r="CF25" i="22"/>
  <c r="CC25" i="22" s="1"/>
  <c r="BF11" i="22"/>
  <c r="BQ8" i="22"/>
  <c r="BE7" i="22"/>
  <c r="BQ7" i="22"/>
  <c r="BF10" i="22"/>
  <c r="BE17" i="22"/>
  <c r="BE10" i="22"/>
  <c r="BF7" i="22"/>
  <c r="BQ4" i="22"/>
  <c r="BQ6" i="22"/>
  <c r="BF9" i="22"/>
  <c r="BE9" i="22"/>
  <c r="AQ37" i="22"/>
  <c r="BE8" i="22"/>
  <c r="BT3" i="22" l="1"/>
  <c r="CG3" i="22" s="1"/>
  <c r="CH3" i="22" s="1"/>
  <c r="BT2" i="22"/>
  <c r="BP1" i="22"/>
  <c r="BR6" i="22" s="1"/>
  <c r="BU2" i="22"/>
  <c r="BQ1" i="22"/>
  <c r="BS1" i="22" s="1"/>
  <c r="BT6" i="22"/>
  <c r="CG6" i="22" s="1"/>
  <c r="CH6" i="22" s="1"/>
  <c r="BT9" i="22"/>
  <c r="CG9" i="22" s="1"/>
  <c r="CH9" i="22" s="1"/>
  <c r="BT5" i="22"/>
  <c r="CG5" i="22" s="1"/>
  <c r="CH5" i="22" s="1"/>
  <c r="BU9" i="22"/>
  <c r="BT7" i="22"/>
  <c r="CG7" i="22" s="1"/>
  <c r="CH7" i="22" s="1"/>
  <c r="BU7" i="22"/>
  <c r="BT4" i="22"/>
  <c r="BU6" i="22"/>
  <c r="BU8" i="22"/>
  <c r="BU4" i="22"/>
  <c r="BU3" i="22"/>
  <c r="BT8" i="22"/>
  <c r="CG8" i="22" s="1"/>
  <c r="CH8" i="22" s="1"/>
  <c r="BR8" i="22"/>
  <c r="BR5" i="22" l="1"/>
  <c r="BR9" i="22"/>
  <c r="BS4" i="22"/>
  <c r="BS8" i="22"/>
  <c r="BS6" i="22"/>
  <c r="BR1" i="22"/>
  <c r="BR2" i="22"/>
  <c r="CG4" i="22"/>
  <c r="CH4" i="22" s="1"/>
  <c r="BR4" i="22"/>
  <c r="BS7" i="22"/>
  <c r="BS2" i="22"/>
  <c r="BU10" i="22"/>
  <c r="BS5" i="22"/>
  <c r="BR7" i="22"/>
  <c r="BT10" i="22"/>
  <c r="CH2" i="22"/>
  <c r="BS9" i="22"/>
  <c r="BS3" i="22"/>
  <c r="BR3" i="22"/>
  <c r="CG10" i="22" l="1"/>
  <c r="CH10" i="22" s="1"/>
  <c r="CE11" i="22"/>
  <c r="Z130" i="19" l="1"/>
  <c r="Z48" i="19"/>
  <c r="Z12" i="19"/>
  <c r="AG8" i="8" l="1"/>
  <c r="AG7" i="8"/>
  <c r="AG33" i="8"/>
  <c r="AG25" i="8"/>
  <c r="AG15" i="8"/>
  <c r="AG6" i="8" l="1"/>
  <c r="X7" i="15" l="1"/>
  <c r="X29" i="15"/>
  <c r="X25" i="15"/>
  <c r="X27" i="15"/>
  <c r="X26" i="15"/>
  <c r="X18" i="15"/>
  <c r="X17" i="15"/>
  <c r="X16" i="15"/>
  <c r="X15" i="15"/>
  <c r="X11" i="15"/>
  <c r="X9" i="15"/>
  <c r="X8" i="15"/>
  <c r="AD1" i="16"/>
  <c r="AD1" i="15"/>
  <c r="AD1" i="14"/>
  <c r="V3" i="15"/>
  <c r="AK14" i="8"/>
  <c r="CJ25" i="9" l="1"/>
  <c r="CJ24" i="9"/>
  <c r="BI25" i="9"/>
  <c r="BI24" i="9"/>
  <c r="BN25" i="9"/>
  <c r="BN24" i="9"/>
  <c r="CJ22" i="9"/>
  <c r="CA19" i="9"/>
  <c r="CA20" i="9" s="1"/>
  <c r="CA21" i="9" s="1"/>
  <c r="CA22" i="9" s="1"/>
  <c r="CA24" i="9" s="1"/>
  <c r="CA25" i="9" s="1"/>
  <c r="CJ21" i="9"/>
  <c r="CJ20" i="9"/>
  <c r="CJ19" i="9"/>
  <c r="BM21" i="9"/>
  <c r="BZ19" i="9"/>
  <c r="BN22" i="9"/>
  <c r="BN21" i="9"/>
  <c r="BN20" i="9"/>
  <c r="BN19" i="9"/>
  <c r="AL7" i="19" l="1"/>
  <c r="AL9" i="19"/>
  <c r="O5" i="19" l="1"/>
  <c r="AH74" i="19" l="1"/>
  <c r="AL13" i="19"/>
  <c r="AL11" i="19"/>
  <c r="Z73" i="19"/>
  <c r="CJ9" i="9"/>
  <c r="CG6" i="19" l="1"/>
  <c r="CF6" i="19"/>
  <c r="CE6" i="19"/>
  <c r="CE47" i="19" l="1"/>
  <c r="CE39" i="19"/>
  <c r="CE40" i="19"/>
  <c r="CE41" i="19"/>
  <c r="CF47" i="19"/>
  <c r="CF39" i="19"/>
  <c r="CF41" i="19"/>
  <c r="CF40" i="19"/>
  <c r="CG47" i="19"/>
  <c r="CH47" i="19" s="1"/>
  <c r="CG41" i="19"/>
  <c r="CG40" i="19"/>
  <c r="CG39" i="19"/>
  <c r="CF12" i="19"/>
  <c r="CF32" i="19"/>
  <c r="CF44" i="19"/>
  <c r="CF30" i="19"/>
  <c r="CF42" i="19"/>
  <c r="CF28" i="19"/>
  <c r="CF37" i="19"/>
  <c r="CF25" i="19"/>
  <c r="CF35" i="19"/>
  <c r="CE15" i="19"/>
  <c r="CE32" i="19"/>
  <c r="CE44" i="19"/>
  <c r="CE30" i="19"/>
  <c r="CE42" i="19"/>
  <c r="CE28" i="19"/>
  <c r="CE37" i="19"/>
  <c r="CE25" i="19"/>
  <c r="CE35" i="19"/>
  <c r="CG12" i="19"/>
  <c r="CG32" i="19"/>
  <c r="CG44" i="19"/>
  <c r="CG30" i="19"/>
  <c r="CG42" i="19"/>
  <c r="CG28" i="19"/>
  <c r="CG37" i="19"/>
  <c r="CG25" i="19"/>
  <c r="CG35" i="19"/>
  <c r="CE1" i="19"/>
  <c r="CF1" i="19"/>
  <c r="CG1" i="19"/>
  <c r="CF17" i="19"/>
  <c r="CE17" i="19"/>
  <c r="CE8" i="19"/>
  <c r="CG17" i="19"/>
  <c r="CF15" i="19"/>
  <c r="CF8" i="19"/>
  <c r="CE19" i="19"/>
  <c r="CG8" i="19"/>
  <c r="CF19" i="19"/>
  <c r="CE10" i="19"/>
  <c r="CG19" i="19"/>
  <c r="CG15" i="19"/>
  <c r="CF10" i="19"/>
  <c r="CE23" i="19"/>
  <c r="CG10" i="19"/>
  <c r="CF23" i="19"/>
  <c r="CE12" i="19"/>
  <c r="CG23" i="19"/>
  <c r="CH41" i="19" l="1"/>
  <c r="CH40" i="19"/>
  <c r="CH39" i="19"/>
  <c r="CH1" i="19"/>
  <c r="AJ123" i="19"/>
  <c r="AJ69" i="19"/>
  <c r="AJ41" i="19"/>
  <c r="AJ5" i="19"/>
  <c r="AM37" i="11" l="1"/>
  <c r="AM33" i="11" l="1"/>
  <c r="AK1" i="8"/>
  <c r="O40" i="10"/>
  <c r="AE35" i="22" s="1"/>
  <c r="AF37" i="22" s="1"/>
  <c r="O37" i="10"/>
  <c r="O38" i="10" s="1"/>
  <c r="O36" i="10"/>
  <c r="F14" i="13"/>
  <c r="G14" i="13" s="1"/>
  <c r="E14" i="13"/>
  <c r="U1" i="15" l="1"/>
  <c r="U1" i="16"/>
  <c r="U1" i="14"/>
  <c r="BB237" i="19"/>
  <c r="BA236" i="19"/>
  <c r="CJ8" i="9" l="1"/>
  <c r="CJ7" i="9"/>
  <c r="CJ6" i="9"/>
  <c r="CJ5" i="9"/>
  <c r="CJ3" i="9"/>
  <c r="CJ2" i="9"/>
  <c r="CO1" i="9"/>
  <c r="CP1" i="9" s="1"/>
  <c r="CH1" i="9"/>
  <c r="CI1" i="9" s="1"/>
  <c r="CH42" i="19"/>
  <c r="CH44" i="19"/>
  <c r="BZ9" i="9"/>
  <c r="BZ8" i="9"/>
  <c r="BZ25" i="9" s="1"/>
  <c r="BZ7" i="9"/>
  <c r="BZ24" i="9" s="1"/>
  <c r="CB24" i="9" s="1"/>
  <c r="BY24" i="9" s="1"/>
  <c r="BZ6" i="9"/>
  <c r="BZ5" i="9"/>
  <c r="BZ22" i="9" s="1"/>
  <c r="BZ4" i="9"/>
  <c r="BZ21" i="9" s="1"/>
  <c r="BZ3" i="9"/>
  <c r="BZ20" i="9" s="1"/>
  <c r="CA3" i="9"/>
  <c r="CB25" i="9" l="1"/>
  <c r="BY25" i="9" s="1"/>
  <c r="CA4" i="9"/>
  <c r="CA5" i="9"/>
  <c r="BR2" i="19"/>
  <c r="CH37" i="19"/>
  <c r="CH35" i="19"/>
  <c r="CH32" i="19"/>
  <c r="CH30" i="19"/>
  <c r="CH28" i="19"/>
  <c r="CH25" i="19"/>
  <c r="CH23" i="19"/>
  <c r="CH19" i="19"/>
  <c r="CH17" i="19"/>
  <c r="CH15" i="19"/>
  <c r="CH12" i="19"/>
  <c r="CH10" i="19"/>
  <c r="CH8" i="19"/>
  <c r="CH6" i="19"/>
  <c r="BT6" i="19"/>
  <c r="BT17" i="19"/>
  <c r="BT15" i="19"/>
  <c r="BT23" i="19"/>
  <c r="BT28" i="19"/>
  <c r="BT30" i="19"/>
  <c r="BT32" i="19"/>
  <c r="BT37" i="19"/>
  <c r="BT35" i="19"/>
  <c r="BO6" i="19"/>
  <c r="BN6" i="19"/>
  <c r="BZ6" i="19"/>
  <c r="BY6" i="19"/>
  <c r="AL1" i="14" l="1"/>
  <c r="AL1" i="15"/>
  <c r="AM1" i="14"/>
  <c r="AM1" i="15"/>
  <c r="AI1" i="11"/>
  <c r="AL1" i="16"/>
  <c r="BY41" i="19"/>
  <c r="BY40" i="19"/>
  <c r="BY39" i="19"/>
  <c r="BZ47" i="19"/>
  <c r="AJ1" i="11"/>
  <c r="AK1" i="11" s="1"/>
  <c r="AN1" i="14" s="1"/>
  <c r="AM1" i="16"/>
  <c r="BZ41" i="19"/>
  <c r="BZ40" i="19"/>
  <c r="BZ39" i="19"/>
  <c r="BY1" i="19"/>
  <c r="BY47" i="19"/>
  <c r="BO12" i="19"/>
  <c r="BO1" i="19"/>
  <c r="BN12" i="19"/>
  <c r="BN1" i="19"/>
  <c r="BZ15" i="19"/>
  <c r="BZ1" i="19"/>
  <c r="BZ42" i="19"/>
  <c r="BZ10" i="19"/>
  <c r="BZ12" i="19"/>
  <c r="BY15" i="19"/>
  <c r="BY42" i="19"/>
  <c r="BY32" i="19"/>
  <c r="BZ32" i="19"/>
  <c r="CA6" i="9"/>
  <c r="BY35" i="19"/>
  <c r="BY17" i="19"/>
  <c r="BZ17" i="19"/>
  <c r="BY8" i="19"/>
  <c r="BZ23" i="19"/>
  <c r="BZ35" i="19"/>
  <c r="BW6" i="19"/>
  <c r="BW28" i="19" s="1"/>
  <c r="BX6" i="19"/>
  <c r="BZ8" i="19"/>
  <c r="BY23" i="19"/>
  <c r="BY10" i="19"/>
  <c r="BZ28" i="19"/>
  <c r="BY25" i="19"/>
  <c r="BY19" i="19"/>
  <c r="BZ25" i="19"/>
  <c r="BY37" i="19"/>
  <c r="BZ19" i="19"/>
  <c r="BZ37" i="19"/>
  <c r="BY12" i="19"/>
  <c r="BY28" i="19"/>
  <c r="BY30" i="19"/>
  <c r="BZ30" i="19"/>
  <c r="BN8" i="19"/>
  <c r="BO8" i="19"/>
  <c r="BO10" i="19"/>
  <c r="BN10" i="19"/>
  <c r="BP1" i="19" l="1"/>
  <c r="BQ1" i="19" s="1"/>
  <c r="AI1" i="14"/>
  <c r="AI1" i="15"/>
  <c r="AJ1" i="14"/>
  <c r="AJ1" i="15"/>
  <c r="AJ1" i="16"/>
  <c r="BX41" i="19"/>
  <c r="BX40" i="19"/>
  <c r="BX39" i="19"/>
  <c r="AI1" i="16"/>
  <c r="BW40" i="19"/>
  <c r="BW39" i="19"/>
  <c r="BW41" i="19"/>
  <c r="BX1" i="19"/>
  <c r="BX47" i="19"/>
  <c r="BW1" i="19"/>
  <c r="BW47" i="19"/>
  <c r="BW15" i="19"/>
  <c r="BX15" i="19"/>
  <c r="BX44" i="19"/>
  <c r="BX42" i="19"/>
  <c r="BW12" i="19"/>
  <c r="BW42" i="19"/>
  <c r="BW44" i="19"/>
  <c r="BW23" i="19"/>
  <c r="CA7" i="9"/>
  <c r="BX8" i="19"/>
  <c r="BW8" i="19"/>
  <c r="BX32" i="19"/>
  <c r="BX19" i="19"/>
  <c r="BX17" i="19"/>
  <c r="BX25" i="19"/>
  <c r="BX10" i="19"/>
  <c r="BX23" i="19"/>
  <c r="BX37" i="19"/>
  <c r="BX35" i="19"/>
  <c r="BW35" i="19"/>
  <c r="BW37" i="19"/>
  <c r="BW19" i="19"/>
  <c r="BW10" i="19"/>
  <c r="BW17" i="19"/>
  <c r="BX28" i="19"/>
  <c r="BW32" i="19"/>
  <c r="BX12" i="19"/>
  <c r="BW25" i="19"/>
  <c r="BW30" i="19"/>
  <c r="BX30" i="19"/>
  <c r="AQ1" i="16" l="1"/>
  <c r="CB1" i="19"/>
  <c r="CA8" i="9"/>
  <c r="CA10" i="9" s="1"/>
  <c r="BU37" i="19"/>
  <c r="BU35" i="19"/>
  <c r="BS34" i="19"/>
  <c r="BU25" i="19"/>
  <c r="BU23" i="19"/>
  <c r="BU32" i="19"/>
  <c r="BU30" i="19"/>
  <c r="BU28" i="19"/>
  <c r="BU27" i="19"/>
  <c r="BU22" i="19"/>
  <c r="BS21" i="19"/>
  <c r="BU19" i="19"/>
  <c r="BU17" i="19"/>
  <c r="BU15" i="19"/>
  <c r="BS14" i="19"/>
  <c r="BU12" i="19"/>
  <c r="BU10" i="19"/>
  <c r="BU8" i="19"/>
  <c r="BU6" i="19"/>
  <c r="BS5" i="19"/>
  <c r="BK12" i="19"/>
  <c r="BK8" i="19"/>
  <c r="BK6" i="19"/>
  <c r="BK10" i="19"/>
  <c r="BM25" i="19"/>
  <c r="BL25" i="19"/>
  <c r="BM24" i="19"/>
  <c r="BI6" i="19"/>
  <c r="BJ6" i="19"/>
  <c r="BH6" i="19"/>
  <c r="BA215" i="19"/>
  <c r="BA193" i="19"/>
  <c r="BA169" i="19"/>
  <c r="BA146" i="19"/>
  <c r="BA128" i="19"/>
  <c r="BA68" i="19"/>
  <c r="BA46" i="19"/>
  <c r="BA25" i="19"/>
  <c r="BA6" i="19"/>
  <c r="AZ15" i="19" l="1"/>
  <c r="AJ33" i="9" l="1"/>
  <c r="AK70" i="19"/>
  <c r="Z124" i="19"/>
  <c r="Z159" i="19"/>
  <c r="Z165" i="19"/>
  <c r="AH168" i="19"/>
  <c r="AK168" i="19" s="1"/>
  <c r="AH159" i="19"/>
  <c r="AH158" i="19" s="1"/>
  <c r="BF10" i="16"/>
  <c r="AC3" i="16"/>
  <c r="X3" i="16"/>
  <c r="X2" i="16"/>
  <c r="AC3" i="15"/>
  <c r="X3" i="15"/>
  <c r="X2" i="15"/>
  <c r="AC3" i="14"/>
  <c r="X3" i="14"/>
  <c r="X2" i="14"/>
  <c r="AC3" i="11"/>
  <c r="X3" i="11"/>
  <c r="X2" i="11"/>
  <c r="AD1" i="11"/>
  <c r="AC3" i="12"/>
  <c r="X2" i="12"/>
  <c r="AC3" i="9"/>
  <c r="X3" i="9"/>
  <c r="X2" i="9"/>
  <c r="AD1" i="9"/>
  <c r="AS3" i="8"/>
  <c r="BM9" i="19" l="1"/>
  <c r="AU2" i="8"/>
  <c r="AK159" i="19"/>
  <c r="AK158" i="19" s="1"/>
  <c r="AE2" i="11" l="1"/>
  <c r="AE2" i="22"/>
  <c r="AE2" i="14"/>
  <c r="AE2" i="15"/>
  <c r="AE2" i="16"/>
  <c r="AE2" i="9"/>
  <c r="AE2" i="12"/>
  <c r="AQ1" i="8"/>
  <c r="AU1" i="8"/>
  <c r="AO1" i="8"/>
  <c r="AM1" i="8"/>
  <c r="AT1" i="8"/>
  <c r="AS1" i="8"/>
  <c r="AC1" i="22" s="1"/>
  <c r="AR1" i="8"/>
  <c r="AE3" i="22" l="1"/>
  <c r="AZ3" i="22"/>
  <c r="AR3" i="22"/>
  <c r="W1" i="15"/>
  <c r="W1" i="14"/>
  <c r="W1" i="16"/>
  <c r="AK4" i="16" s="1"/>
  <c r="Y1" i="14"/>
  <c r="Y1" i="16"/>
  <c r="Y1" i="15"/>
  <c r="AE3" i="16"/>
  <c r="AA1" i="14"/>
  <c r="AA1" i="16"/>
  <c r="AA1" i="15"/>
  <c r="AE3" i="15"/>
  <c r="AC1" i="14"/>
  <c r="AC1" i="16"/>
  <c r="AC1" i="15"/>
  <c r="AE1" i="16"/>
  <c r="AE1" i="14"/>
  <c r="AE1" i="15"/>
  <c r="AE1" i="11"/>
  <c r="AE3" i="11" s="1"/>
  <c r="AE1" i="9"/>
  <c r="AE3" i="9" s="1"/>
  <c r="AU3" i="8"/>
  <c r="U1" i="11"/>
  <c r="U1" i="9"/>
  <c r="W1" i="11"/>
  <c r="W1" i="9"/>
  <c r="Y1" i="9"/>
  <c r="Y1" i="11"/>
  <c r="AA1" i="9"/>
  <c r="AA1" i="11"/>
  <c r="AC1" i="11"/>
  <c r="AC1" i="9"/>
  <c r="AH124" i="19"/>
  <c r="AH50" i="19"/>
  <c r="Z42" i="19"/>
  <c r="AH42" i="19"/>
  <c r="AH20" i="19"/>
  <c r="AH6" i="19"/>
  <c r="Z6" i="19"/>
  <c r="AK6" i="19" l="1"/>
  <c r="AF18" i="22"/>
  <c r="AF9" i="22"/>
  <c r="AF11" i="22"/>
  <c r="AF15" i="22"/>
  <c r="AF33" i="22"/>
  <c r="AF16" i="22"/>
  <c r="AF17" i="22"/>
  <c r="AF25" i="22"/>
  <c r="AF10" i="22"/>
  <c r="AF8" i="22"/>
  <c r="AF26" i="22"/>
  <c r="AF7" i="22"/>
  <c r="AF28" i="22"/>
  <c r="AF29" i="22"/>
  <c r="AF27" i="22"/>
  <c r="Z3" i="19"/>
  <c r="AK124" i="19"/>
  <c r="BM11" i="19" s="1"/>
  <c r="U48" i="19"/>
  <c r="BD146" i="19"/>
  <c r="BD128" i="19"/>
  <c r="BV27" i="19" s="1"/>
  <c r="BD68" i="19"/>
  <c r="AM2" i="8"/>
  <c r="W2" i="22" s="1"/>
  <c r="AN3" i="22" s="1"/>
  <c r="AK42" i="19"/>
  <c r="BM7" i="19" s="1"/>
  <c r="W3" i="22" l="1"/>
  <c r="AV3" i="22"/>
  <c r="AK3" i="19"/>
  <c r="BV22" i="19"/>
  <c r="BM5" i="19"/>
  <c r="BD236" i="19"/>
  <c r="AK138" i="19"/>
  <c r="AK2" i="8"/>
  <c r="BD6" i="19"/>
  <c r="BV5" i="19" s="1"/>
  <c r="BD215" i="19"/>
  <c r="BV36" i="19" s="1"/>
  <c r="BM41" i="19"/>
  <c r="BD169" i="19"/>
  <c r="BD25" i="19"/>
  <c r="BV14" i="19" s="1"/>
  <c r="BD46" i="19"/>
  <c r="BD193" i="19"/>
  <c r="BV34" i="19" s="1"/>
  <c r="AQ2" i="8"/>
  <c r="AA2" i="22" s="1"/>
  <c r="AO2" i="8"/>
  <c r="Y2" i="22" s="1"/>
  <c r="W2" i="16"/>
  <c r="W2" i="9"/>
  <c r="W2" i="14"/>
  <c r="W2" i="11"/>
  <c r="W3" i="11" s="1"/>
  <c r="X1" i="11" s="1"/>
  <c r="AM3" i="8"/>
  <c r="AN15" i="8" s="1"/>
  <c r="W2" i="15"/>
  <c r="W3" i="15" s="1"/>
  <c r="X1" i="15" s="1"/>
  <c r="W2" i="12"/>
  <c r="AK32" i="8"/>
  <c r="AK24" i="8"/>
  <c r="AK6" i="8"/>
  <c r="S44" i="14"/>
  <c r="AP43" i="14"/>
  <c r="BF43" i="14" s="1"/>
  <c r="AG43" i="14"/>
  <c r="AP42" i="14"/>
  <c r="BF42" i="14" s="1"/>
  <c r="AG42" i="14"/>
  <c r="BF41" i="14"/>
  <c r="AP41" i="14"/>
  <c r="AG41" i="14"/>
  <c r="W3" i="16" l="1"/>
  <c r="X17" i="16" s="1"/>
  <c r="X18" i="22"/>
  <c r="X17" i="22"/>
  <c r="X16" i="22"/>
  <c r="X29" i="22"/>
  <c r="X1" i="22"/>
  <c r="X25" i="22"/>
  <c r="X9" i="22"/>
  <c r="X15" i="22"/>
  <c r="X8" i="22"/>
  <c r="X10" i="22"/>
  <c r="X26" i="22"/>
  <c r="X33" i="22"/>
  <c r="X11" i="22"/>
  <c r="X37" i="22"/>
  <c r="X7" i="22"/>
  <c r="X27" i="22"/>
  <c r="X28" i="22"/>
  <c r="AS37" i="22"/>
  <c r="U2" i="11"/>
  <c r="U3" i="11" s="1"/>
  <c r="U2" i="22"/>
  <c r="AA3" i="22"/>
  <c r="AX3" i="22"/>
  <c r="AQ3" i="22"/>
  <c r="AP3" i="22"/>
  <c r="AY3" i="22"/>
  <c r="Y3" i="22"/>
  <c r="AW3" i="22"/>
  <c r="AO3" i="22"/>
  <c r="U2" i="16"/>
  <c r="U3" i="16" s="1"/>
  <c r="W3" i="9"/>
  <c r="X1" i="9" s="1"/>
  <c r="AL37" i="9"/>
  <c r="BD3" i="19"/>
  <c r="U2" i="14"/>
  <c r="U2" i="9"/>
  <c r="AK3" i="8"/>
  <c r="AL7" i="8" s="1"/>
  <c r="U2" i="12"/>
  <c r="U2" i="15"/>
  <c r="U3" i="15" s="1"/>
  <c r="Y2" i="15"/>
  <c r="Y3" i="15" s="1"/>
  <c r="Y2" i="9"/>
  <c r="Y2" i="12"/>
  <c r="Y2" i="16"/>
  <c r="Y3" i="16" s="1"/>
  <c r="Y2" i="11"/>
  <c r="Y3" i="11" s="1"/>
  <c r="Y2" i="14"/>
  <c r="AO3" i="8"/>
  <c r="AQ3" i="8"/>
  <c r="AA2" i="15"/>
  <c r="AA3" i="15" s="1"/>
  <c r="AA2" i="9"/>
  <c r="AA2" i="11"/>
  <c r="AA3" i="11" s="1"/>
  <c r="AA2" i="14"/>
  <c r="AA2" i="12"/>
  <c r="AA2" i="16"/>
  <c r="AA3" i="16" s="1"/>
  <c r="AP33" i="14"/>
  <c r="X1" i="16" l="1"/>
  <c r="AB18" i="22"/>
  <c r="AB11" i="22"/>
  <c r="AB17" i="22"/>
  <c r="AB9" i="22"/>
  <c r="AB16" i="22"/>
  <c r="AB7" i="22"/>
  <c r="AB8" i="22"/>
  <c r="AB15" i="22"/>
  <c r="AB25" i="22"/>
  <c r="AB10" i="22"/>
  <c r="AB29" i="22"/>
  <c r="AB28" i="22"/>
  <c r="AB27" i="22"/>
  <c r="AB26" i="22"/>
  <c r="Z11" i="22"/>
  <c r="Z10" i="22"/>
  <c r="Z7" i="22"/>
  <c r="Z18" i="22"/>
  <c r="Z17" i="22"/>
  <c r="Z37" i="22"/>
  <c r="Z27" i="22"/>
  <c r="Z16" i="22"/>
  <c r="Z29" i="22"/>
  <c r="Z9" i="22"/>
  <c r="Z26" i="22"/>
  <c r="Z15" i="22"/>
  <c r="Z28" i="22"/>
  <c r="Z33" i="22"/>
  <c r="Z25" i="22"/>
  <c r="Z8" i="22"/>
  <c r="U3" i="22"/>
  <c r="AU3" i="22"/>
  <c r="BA3" i="22" s="1"/>
  <c r="AM3" i="22"/>
  <c r="AS3" i="22" s="1"/>
  <c r="AH7" i="22"/>
  <c r="AH7" i="9"/>
  <c r="AA3" i="9"/>
  <c r="Y3" i="9"/>
  <c r="U3" i="9"/>
  <c r="BG4" i="9"/>
  <c r="V9" i="22" l="1"/>
  <c r="AI9" i="22" s="1"/>
  <c r="V18" i="22"/>
  <c r="AI18" i="22" s="1"/>
  <c r="V15" i="22"/>
  <c r="AI15" i="22" s="1"/>
  <c r="V11" i="22"/>
  <c r="AI11" i="22" s="1"/>
  <c r="AI13" i="22" s="1"/>
  <c r="V25" i="22"/>
  <c r="AI25" i="22" s="1"/>
  <c r="V10" i="22"/>
  <c r="AI10" i="22" s="1"/>
  <c r="V17" i="22"/>
  <c r="AI17" i="22" s="1"/>
  <c r="V29" i="22"/>
  <c r="AI29" i="22" s="1"/>
  <c r="V28" i="22"/>
  <c r="AI28" i="22" s="1"/>
  <c r="V16" i="22"/>
  <c r="AI16" i="22" s="1"/>
  <c r="V33" i="22"/>
  <c r="AI33" i="22" s="1"/>
  <c r="V27" i="22"/>
  <c r="AI27" i="22" s="1"/>
  <c r="V26" i="22"/>
  <c r="AI26" i="22" s="1"/>
  <c r="V8" i="22"/>
  <c r="AI8" i="22" s="1"/>
  <c r="V37" i="22"/>
  <c r="AI37" i="22" s="1"/>
  <c r="V7" i="22"/>
  <c r="AI7" i="22" s="1"/>
  <c r="AA16" i="8"/>
  <c r="AA38" i="8"/>
  <c r="AA37" i="8"/>
  <c r="AA36" i="8"/>
  <c r="AA35" i="8"/>
  <c r="AA34" i="8"/>
  <c r="AB34" i="8" s="1"/>
  <c r="AA30" i="8"/>
  <c r="AA29" i="8"/>
  <c r="AA28" i="8"/>
  <c r="AA27" i="8"/>
  <c r="AA26" i="8"/>
  <c r="AB26" i="8" s="1"/>
  <c r="AA20" i="8"/>
  <c r="AA19" i="8"/>
  <c r="AA18" i="8"/>
  <c r="AA17" i="8"/>
  <c r="AB16" i="8"/>
  <c r="AA11" i="8"/>
  <c r="AA10" i="8"/>
  <c r="AA9" i="8"/>
  <c r="AB38" i="8" l="1"/>
  <c r="AB37" i="8"/>
  <c r="AB35" i="8"/>
  <c r="AB36" i="8"/>
  <c r="AB27" i="8"/>
  <c r="AB28" i="8"/>
  <c r="AB30" i="8"/>
  <c r="AB29" i="8"/>
  <c r="AB20" i="8"/>
  <c r="AB19" i="8"/>
  <c r="AB18" i="8"/>
  <c r="AB17" i="8"/>
  <c r="AA7" i="8"/>
  <c r="AB7" i="8" s="1"/>
  <c r="AE33" i="8"/>
  <c r="AC33" i="8"/>
  <c r="AE25" i="8"/>
  <c r="AC25" i="8"/>
  <c r="AE15" i="8"/>
  <c r="AC15" i="8"/>
  <c r="AC6" i="8"/>
  <c r="AE6" i="8"/>
  <c r="AB11" i="8" l="1"/>
  <c r="AB8" i="8"/>
  <c r="AB10" i="8"/>
  <c r="AB9" i="8"/>
  <c r="BA5" i="9"/>
  <c r="BW2" i="9"/>
  <c r="BW7" i="9"/>
  <c r="BX7" i="9" s="1"/>
  <c r="BV7" i="9"/>
  <c r="BW5" i="9"/>
  <c r="BX5" i="9" s="1"/>
  <c r="BV5" i="9"/>
  <c r="BW4" i="9"/>
  <c r="BX4" i="9" s="1"/>
  <c r="BV4" i="9"/>
  <c r="BW3" i="9"/>
  <c r="BX3" i="9" s="1"/>
  <c r="BV3" i="9"/>
  <c r="BV2" i="9"/>
  <c r="BN9" i="9"/>
  <c r="BN8" i="9"/>
  <c r="BN7" i="9"/>
  <c r="BN6" i="9"/>
  <c r="BN5" i="9"/>
  <c r="BN4" i="9"/>
  <c r="BN3" i="9"/>
  <c r="BN2" i="9"/>
  <c r="BD37" i="9"/>
  <c r="BC37" i="9"/>
  <c r="BA12" i="16"/>
  <c r="BX2" i="9" l="1"/>
  <c r="BX10" i="9" s="1"/>
  <c r="BW10" i="9"/>
  <c r="AM7" i="9"/>
  <c r="D30" i="17"/>
  <c r="D29" i="17"/>
  <c r="D28" i="17"/>
  <c r="D27" i="17"/>
  <c r="D26" i="17"/>
  <c r="D25" i="17"/>
  <c r="D24" i="17"/>
  <c r="D23" i="17"/>
  <c r="D22" i="17"/>
  <c r="D21" i="17"/>
  <c r="D20" i="17"/>
  <c r="D18" i="17"/>
  <c r="D19" i="17" s="1"/>
  <c r="D14" i="17"/>
  <c r="J12" i="17"/>
  <c r="F12" i="17"/>
  <c r="H12" i="17" s="1"/>
  <c r="J11" i="17"/>
  <c r="F11" i="17"/>
  <c r="H11" i="17" s="1"/>
  <c r="J10" i="17"/>
  <c r="F10" i="17"/>
  <c r="H10" i="17" s="1"/>
  <c r="J9" i="17"/>
  <c r="F9" i="17"/>
  <c r="H9" i="17" s="1"/>
  <c r="J14" i="17" l="1"/>
  <c r="F14" i="17"/>
  <c r="H14" i="17" s="1"/>
  <c r="AR37" i="9"/>
  <c r="AJ37" i="12"/>
  <c r="AI37" i="12"/>
  <c r="AK37" i="9"/>
  <c r="AJ37" i="9" s="1"/>
  <c r="AW37" i="8"/>
  <c r="AU35" i="8"/>
  <c r="AV37" i="8" s="1"/>
  <c r="AG37" i="9"/>
  <c r="AE35" i="9"/>
  <c r="AF37" i="9" s="1"/>
  <c r="AP37" i="12"/>
  <c r="AG37" i="12"/>
  <c r="AE35" i="12"/>
  <c r="AF37" i="12" s="1"/>
  <c r="AG37" i="11"/>
  <c r="AE35" i="11"/>
  <c r="AF37" i="11" s="1"/>
  <c r="AP37" i="14"/>
  <c r="AG37" i="14"/>
  <c r="AE35" i="14"/>
  <c r="AF37" i="14" s="1"/>
  <c r="BF37" i="15"/>
  <c r="AP37" i="15"/>
  <c r="AG37" i="15"/>
  <c r="AE35" i="15"/>
  <c r="AF37" i="15" s="1"/>
  <c r="BF37" i="16"/>
  <c r="AP37" i="16"/>
  <c r="AE35" i="16"/>
  <c r="AF37" i="16" s="1"/>
  <c r="AG37" i="16"/>
  <c r="AT37" i="8"/>
  <c r="AP37" i="8"/>
  <c r="AL37" i="8"/>
  <c r="BF37" i="14" l="1"/>
  <c r="AP33" i="16" l="1"/>
  <c r="BF33" i="16" s="1"/>
  <c r="AG33" i="16"/>
  <c r="AP29" i="16"/>
  <c r="BF29" i="16" s="1"/>
  <c r="AG29" i="16"/>
  <c r="AQ28" i="16"/>
  <c r="AP28" i="16" s="1"/>
  <c r="BF28" i="16" s="1"/>
  <c r="AG28" i="16"/>
  <c r="AQ27" i="16"/>
  <c r="AP27" i="16" s="1"/>
  <c r="BF27" i="16" s="1"/>
  <c r="AG27" i="16"/>
  <c r="AQ26" i="16"/>
  <c r="AP26" i="16" s="1"/>
  <c r="BF26" i="16" s="1"/>
  <c r="AG26" i="16"/>
  <c r="AQ25" i="16"/>
  <c r="AP25" i="16"/>
  <c r="AG25" i="16"/>
  <c r="AQ18" i="16"/>
  <c r="AP18" i="16" s="1"/>
  <c r="AG18" i="16"/>
  <c r="AQ17" i="16"/>
  <c r="AP17" i="16"/>
  <c r="BF17" i="16" s="1"/>
  <c r="AG17" i="16"/>
  <c r="AQ16" i="16"/>
  <c r="AP16" i="16"/>
  <c r="AG16" i="16"/>
  <c r="AQ15" i="16"/>
  <c r="AP15" i="16" s="1"/>
  <c r="BF15" i="16" s="1"/>
  <c r="AG15" i="16"/>
  <c r="AP11" i="16"/>
  <c r="AG11" i="16"/>
  <c r="AP10" i="16"/>
  <c r="AG10" i="16"/>
  <c r="AQ9" i="16"/>
  <c r="AP9" i="16"/>
  <c r="BF9" i="16" s="1"/>
  <c r="AG9" i="16"/>
  <c r="AQ8" i="16"/>
  <c r="AP8" i="16" s="1"/>
  <c r="AG8" i="16"/>
  <c r="AP7" i="16"/>
  <c r="BF7" i="16" s="1"/>
  <c r="AG7" i="16"/>
  <c r="AN1" i="16"/>
  <c r="AO1" i="16"/>
  <c r="AK1" i="16"/>
  <c r="AR1" i="16" s="1"/>
  <c r="AS1" i="16" s="1"/>
  <c r="AP11" i="14"/>
  <c r="BF11" i="14" s="1"/>
  <c r="AP33" i="15"/>
  <c r="BF33" i="15" s="1"/>
  <c r="AG33" i="15"/>
  <c r="AP29" i="15"/>
  <c r="BF29" i="15" s="1"/>
  <c r="AG29" i="15"/>
  <c r="AQ28" i="15"/>
  <c r="AP28" i="15" s="1"/>
  <c r="AG28" i="15"/>
  <c r="AQ27" i="15"/>
  <c r="AP27" i="15" s="1"/>
  <c r="BF27" i="15" s="1"/>
  <c r="AG27" i="15"/>
  <c r="AQ26" i="15"/>
  <c r="AP26" i="15" s="1"/>
  <c r="BF26" i="15" s="1"/>
  <c r="AG26" i="15"/>
  <c r="AQ25" i="15"/>
  <c r="AP25" i="15" s="1"/>
  <c r="AG25" i="15"/>
  <c r="AQ18" i="15"/>
  <c r="AP18" i="15"/>
  <c r="AG18" i="15"/>
  <c r="BF17" i="15"/>
  <c r="AQ17" i="15"/>
  <c r="AP17" i="15"/>
  <c r="AG17" i="15"/>
  <c r="AQ16" i="15"/>
  <c r="AP16" i="15"/>
  <c r="BF16" i="15" s="1"/>
  <c r="AG16" i="15"/>
  <c r="AQ15" i="15"/>
  <c r="AP15" i="15" s="1"/>
  <c r="BF15" i="15" s="1"/>
  <c r="AG15" i="15"/>
  <c r="AP11" i="15"/>
  <c r="BF11" i="15" s="1"/>
  <c r="AG11" i="15"/>
  <c r="AP10" i="15"/>
  <c r="AG10" i="15"/>
  <c r="BF9" i="15"/>
  <c r="AQ9" i="15"/>
  <c r="AP9" i="15"/>
  <c r="AG9" i="15"/>
  <c r="AQ8" i="15"/>
  <c r="AP8" i="15" s="1"/>
  <c r="AG8" i="15"/>
  <c r="AP7" i="15"/>
  <c r="BF7" i="15" s="1"/>
  <c r="AG7" i="15"/>
  <c r="AN1" i="15"/>
  <c r="AN2" i="15" s="1"/>
  <c r="AM2" i="15"/>
  <c r="AK1" i="15"/>
  <c r="AK7" i="15" s="1"/>
  <c r="BF33" i="14"/>
  <c r="BF28" i="14"/>
  <c r="BF27" i="14"/>
  <c r="BF26" i="14"/>
  <c r="BF25" i="14"/>
  <c r="BF18" i="14"/>
  <c r="BF17" i="14"/>
  <c r="BF16" i="14"/>
  <c r="BF15" i="14"/>
  <c r="BF10" i="14"/>
  <c r="BF9" i="14"/>
  <c r="BF8" i="14"/>
  <c r="BF7" i="14"/>
  <c r="AK7" i="16" l="1"/>
  <c r="AK9" i="15"/>
  <c r="BA9" i="15" s="1"/>
  <c r="AK37" i="15"/>
  <c r="BA37" i="15" s="1"/>
  <c r="AK8" i="15"/>
  <c r="BA8" i="15" s="1"/>
  <c r="AK33" i="15"/>
  <c r="BA33" i="15" s="1"/>
  <c r="BA7" i="15"/>
  <c r="AK29" i="15"/>
  <c r="AK25" i="15"/>
  <c r="BA25" i="15" s="1"/>
  <c r="AK28" i="15"/>
  <c r="BA28" i="15" s="1"/>
  <c r="AK27" i="15"/>
  <c r="BA27" i="15" s="1"/>
  <c r="AK26" i="15"/>
  <c r="BA26" i="15" s="1"/>
  <c r="AK15" i="15"/>
  <c r="BA15" i="15" s="1"/>
  <c r="AK17" i="15"/>
  <c r="BA17" i="15" s="1"/>
  <c r="AK16" i="15"/>
  <c r="BA16" i="15" s="1"/>
  <c r="AK10" i="15"/>
  <c r="BA10" i="15" s="1"/>
  <c r="AK18" i="15"/>
  <c r="BA18" i="15" s="1"/>
  <c r="AK11" i="15"/>
  <c r="AO11" i="15" s="1"/>
  <c r="AK27" i="16"/>
  <c r="BA27" i="16" s="1"/>
  <c r="AK26" i="16"/>
  <c r="BA26" i="16" s="1"/>
  <c r="AK10" i="16"/>
  <c r="AK25" i="16"/>
  <c r="AK18" i="16"/>
  <c r="BA18" i="16" s="1"/>
  <c r="AK15" i="16"/>
  <c r="BA15" i="16" s="1"/>
  <c r="AK17" i="16"/>
  <c r="BA17" i="16" s="1"/>
  <c r="AK16" i="16"/>
  <c r="BA16" i="16" s="1"/>
  <c r="AK11" i="16"/>
  <c r="AK13" i="16" s="1"/>
  <c r="BA7" i="16"/>
  <c r="AK9" i="16"/>
  <c r="BA9" i="16" s="1"/>
  <c r="AK37" i="16"/>
  <c r="AK8" i="16"/>
  <c r="BA8" i="16" s="1"/>
  <c r="AK33" i="16"/>
  <c r="AK28" i="16"/>
  <c r="BA28" i="16" s="1"/>
  <c r="AK29" i="16"/>
  <c r="AI2" i="16"/>
  <c r="X37" i="16"/>
  <c r="AY1" i="16"/>
  <c r="BA33" i="16"/>
  <c r="AZ1" i="16"/>
  <c r="AM2" i="16"/>
  <c r="BC1" i="16"/>
  <c r="Z10" i="15"/>
  <c r="AP1" i="15"/>
  <c r="AF16" i="15"/>
  <c r="BA1" i="16"/>
  <c r="BA37" i="16"/>
  <c r="AN2" i="16"/>
  <c r="BD1" i="16"/>
  <c r="BB1" i="16"/>
  <c r="AD28" i="16"/>
  <c r="AF25" i="16"/>
  <c r="BA10" i="16"/>
  <c r="BF18" i="16"/>
  <c r="AL2" i="16"/>
  <c r="AP1" i="16"/>
  <c r="BF8" i="16"/>
  <c r="BF16" i="16"/>
  <c r="BF11" i="16"/>
  <c r="BF25" i="16"/>
  <c r="BF28" i="15"/>
  <c r="BF8" i="15"/>
  <c r="BF25" i="15"/>
  <c r="AO1" i="15"/>
  <c r="AL2" i="15"/>
  <c r="BF18" i="15"/>
  <c r="AT1" i="16" l="1"/>
  <c r="BA25" i="16"/>
  <c r="AF8" i="15"/>
  <c r="BA29" i="16"/>
  <c r="AF29" i="15"/>
  <c r="AF33" i="15"/>
  <c r="AF18" i="15"/>
  <c r="AF9" i="15"/>
  <c r="AF28" i="15"/>
  <c r="AL17" i="15"/>
  <c r="AM17" i="15" s="1"/>
  <c r="AF17" i="15"/>
  <c r="BE1" i="16"/>
  <c r="BF1" i="16"/>
  <c r="AL8" i="15"/>
  <c r="AN8" i="15" s="1"/>
  <c r="BD8" i="15" s="1"/>
  <c r="AF26" i="15"/>
  <c r="AL29" i="15"/>
  <c r="AM29" i="15" s="1"/>
  <c r="AO29" i="15"/>
  <c r="BA11" i="16"/>
  <c r="AF7" i="15"/>
  <c r="BA29" i="15"/>
  <c r="AL7" i="15"/>
  <c r="AN7" i="15" s="1"/>
  <c r="BD7" i="15" s="1"/>
  <c r="BA11" i="15"/>
  <c r="AL11" i="15"/>
  <c r="AL25" i="15"/>
  <c r="AN25" i="15" s="1"/>
  <c r="BD25" i="15" s="1"/>
  <c r="AL15" i="15"/>
  <c r="AM15" i="15" s="1"/>
  <c r="AL18" i="15"/>
  <c r="BB18" i="15" s="1"/>
  <c r="AF10" i="15"/>
  <c r="AF15" i="15"/>
  <c r="AF29" i="16"/>
  <c r="AF11" i="15"/>
  <c r="AL10" i="15"/>
  <c r="AF33" i="16"/>
  <c r="AF8" i="16"/>
  <c r="V10" i="15"/>
  <c r="AL28" i="15"/>
  <c r="AD15" i="16"/>
  <c r="Z8" i="16"/>
  <c r="X10" i="15"/>
  <c r="AD11" i="16"/>
  <c r="AF16" i="16"/>
  <c r="AB11" i="15"/>
  <c r="AB8" i="15"/>
  <c r="AB26" i="15"/>
  <c r="AB29" i="15"/>
  <c r="AB9" i="15"/>
  <c r="AB18" i="15"/>
  <c r="AB15" i="15"/>
  <c r="AB7" i="15"/>
  <c r="AB25" i="15"/>
  <c r="AB17" i="15"/>
  <c r="AB27" i="15"/>
  <c r="AD7" i="16"/>
  <c r="AD18" i="16"/>
  <c r="AD33" i="16"/>
  <c r="AD10" i="16"/>
  <c r="AD16" i="16"/>
  <c r="AD29" i="16"/>
  <c r="X28" i="15"/>
  <c r="AF26" i="16"/>
  <c r="AD9" i="16"/>
  <c r="AF15" i="16"/>
  <c r="AF7" i="16"/>
  <c r="AB7" i="16"/>
  <c r="AB25" i="16"/>
  <c r="AB15" i="16"/>
  <c r="AB11" i="16"/>
  <c r="AB27" i="16"/>
  <c r="AB10" i="16"/>
  <c r="AB28" i="16"/>
  <c r="AB18" i="16"/>
  <c r="AB9" i="16"/>
  <c r="AB17" i="16"/>
  <c r="AD28" i="15"/>
  <c r="AD37" i="15"/>
  <c r="AD11" i="15"/>
  <c r="AD26" i="15"/>
  <c r="AD7" i="15"/>
  <c r="AD18" i="15"/>
  <c r="AD17" i="15"/>
  <c r="AD29" i="15"/>
  <c r="AD9" i="15"/>
  <c r="AD8" i="15"/>
  <c r="AD33" i="15"/>
  <c r="AD15" i="15"/>
  <c r="AD16" i="15"/>
  <c r="AD27" i="15"/>
  <c r="AD25" i="15"/>
  <c r="AD10" i="15"/>
  <c r="Z17" i="15"/>
  <c r="Z9" i="15"/>
  <c r="AL27" i="15"/>
  <c r="BB27" i="15" s="1"/>
  <c r="V15" i="16"/>
  <c r="V37" i="16"/>
  <c r="AD25" i="16"/>
  <c r="AD37" i="16"/>
  <c r="Z18" i="15"/>
  <c r="AF17" i="16"/>
  <c r="AD8" i="16"/>
  <c r="BD2" i="16"/>
  <c r="X37" i="15"/>
  <c r="AF25" i="15"/>
  <c r="Z11" i="15"/>
  <c r="AL16" i="15"/>
  <c r="AM16" i="15" s="1"/>
  <c r="AF28" i="16"/>
  <c r="X33" i="15"/>
  <c r="AF27" i="15"/>
  <c r="Z27" i="15"/>
  <c r="Z25" i="15"/>
  <c r="AL33" i="15"/>
  <c r="AM33" i="15" s="1"/>
  <c r="AF9" i="16"/>
  <c r="AF27" i="16"/>
  <c r="AF18" i="16"/>
  <c r="AF11" i="16"/>
  <c r="AB10" i="15"/>
  <c r="AF10" i="16"/>
  <c r="Z29" i="15"/>
  <c r="AL9" i="15"/>
  <c r="AN9" i="15" s="1"/>
  <c r="BD9" i="15" s="1"/>
  <c r="AD17" i="16"/>
  <c r="AD27" i="16"/>
  <c r="Z16" i="15"/>
  <c r="AD26" i="16"/>
  <c r="Z33" i="15"/>
  <c r="Z37" i="15"/>
  <c r="Z8" i="15"/>
  <c r="Z28" i="15"/>
  <c r="Z15" i="15"/>
  <c r="Z7" i="15"/>
  <c r="Z26" i="15"/>
  <c r="AB28" i="15"/>
  <c r="AB16" i="15"/>
  <c r="V18" i="16"/>
  <c r="V8" i="16"/>
  <c r="V26" i="16"/>
  <c r="V27" i="16"/>
  <c r="V17" i="16"/>
  <c r="V11" i="16"/>
  <c r="V28" i="16"/>
  <c r="AB29" i="16"/>
  <c r="AB26" i="16"/>
  <c r="AB16" i="16"/>
  <c r="V29" i="16"/>
  <c r="V10" i="16"/>
  <c r="V9" i="16"/>
  <c r="V7" i="16"/>
  <c r="V25" i="16"/>
  <c r="AB8" i="16"/>
  <c r="V33" i="16"/>
  <c r="V16" i="16"/>
  <c r="X33" i="16"/>
  <c r="X28" i="16"/>
  <c r="X16" i="16"/>
  <c r="X27" i="16"/>
  <c r="X29" i="16"/>
  <c r="X15" i="16"/>
  <c r="X7" i="16"/>
  <c r="X9" i="16"/>
  <c r="X18" i="16"/>
  <c r="X10" i="16"/>
  <c r="X8" i="16"/>
  <c r="X11" i="16"/>
  <c r="X25" i="16"/>
  <c r="X26" i="16"/>
  <c r="AL26" i="15"/>
  <c r="AM7" i="15"/>
  <c r="AM25" i="15" l="1"/>
  <c r="BC25" i="15" s="1"/>
  <c r="BB7" i="15"/>
  <c r="BB8" i="15"/>
  <c r="AM8" i="15"/>
  <c r="BC8" i="15" s="1"/>
  <c r="BB25" i="15"/>
  <c r="AN17" i="15"/>
  <c r="BD17" i="15" s="1"/>
  <c r="BB17" i="15"/>
  <c r="Z29" i="16"/>
  <c r="AH29" i="16" s="1"/>
  <c r="V33" i="15"/>
  <c r="AH33" i="15" s="1"/>
  <c r="AX33" i="15" s="1"/>
  <c r="AM18" i="15"/>
  <c r="AO18" i="15" s="1"/>
  <c r="BP18" i="16" s="1"/>
  <c r="V8" i="15"/>
  <c r="AH8" i="15" s="1"/>
  <c r="AX8" i="15" s="1"/>
  <c r="AN18" i="15"/>
  <c r="BD18" i="15" s="1"/>
  <c r="AN15" i="15"/>
  <c r="BD15" i="15" s="1"/>
  <c r="BB15" i="15"/>
  <c r="BG1" i="16"/>
  <c r="Z18" i="16"/>
  <c r="AH18" i="16" s="1"/>
  <c r="AX18" i="16" s="1"/>
  <c r="Z17" i="16"/>
  <c r="AM28" i="15"/>
  <c r="BC28" i="15" s="1"/>
  <c r="AO28" i="15"/>
  <c r="BP28" i="16" s="1"/>
  <c r="AN10" i="15"/>
  <c r="BD10" i="15" s="1"/>
  <c r="AO10" i="15"/>
  <c r="BP10" i="16" s="1"/>
  <c r="AM27" i="15"/>
  <c r="AO27" i="15" s="1"/>
  <c r="BP27" i="16" s="1"/>
  <c r="BB10" i="15"/>
  <c r="AM10" i="15"/>
  <c r="BC10" i="15" s="1"/>
  <c r="V17" i="15"/>
  <c r="AH17" i="15" s="1"/>
  <c r="AX17" i="15" s="1"/>
  <c r="V7" i="15"/>
  <c r="AH7" i="15" s="1"/>
  <c r="AI7" i="15" s="1"/>
  <c r="AJ7" i="15" s="1"/>
  <c r="V11" i="15"/>
  <c r="AH11" i="15" s="1"/>
  <c r="AU11" i="15" s="1"/>
  <c r="V18" i="15"/>
  <c r="AH18" i="15" s="1"/>
  <c r="V29" i="15"/>
  <c r="AH29" i="15" s="1"/>
  <c r="AI29" i="15" s="1"/>
  <c r="V26" i="15"/>
  <c r="AH26" i="15" s="1"/>
  <c r="AI26" i="15" s="1"/>
  <c r="AN28" i="15"/>
  <c r="BD28" i="15" s="1"/>
  <c r="Z10" i="16"/>
  <c r="AH10" i="16" s="1"/>
  <c r="AX10" i="16" s="1"/>
  <c r="V25" i="15"/>
  <c r="AH25" i="15" s="1"/>
  <c r="V15" i="15"/>
  <c r="AH15" i="15" s="1"/>
  <c r="AI15" i="15" s="1"/>
  <c r="Z9" i="16"/>
  <c r="AH9" i="16" s="1"/>
  <c r="AX9" i="16" s="1"/>
  <c r="Z27" i="16"/>
  <c r="AH27" i="16" s="1"/>
  <c r="AI27" i="16" s="1"/>
  <c r="V28" i="15"/>
  <c r="AH28" i="15" s="1"/>
  <c r="AI28" i="15" s="1"/>
  <c r="Z26" i="16"/>
  <c r="AH26" i="16" s="1"/>
  <c r="AI26" i="16" s="1"/>
  <c r="AJ26" i="16" s="1"/>
  <c r="BB28" i="15"/>
  <c r="Z33" i="16"/>
  <c r="AH33" i="16" s="1"/>
  <c r="AX33" i="16" s="1"/>
  <c r="Z28" i="16"/>
  <c r="AH28" i="16" s="1"/>
  <c r="AX28" i="16" s="1"/>
  <c r="Z11" i="16"/>
  <c r="AH11" i="16" s="1"/>
  <c r="AH13" i="16" s="1"/>
  <c r="V16" i="15"/>
  <c r="AH16" i="15" s="1"/>
  <c r="AI16" i="15" s="1"/>
  <c r="Z16" i="16"/>
  <c r="AH16" i="16" s="1"/>
  <c r="Z7" i="16"/>
  <c r="Z25" i="16"/>
  <c r="AH25" i="16" s="1"/>
  <c r="AI25" i="16" s="1"/>
  <c r="AJ25" i="16" s="1"/>
  <c r="Z15" i="16"/>
  <c r="AH15" i="16" s="1"/>
  <c r="V9" i="15"/>
  <c r="AH9" i="15" s="1"/>
  <c r="AX9" i="15" s="1"/>
  <c r="Z37" i="16"/>
  <c r="AH37" i="16" s="1"/>
  <c r="BB9" i="15"/>
  <c r="V37" i="15"/>
  <c r="AH37" i="15" s="1"/>
  <c r="AI37" i="15" s="1"/>
  <c r="V27" i="15"/>
  <c r="AH27" i="15" s="1"/>
  <c r="AH10" i="15"/>
  <c r="AU10" i="15" s="1"/>
  <c r="AN16" i="15"/>
  <c r="BD16" i="15" s="1"/>
  <c r="AN33" i="15"/>
  <c r="BD33" i="15" s="1"/>
  <c r="BB33" i="15"/>
  <c r="AN27" i="15"/>
  <c r="BD27" i="15" s="1"/>
  <c r="BB16" i="15"/>
  <c r="AM9" i="15"/>
  <c r="AO9" i="15" s="1"/>
  <c r="BP9" i="16" s="1"/>
  <c r="AH8" i="16"/>
  <c r="AI8" i="16" s="1"/>
  <c r="BC17" i="15"/>
  <c r="AO17" i="15"/>
  <c r="BP17" i="16" s="1"/>
  <c r="AO15" i="15"/>
  <c r="BP15" i="16" s="1"/>
  <c r="BC15" i="15"/>
  <c r="BC16" i="15"/>
  <c r="AO16" i="15"/>
  <c r="BP16" i="16" s="1"/>
  <c r="BC7" i="15"/>
  <c r="AO7" i="15"/>
  <c r="BP7" i="16" s="1"/>
  <c r="BC33" i="15"/>
  <c r="AO33" i="15"/>
  <c r="BP33" i="16" s="1"/>
  <c r="AO25" i="15"/>
  <c r="BP25" i="16" s="1"/>
  <c r="AN26" i="15"/>
  <c r="BD26" i="15" s="1"/>
  <c r="AM26" i="15"/>
  <c r="BB26" i="15"/>
  <c r="AH17" i="16" l="1"/>
  <c r="AX17" i="16" s="1"/>
  <c r="AY7" i="15"/>
  <c r="AO8" i="15"/>
  <c r="BP8" i="16" s="1"/>
  <c r="AX7" i="15"/>
  <c r="AL26" i="16"/>
  <c r="AM26" i="16" s="1"/>
  <c r="AO26" i="16" s="1"/>
  <c r="AU26" i="16"/>
  <c r="AL25" i="16"/>
  <c r="AU25" i="16"/>
  <c r="AI11" i="16"/>
  <c r="AJ11" i="16" s="1"/>
  <c r="AU11" i="16" s="1"/>
  <c r="BC18" i="15"/>
  <c r="BC27" i="15"/>
  <c r="AH7" i="16"/>
  <c r="AX7" i="16" s="1"/>
  <c r="AX18" i="15"/>
  <c r="AU18" i="15"/>
  <c r="AI18" i="15"/>
  <c r="AJ18" i="15" s="1"/>
  <c r="AZ18" i="15" s="1"/>
  <c r="AU8" i="15"/>
  <c r="AI8" i="15"/>
  <c r="AY8" i="15" s="1"/>
  <c r="AX26" i="16"/>
  <c r="AU25" i="15"/>
  <c r="AX25" i="15"/>
  <c r="AX25" i="16"/>
  <c r="AI16" i="16"/>
  <c r="AY16" i="16" s="1"/>
  <c r="AU26" i="15"/>
  <c r="AX26" i="15"/>
  <c r="AI9" i="15"/>
  <c r="AY9" i="15" s="1"/>
  <c r="AI11" i="15"/>
  <c r="AY11" i="15" s="1"/>
  <c r="AU9" i="15"/>
  <c r="AX10" i="15"/>
  <c r="AX11" i="15"/>
  <c r="AX11" i="16"/>
  <c r="AX29" i="15"/>
  <c r="AU15" i="15"/>
  <c r="AX15" i="15"/>
  <c r="AU28" i="15"/>
  <c r="AX28" i="15"/>
  <c r="AI27" i="15"/>
  <c r="AJ27" i="15" s="1"/>
  <c r="AZ27" i="15" s="1"/>
  <c r="AX27" i="15"/>
  <c r="AU27" i="15"/>
  <c r="AI33" i="15"/>
  <c r="AY33" i="15" s="1"/>
  <c r="AU29" i="15"/>
  <c r="BI29" i="15" s="1"/>
  <c r="BJ29" i="15" s="1"/>
  <c r="AI10" i="15"/>
  <c r="AY10" i="15" s="1"/>
  <c r="AI25" i="15"/>
  <c r="AX16" i="15"/>
  <c r="AI9" i="16"/>
  <c r="AY9" i="16" s="1"/>
  <c r="AI15" i="16"/>
  <c r="AJ15" i="16" s="1"/>
  <c r="AX37" i="15"/>
  <c r="AX15" i="16"/>
  <c r="AI17" i="15"/>
  <c r="AY17" i="15" s="1"/>
  <c r="AI28" i="16"/>
  <c r="AY28" i="16" s="1"/>
  <c r="AX16" i="16"/>
  <c r="AU17" i="15"/>
  <c r="AI33" i="16"/>
  <c r="AY33" i="16" s="1"/>
  <c r="AU16" i="15"/>
  <c r="AX29" i="16"/>
  <c r="BC9" i="15"/>
  <c r="AX8" i="16"/>
  <c r="AI10" i="16"/>
  <c r="AY10" i="16" s="1"/>
  <c r="AX37" i="16"/>
  <c r="AI37" i="16"/>
  <c r="AX27" i="16"/>
  <c r="AI29" i="16"/>
  <c r="AY37" i="15"/>
  <c r="AJ37" i="15"/>
  <c r="AI18" i="16"/>
  <c r="AY18" i="16" s="1"/>
  <c r="AI17" i="16"/>
  <c r="AY17" i="16" s="1"/>
  <c r="AJ8" i="16"/>
  <c r="AU8" i="16" s="1"/>
  <c r="AY8" i="16"/>
  <c r="AY25" i="16"/>
  <c r="AJ27" i="16"/>
  <c r="AU27" i="16" s="1"/>
  <c r="AY27" i="16"/>
  <c r="BE25" i="15"/>
  <c r="AR25" i="15"/>
  <c r="AS25" i="15" s="1"/>
  <c r="AY15" i="15"/>
  <c r="AJ15" i="15"/>
  <c r="AZ15" i="15" s="1"/>
  <c r="AJ26" i="15"/>
  <c r="AZ26" i="15" s="1"/>
  <c r="AY26" i="15"/>
  <c r="AR10" i="15"/>
  <c r="AS10" i="15" s="1"/>
  <c r="BE10" i="15"/>
  <c r="AR9" i="15"/>
  <c r="AS9" i="15" s="1"/>
  <c r="BE9" i="15"/>
  <c r="AJ16" i="15"/>
  <c r="AZ16" i="15" s="1"/>
  <c r="AY16" i="15"/>
  <c r="BE28" i="15"/>
  <c r="AR28" i="15"/>
  <c r="AS28" i="15" s="1"/>
  <c r="AJ28" i="15"/>
  <c r="AZ28" i="15" s="1"/>
  <c r="AY28" i="15"/>
  <c r="BE7" i="15"/>
  <c r="BK7" i="15" s="1"/>
  <c r="AR7" i="15"/>
  <c r="AS7" i="15" s="1"/>
  <c r="BE33" i="15"/>
  <c r="AR33" i="15"/>
  <c r="AS33" i="15" s="1"/>
  <c r="BE16" i="15"/>
  <c r="AR16" i="15"/>
  <c r="AS16" i="15" s="1"/>
  <c r="AY29" i="15"/>
  <c r="AJ29" i="15"/>
  <c r="BE27" i="15"/>
  <c r="AR27" i="15"/>
  <c r="AS27" i="15" s="1"/>
  <c r="BC26" i="15"/>
  <c r="AO26" i="15"/>
  <c r="BP26" i="16" s="1"/>
  <c r="BE18" i="15"/>
  <c r="AR18" i="15"/>
  <c r="AS18" i="15" s="1"/>
  <c r="BE15" i="15"/>
  <c r="AR15" i="15"/>
  <c r="AS15" i="15" s="1"/>
  <c r="BE17" i="15"/>
  <c r="AR17" i="15"/>
  <c r="AS17" i="15" s="1"/>
  <c r="AU7" i="15" l="1"/>
  <c r="AR8" i="15"/>
  <c r="AS8" i="15" s="1"/>
  <c r="BE8" i="15"/>
  <c r="BG8" i="15" s="1"/>
  <c r="BH8" i="15" s="1"/>
  <c r="AY11" i="16"/>
  <c r="AU15" i="16"/>
  <c r="AY29" i="16"/>
  <c r="AJ29" i="16"/>
  <c r="AZ15" i="16"/>
  <c r="AL11" i="16"/>
  <c r="AO11" i="16"/>
  <c r="AY18" i="15"/>
  <c r="AI7" i="16"/>
  <c r="AJ7" i="16" s="1"/>
  <c r="AL7" i="16" s="1"/>
  <c r="AJ8" i="15"/>
  <c r="AZ8" i="15" s="1"/>
  <c r="AY26" i="16"/>
  <c r="AJ11" i="15"/>
  <c r="AZ11" i="15" s="1"/>
  <c r="AZ7" i="15"/>
  <c r="AY27" i="15"/>
  <c r="AJ9" i="15"/>
  <c r="AZ9" i="15" s="1"/>
  <c r="AJ16" i="16"/>
  <c r="AJ17" i="15"/>
  <c r="AZ17" i="15" s="1"/>
  <c r="AJ33" i="15"/>
  <c r="AZ33" i="15" s="1"/>
  <c r="AJ9" i="16"/>
  <c r="AJ28" i="16"/>
  <c r="AL15" i="16"/>
  <c r="AM15" i="16" s="1"/>
  <c r="AJ18" i="16"/>
  <c r="AY25" i="15"/>
  <c r="AJ25" i="15"/>
  <c r="AZ25" i="15" s="1"/>
  <c r="AJ10" i="15"/>
  <c r="AZ10" i="15" s="1"/>
  <c r="AY15" i="16"/>
  <c r="AJ10" i="16"/>
  <c r="AU10" i="16" s="1"/>
  <c r="AJ33" i="16"/>
  <c r="AU33" i="16" s="1"/>
  <c r="AY37" i="16"/>
  <c r="AJ37" i="16"/>
  <c r="AU37" i="16" s="1"/>
  <c r="BG16" i="15"/>
  <c r="BH16" i="15" s="1"/>
  <c r="BK16" i="16"/>
  <c r="BK27" i="16"/>
  <c r="BG27" i="15"/>
  <c r="BH27" i="15" s="1"/>
  <c r="BK28" i="16"/>
  <c r="BG28" i="15"/>
  <c r="BH28" i="15" s="1"/>
  <c r="BG17" i="15"/>
  <c r="BH17" i="15" s="1"/>
  <c r="BK17" i="16"/>
  <c r="BG18" i="15"/>
  <c r="BH18" i="15" s="1"/>
  <c r="BK18" i="16"/>
  <c r="BK33" i="16"/>
  <c r="BG33" i="15"/>
  <c r="BH33" i="15" s="1"/>
  <c r="BG10" i="15"/>
  <c r="BH10" i="15" s="1"/>
  <c r="BK10" i="16"/>
  <c r="BG7" i="15"/>
  <c r="BH7" i="15" s="1"/>
  <c r="BK7" i="16"/>
  <c r="BK25" i="16"/>
  <c r="BG25" i="15"/>
  <c r="BH25" i="15" s="1"/>
  <c r="AZ37" i="15"/>
  <c r="AL37" i="15"/>
  <c r="BG15" i="15"/>
  <c r="BH15" i="15" s="1"/>
  <c r="BK15" i="16"/>
  <c r="BG9" i="15"/>
  <c r="BH9" i="15" s="1"/>
  <c r="BK9" i="16"/>
  <c r="AJ17" i="16"/>
  <c r="AZ25" i="16"/>
  <c r="AZ27" i="16"/>
  <c r="AL27" i="16"/>
  <c r="AZ8" i="16"/>
  <c r="AL8" i="16"/>
  <c r="AZ26" i="16"/>
  <c r="AZ29" i="15"/>
  <c r="AZ11" i="16"/>
  <c r="BE26" i="15"/>
  <c r="AR26" i="15"/>
  <c r="AS26" i="15" s="1"/>
  <c r="BK8" i="16" l="1"/>
  <c r="AL28" i="16"/>
  <c r="AO28" i="16" s="1"/>
  <c r="AU28" i="16"/>
  <c r="AL18" i="16"/>
  <c r="AN18" i="16" s="1"/>
  <c r="BD18" i="16" s="1"/>
  <c r="AU18" i="16"/>
  <c r="AJ4" i="16"/>
  <c r="AU9" i="16"/>
  <c r="AL29" i="16"/>
  <c r="AM29" i="16" s="1"/>
  <c r="AN29" i="16" s="1"/>
  <c r="BD29" i="16" s="1"/>
  <c r="AU29" i="16"/>
  <c r="BS29" i="16" s="1"/>
  <c r="BT29" i="16" s="1"/>
  <c r="AZ16" i="16"/>
  <c r="AU16" i="16"/>
  <c r="AL10" i="16"/>
  <c r="AN10" i="16" s="1"/>
  <c r="BD10" i="16" s="1"/>
  <c r="AZ17" i="16"/>
  <c r="AU17" i="16"/>
  <c r="AO29" i="16"/>
  <c r="BE29" i="16" s="1"/>
  <c r="AY7" i="16"/>
  <c r="AZ18" i="16"/>
  <c r="BB15" i="16"/>
  <c r="AN15" i="16"/>
  <c r="BD15" i="16" s="1"/>
  <c r="AL9" i="16"/>
  <c r="AN9" i="16" s="1"/>
  <c r="BD9" i="16" s="1"/>
  <c r="AZ28" i="16"/>
  <c r="AZ9" i="16"/>
  <c r="AL17" i="16"/>
  <c r="BB17" i="16" s="1"/>
  <c r="AL16" i="16"/>
  <c r="AM16" i="16" s="1"/>
  <c r="BC16" i="16" s="1"/>
  <c r="AZ29" i="16"/>
  <c r="AZ10" i="16"/>
  <c r="AL33" i="16"/>
  <c r="AZ33" i="16"/>
  <c r="AZ37" i="16"/>
  <c r="AL37" i="16"/>
  <c r="BK26" i="16"/>
  <c r="BG26" i="15"/>
  <c r="BH26" i="15" s="1"/>
  <c r="BB37" i="15"/>
  <c r="AM37" i="15"/>
  <c r="AN37" i="15"/>
  <c r="BD37" i="15" s="1"/>
  <c r="AN25" i="16"/>
  <c r="BD25" i="16" s="1"/>
  <c r="AM25" i="16"/>
  <c r="BB25" i="16"/>
  <c r="BC15" i="16"/>
  <c r="AO15" i="16"/>
  <c r="BM4" i="22" s="1"/>
  <c r="AN27" i="16"/>
  <c r="BD27" i="16" s="1"/>
  <c r="AM27" i="16"/>
  <c r="BB27" i="16"/>
  <c r="BB26" i="16"/>
  <c r="AN26" i="16"/>
  <c r="BD26" i="16" s="1"/>
  <c r="BB8" i="16"/>
  <c r="AN8" i="16"/>
  <c r="BD8" i="16" s="1"/>
  <c r="AM8" i="16"/>
  <c r="AM11" i="15"/>
  <c r="BB11" i="15"/>
  <c r="BB29" i="15"/>
  <c r="AM11" i="16"/>
  <c r="BB11" i="16"/>
  <c r="BB18" i="16" l="1"/>
  <c r="AM18" i="16"/>
  <c r="BC18" i="16" s="1"/>
  <c r="BB10" i="16"/>
  <c r="BQ29" i="16"/>
  <c r="BB28" i="16"/>
  <c r="AM28" i="16"/>
  <c r="BC28" i="16" s="1"/>
  <c r="BB29" i="16"/>
  <c r="AN28" i="16"/>
  <c r="BD28" i="16" s="1"/>
  <c r="AO10" i="16"/>
  <c r="BQ10" i="16" s="1"/>
  <c r="AM10" i="16"/>
  <c r="BC10" i="16" s="1"/>
  <c r="AJ6" i="16"/>
  <c r="AU7" i="16"/>
  <c r="BQ15" i="16"/>
  <c r="BM4" i="9"/>
  <c r="BB9" i="16"/>
  <c r="BC29" i="16"/>
  <c r="AZ7" i="16"/>
  <c r="AM9" i="16"/>
  <c r="AO9" i="16" s="1"/>
  <c r="BQ9" i="16" s="1"/>
  <c r="BB16" i="16"/>
  <c r="AM17" i="16"/>
  <c r="AO17" i="16" s="1"/>
  <c r="BM2" i="22" s="1"/>
  <c r="AN17" i="16"/>
  <c r="BD17" i="16" s="1"/>
  <c r="AO16" i="16"/>
  <c r="BM3" i="22" s="1"/>
  <c r="AN16" i="16"/>
  <c r="BD16" i="16" s="1"/>
  <c r="AN33" i="16"/>
  <c r="BD33" i="16" s="1"/>
  <c r="AM33" i="16"/>
  <c r="BB33" i="16"/>
  <c r="BC37" i="15"/>
  <c r="AO37" i="15"/>
  <c r="BB37" i="16"/>
  <c r="AN37" i="16"/>
  <c r="BD37" i="16" s="1"/>
  <c r="AM37" i="16"/>
  <c r="AR15" i="16"/>
  <c r="AS15" i="16" s="1"/>
  <c r="BE15" i="16"/>
  <c r="BQ28" i="16"/>
  <c r="BC25" i="16"/>
  <c r="AO25" i="16"/>
  <c r="BQ25" i="16" s="1"/>
  <c r="BC26" i="16"/>
  <c r="BQ26" i="16"/>
  <c r="BC8" i="16"/>
  <c r="AO8" i="16"/>
  <c r="BQ8" i="16" s="1"/>
  <c r="BC27" i="16"/>
  <c r="AO27" i="16"/>
  <c r="BQ27" i="16" s="1"/>
  <c r="AN29" i="15"/>
  <c r="BD29" i="15" s="1"/>
  <c r="BC29" i="15"/>
  <c r="BP29" i="16"/>
  <c r="AN11" i="15"/>
  <c r="BD11" i="15" s="1"/>
  <c r="BC11" i="15"/>
  <c r="BP11" i="16"/>
  <c r="AR29" i="16"/>
  <c r="AS29" i="16" s="1"/>
  <c r="BQ11" i="16"/>
  <c r="AN11" i="16"/>
  <c r="BD11" i="16" s="1"/>
  <c r="BC11" i="16"/>
  <c r="AO18" i="16" l="1"/>
  <c r="BQ16" i="16"/>
  <c r="BM3" i="9"/>
  <c r="BQ17" i="16"/>
  <c r="BM2" i="9"/>
  <c r="AM7" i="16"/>
  <c r="BB7" i="16"/>
  <c r="AN7" i="16"/>
  <c r="BD7" i="16" s="1"/>
  <c r="BC9" i="16"/>
  <c r="AR16" i="16"/>
  <c r="AS16" i="16" s="1"/>
  <c r="BE16" i="16"/>
  <c r="BG16" i="16" s="1"/>
  <c r="BH16" i="16" s="1"/>
  <c r="BC17" i="16"/>
  <c r="BC33" i="16"/>
  <c r="AO33" i="16"/>
  <c r="AO37" i="16"/>
  <c r="BC37" i="16"/>
  <c r="BP37" i="14"/>
  <c r="BP37" i="11"/>
  <c r="BP37" i="16"/>
  <c r="BQ37" i="15"/>
  <c r="BP37" i="15"/>
  <c r="BE37" i="15"/>
  <c r="AR37" i="15"/>
  <c r="AS37" i="15" s="1"/>
  <c r="BG15" i="16"/>
  <c r="BH15" i="16" s="1"/>
  <c r="BL15" i="16"/>
  <c r="BL29" i="16"/>
  <c r="BG29" i="16"/>
  <c r="BH29" i="16" s="1"/>
  <c r="BE9" i="16"/>
  <c r="AR9" i="16"/>
  <c r="AS9" i="16" s="1"/>
  <c r="BE25" i="16"/>
  <c r="AR25" i="16"/>
  <c r="AS25" i="16" s="1"/>
  <c r="AR28" i="16"/>
  <c r="AS28" i="16" s="1"/>
  <c r="BE28" i="16"/>
  <c r="BE26" i="16"/>
  <c r="AR26" i="16"/>
  <c r="AS26" i="16" s="1"/>
  <c r="BE17" i="16"/>
  <c r="AR17" i="16"/>
  <c r="AS17" i="16" s="1"/>
  <c r="BE27" i="16"/>
  <c r="AR27" i="16"/>
  <c r="AS27" i="16" s="1"/>
  <c r="AR8" i="16"/>
  <c r="AS8" i="16" s="1"/>
  <c r="BE8" i="16"/>
  <c r="BE10" i="16"/>
  <c r="AR10" i="16"/>
  <c r="AS10" i="16" s="1"/>
  <c r="AR11" i="15"/>
  <c r="AS11" i="15" s="1"/>
  <c r="BE11" i="15"/>
  <c r="BE29" i="15"/>
  <c r="AR29" i="15"/>
  <c r="AS29" i="15" s="1"/>
  <c r="BE11" i="16"/>
  <c r="AR11" i="16"/>
  <c r="AS11" i="16" s="1"/>
  <c r="BQ18" i="16" l="1"/>
  <c r="BM5" i="22"/>
  <c r="AO7" i="16"/>
  <c r="BE7" i="16" s="1"/>
  <c r="AR18" i="16"/>
  <c r="AS18" i="16" s="1"/>
  <c r="BE18" i="16"/>
  <c r="BG18" i="16" s="1"/>
  <c r="BH18" i="16" s="1"/>
  <c r="BM5" i="9"/>
  <c r="BC7" i="16"/>
  <c r="BL16" i="16"/>
  <c r="BQ33" i="16"/>
  <c r="AR33" i="16"/>
  <c r="AS33" i="16" s="1"/>
  <c r="BE33" i="16"/>
  <c r="BG11" i="15"/>
  <c r="BH11" i="15" s="1"/>
  <c r="BK11" i="16"/>
  <c r="BQ37" i="16"/>
  <c r="AR37" i="16"/>
  <c r="AS37" i="16" s="1"/>
  <c r="BE37" i="16"/>
  <c r="BK29" i="16"/>
  <c r="BG29" i="15"/>
  <c r="BH29" i="15" s="1"/>
  <c r="BK37" i="11"/>
  <c r="BK37" i="14"/>
  <c r="BL37" i="15"/>
  <c r="BK37" i="16"/>
  <c r="BK37" i="15"/>
  <c r="BG37" i="15"/>
  <c r="BH37" i="15" s="1"/>
  <c r="BG11" i="16"/>
  <c r="BH11" i="16" s="1"/>
  <c r="BL11" i="16"/>
  <c r="BL26" i="16"/>
  <c r="BG26" i="16"/>
  <c r="BH26" i="16" s="1"/>
  <c r="BL25" i="16"/>
  <c r="BG25" i="16"/>
  <c r="BH25" i="16" s="1"/>
  <c r="BG27" i="16"/>
  <c r="BH27" i="16" s="1"/>
  <c r="BL27" i="16"/>
  <c r="BG17" i="16"/>
  <c r="BH17" i="16" s="1"/>
  <c r="BL17" i="16"/>
  <c r="BL28" i="16"/>
  <c r="BG28" i="16"/>
  <c r="BH28" i="16" s="1"/>
  <c r="BG10" i="16"/>
  <c r="BH10" i="16" s="1"/>
  <c r="BL10" i="16"/>
  <c r="BG9" i="16"/>
  <c r="BH9" i="16" s="1"/>
  <c r="BL9" i="16"/>
  <c r="BG8" i="16"/>
  <c r="BH8" i="16" s="1"/>
  <c r="BL8" i="16"/>
  <c r="BL18" i="16" l="1"/>
  <c r="BQ7" i="16"/>
  <c r="AR7" i="16"/>
  <c r="AS7" i="16" s="1"/>
  <c r="BG33" i="16"/>
  <c r="BH33" i="16" s="1"/>
  <c r="BL33" i="16"/>
  <c r="BL37" i="16"/>
  <c r="BG37" i="16"/>
  <c r="BH37" i="16" s="1"/>
  <c r="BL7" i="16" l="1"/>
  <c r="BG7" i="16"/>
  <c r="BH7" i="16" s="1"/>
  <c r="AK1" i="14"/>
  <c r="AG33" i="14"/>
  <c r="AP29" i="14"/>
  <c r="BF29" i="14" s="1"/>
  <c r="AG29" i="14"/>
  <c r="AQ28" i="14"/>
  <c r="AP28" i="14" s="1"/>
  <c r="AG28" i="14"/>
  <c r="AQ27" i="14"/>
  <c r="AP27" i="14"/>
  <c r="AG27" i="14"/>
  <c r="AQ26" i="14"/>
  <c r="AP26" i="14" s="1"/>
  <c r="AG26" i="14"/>
  <c r="AQ25" i="14"/>
  <c r="AP25" i="14"/>
  <c r="AG25" i="14"/>
  <c r="AQ18" i="14"/>
  <c r="AP18" i="14"/>
  <c r="AG18" i="14"/>
  <c r="AQ17" i="14"/>
  <c r="AP17" i="14" s="1"/>
  <c r="AG17" i="14"/>
  <c r="AQ16" i="14"/>
  <c r="AP16" i="14"/>
  <c r="AG16" i="14"/>
  <c r="AQ15" i="14"/>
  <c r="AP15" i="14" s="1"/>
  <c r="AG15" i="14"/>
  <c r="AG11" i="14"/>
  <c r="AP10" i="14"/>
  <c r="AG10" i="14"/>
  <c r="AQ9" i="14"/>
  <c r="AP9" i="14" s="1"/>
  <c r="AG9" i="14"/>
  <c r="AQ8" i="14"/>
  <c r="AP8" i="14"/>
  <c r="AG8" i="14"/>
  <c r="AP7" i="14"/>
  <c r="AG7" i="14"/>
  <c r="AP1" i="14"/>
  <c r="AO1" i="14"/>
  <c r="AE3" i="14"/>
  <c r="AF43" i="14" s="1"/>
  <c r="AA3" i="14"/>
  <c r="Y3" i="14"/>
  <c r="W3" i="14"/>
  <c r="X1" i="14" s="1"/>
  <c r="U3" i="14"/>
  <c r="AR33" i="9"/>
  <c r="AQ33" i="9"/>
  <c r="AP33" i="9"/>
  <c r="AO33" i="9"/>
  <c r="AN33" i="9"/>
  <c r="AM33" i="9"/>
  <c r="AR29" i="9"/>
  <c r="AQ29" i="9"/>
  <c r="AP29" i="9"/>
  <c r="AO29" i="9"/>
  <c r="AN29" i="9"/>
  <c r="AM29" i="9"/>
  <c r="AR28" i="9"/>
  <c r="AQ28" i="9"/>
  <c r="AP28" i="9"/>
  <c r="AO28" i="9"/>
  <c r="AN28" i="9"/>
  <c r="AM28" i="9"/>
  <c r="AR27" i="9"/>
  <c r="AQ27" i="9"/>
  <c r="AP27" i="9"/>
  <c r="AO27" i="9"/>
  <c r="AN27" i="9"/>
  <c r="AM27" i="9"/>
  <c r="AR26" i="9"/>
  <c r="AQ26" i="9"/>
  <c r="AP26" i="9"/>
  <c r="AO26" i="9"/>
  <c r="AN26" i="9"/>
  <c r="AM26" i="9"/>
  <c r="AR25" i="9"/>
  <c r="AQ25" i="9"/>
  <c r="AP25" i="9"/>
  <c r="AO25" i="9"/>
  <c r="AN25" i="9"/>
  <c r="AM25" i="9"/>
  <c r="AR18" i="9"/>
  <c r="AQ18" i="9"/>
  <c r="AP18" i="9"/>
  <c r="AO18" i="9"/>
  <c r="AN18" i="9"/>
  <c r="AM18" i="9"/>
  <c r="AR17" i="9"/>
  <c r="AQ17" i="9"/>
  <c r="AP17" i="9"/>
  <c r="AO17" i="9"/>
  <c r="AN17" i="9"/>
  <c r="AM17" i="9"/>
  <c r="AR16" i="9"/>
  <c r="AQ16" i="9"/>
  <c r="AP16" i="9"/>
  <c r="AO16" i="9"/>
  <c r="AN16" i="9"/>
  <c r="AM16" i="9"/>
  <c r="AR15" i="9"/>
  <c r="AQ15" i="9"/>
  <c r="AP15" i="9"/>
  <c r="AO15" i="9"/>
  <c r="AN15" i="9"/>
  <c r="AM15" i="9"/>
  <c r="AR11" i="9"/>
  <c r="AQ11" i="9"/>
  <c r="AP11" i="9"/>
  <c r="AO11" i="9"/>
  <c r="AN11" i="9"/>
  <c r="AM11" i="9"/>
  <c r="AR10" i="9"/>
  <c r="AQ10" i="9"/>
  <c r="AP10" i="9"/>
  <c r="AO10" i="9"/>
  <c r="AN10" i="9"/>
  <c r="AM10" i="9"/>
  <c r="AR9" i="9"/>
  <c r="AQ9" i="9"/>
  <c r="AP9" i="9"/>
  <c r="AO9" i="9"/>
  <c r="AN9" i="9"/>
  <c r="AM9" i="9"/>
  <c r="AR8" i="9"/>
  <c r="AQ8" i="9"/>
  <c r="AP8" i="9"/>
  <c r="AO8" i="9"/>
  <c r="AN8" i="9"/>
  <c r="AM8" i="9"/>
  <c r="AR7" i="9"/>
  <c r="AQ7" i="9"/>
  <c r="AP7" i="9"/>
  <c r="AO7" i="9"/>
  <c r="AN7" i="9"/>
  <c r="AR5" i="9"/>
  <c r="AZ5" i="9" s="1"/>
  <c r="AQ5" i="9"/>
  <c r="AY5" i="9" s="1"/>
  <c r="AP5" i="9"/>
  <c r="AX5" i="9" s="1"/>
  <c r="AO5" i="9"/>
  <c r="AW5" i="9" s="1"/>
  <c r="AN5" i="9"/>
  <c r="AV5" i="9" s="1"/>
  <c r="AM5" i="9"/>
  <c r="AU5" i="9" s="1"/>
  <c r="AS16" i="9" l="1"/>
  <c r="AS29" i="9"/>
  <c r="AF42" i="14"/>
  <c r="AF41" i="14"/>
  <c r="AK28" i="14"/>
  <c r="BA28" i="14" s="1"/>
  <c r="AK16" i="14"/>
  <c r="BA16" i="14" s="1"/>
  <c r="AK27" i="14"/>
  <c r="BA27" i="14" s="1"/>
  <c r="AK43" i="14"/>
  <c r="BA43" i="14" s="1"/>
  <c r="AK26" i="14"/>
  <c r="BA26" i="14" s="1"/>
  <c r="AK37" i="14"/>
  <c r="BA37" i="14" s="1"/>
  <c r="AK25" i="14"/>
  <c r="BA25" i="14" s="1"/>
  <c r="AK18" i="14"/>
  <c r="BA18" i="14" s="1"/>
  <c r="AK8" i="14"/>
  <c r="BA8" i="14" s="1"/>
  <c r="AK17" i="14"/>
  <c r="BA17" i="14" s="1"/>
  <c r="AK42" i="14"/>
  <c r="BA42" i="14" s="1"/>
  <c r="AK10" i="14"/>
  <c r="BA10" i="14" s="1"/>
  <c r="AK41" i="14"/>
  <c r="BA41" i="14" s="1"/>
  <c r="AK9" i="14"/>
  <c r="BA9" i="14" s="1"/>
  <c r="AK33" i="14"/>
  <c r="BA33" i="14" s="1"/>
  <c r="AK29" i="14"/>
  <c r="BA29" i="14" s="1"/>
  <c r="AK15" i="14"/>
  <c r="BA15" i="14" s="1"/>
  <c r="AK11" i="14"/>
  <c r="BA11" i="14" s="1"/>
  <c r="AK7" i="14"/>
  <c r="BA7" i="14" s="1"/>
  <c r="AB29" i="14"/>
  <c r="AB43" i="14"/>
  <c r="AB42" i="14"/>
  <c r="AB41" i="14"/>
  <c r="AD37" i="14"/>
  <c r="AD43" i="14"/>
  <c r="AD41" i="14"/>
  <c r="AD42" i="14"/>
  <c r="X37" i="14"/>
  <c r="X7" i="14"/>
  <c r="X42" i="14"/>
  <c r="X41" i="14"/>
  <c r="X43" i="14"/>
  <c r="AS10" i="9"/>
  <c r="AL2" i="14"/>
  <c r="AN6" i="9"/>
  <c r="AS7" i="9"/>
  <c r="AN14" i="9"/>
  <c r="AM14" i="9"/>
  <c r="AS17" i="9"/>
  <c r="AP24" i="9"/>
  <c r="AS8" i="9"/>
  <c r="AQ24" i="9"/>
  <c r="AO24" i="9"/>
  <c r="AP14" i="9"/>
  <c r="AO14" i="9"/>
  <c r="AS9" i="9"/>
  <c r="AN24" i="9"/>
  <c r="AS15" i="9"/>
  <c r="AS33" i="9"/>
  <c r="AQ14" i="9"/>
  <c r="AP6" i="9"/>
  <c r="AS11" i="9"/>
  <c r="AR14" i="9"/>
  <c r="AR24" i="9"/>
  <c r="AS18" i="9"/>
  <c r="AS25" i="9"/>
  <c r="AM6" i="9"/>
  <c r="AS26" i="9"/>
  <c r="AS27" i="9"/>
  <c r="AM24" i="9"/>
  <c r="AQ6" i="9"/>
  <c r="AS28" i="9"/>
  <c r="AR6" i="9"/>
  <c r="AO6" i="9"/>
  <c r="AM2" i="14"/>
  <c r="AN2" i="14"/>
  <c r="X25" i="14"/>
  <c r="AD18" i="14"/>
  <c r="AD10" i="14"/>
  <c r="AD17" i="14"/>
  <c r="AB11" i="14"/>
  <c r="AB7" i="14"/>
  <c r="AB28" i="14"/>
  <c r="AD7" i="14"/>
  <c r="AD28" i="14"/>
  <c r="AF16" i="14"/>
  <c r="AB25" i="14"/>
  <c r="AD25" i="14"/>
  <c r="AD8" i="14"/>
  <c r="AB16" i="14"/>
  <c r="AD29" i="14"/>
  <c r="AD16" i="14"/>
  <c r="AB26" i="14"/>
  <c r="AD26" i="14"/>
  <c r="X8" i="14"/>
  <c r="AB8" i="14"/>
  <c r="AD11" i="14"/>
  <c r="X17" i="14"/>
  <c r="X26" i="14"/>
  <c r="X15" i="14"/>
  <c r="AB9" i="14"/>
  <c r="AD15" i="14"/>
  <c r="X18" i="14"/>
  <c r="X27" i="14"/>
  <c r="X33" i="14"/>
  <c r="AD9" i="14"/>
  <c r="AB27" i="14"/>
  <c r="AD33" i="14"/>
  <c r="AD27" i="14"/>
  <c r="AB15" i="14"/>
  <c r="X16" i="14"/>
  <c r="AF17" i="14"/>
  <c r="AF28" i="14"/>
  <c r="AF9" i="14"/>
  <c r="AF33" i="14"/>
  <c r="AF29" i="14"/>
  <c r="AF10" i="14"/>
  <c r="X9" i="14"/>
  <c r="X28" i="14"/>
  <c r="AB17" i="14"/>
  <c r="X29" i="14"/>
  <c r="AB18" i="14"/>
  <c r="X10" i="14"/>
  <c r="AB10" i="14"/>
  <c r="X11" i="14"/>
  <c r="Z42" i="14" l="1"/>
  <c r="Z43" i="14"/>
  <c r="Z41" i="14"/>
  <c r="V41" i="14"/>
  <c r="V7" i="14"/>
  <c r="V43" i="14"/>
  <c r="V42" i="14"/>
  <c r="AS6" i="9"/>
  <c r="AN2" i="9"/>
  <c r="AV18" i="9" s="1"/>
  <c r="AP2" i="9"/>
  <c r="AS14" i="9"/>
  <c r="AR2" i="9"/>
  <c r="AZ24" i="9" s="1"/>
  <c r="AM2" i="9"/>
  <c r="AQ2" i="9"/>
  <c r="AS24" i="9"/>
  <c r="AO2" i="9"/>
  <c r="Z11" i="14"/>
  <c r="Z37" i="14"/>
  <c r="V28" i="14"/>
  <c r="V37" i="14"/>
  <c r="V15" i="14"/>
  <c r="V33" i="14"/>
  <c r="V18" i="14"/>
  <c r="V27" i="14"/>
  <c r="V10" i="14"/>
  <c r="V25" i="14"/>
  <c r="AF18" i="14"/>
  <c r="AF11" i="14"/>
  <c r="AF8" i="14"/>
  <c r="AF27" i="14"/>
  <c r="AF25" i="14"/>
  <c r="Z26" i="14"/>
  <c r="AF15" i="14"/>
  <c r="Z25" i="14"/>
  <c r="AF26" i="14"/>
  <c r="Z15" i="14"/>
  <c r="AF7" i="14"/>
  <c r="Z8" i="14"/>
  <c r="Z18" i="14"/>
  <c r="V29" i="14"/>
  <c r="Z10" i="14"/>
  <c r="Z33" i="14"/>
  <c r="Z29" i="14"/>
  <c r="V11" i="14"/>
  <c r="Z7" i="14"/>
  <c r="Z16" i="14"/>
  <c r="Z27" i="14"/>
  <c r="Z9" i="14"/>
  <c r="Z28" i="14"/>
  <c r="V9" i="14"/>
  <c r="V26" i="14"/>
  <c r="V16" i="14"/>
  <c r="Z17" i="14"/>
  <c r="V8" i="14"/>
  <c r="V17" i="14"/>
  <c r="AH41" i="14" l="1"/>
  <c r="AU41" i="14" s="1"/>
  <c r="AV28" i="9"/>
  <c r="AV7" i="9"/>
  <c r="AV25" i="9"/>
  <c r="AV11" i="9"/>
  <c r="AV16" i="9"/>
  <c r="AV8" i="9"/>
  <c r="AV29" i="9"/>
  <c r="AV17" i="9"/>
  <c r="AV9" i="9"/>
  <c r="AV26" i="9"/>
  <c r="AV33" i="9"/>
  <c r="AV24" i="9"/>
  <c r="AV15" i="9"/>
  <c r="AH43" i="14"/>
  <c r="AU43" i="14" s="1"/>
  <c r="AH42" i="14"/>
  <c r="AU42" i="14" s="1"/>
  <c r="AH7" i="14"/>
  <c r="AV27" i="9"/>
  <c r="AS2" i="9"/>
  <c r="AM1" i="9" s="1"/>
  <c r="BA8" i="9"/>
  <c r="BA14" i="9"/>
  <c r="AU6" i="9"/>
  <c r="AV6" i="9"/>
  <c r="AV10" i="9"/>
  <c r="AV14" i="9"/>
  <c r="AX18" i="9"/>
  <c r="AX17" i="9"/>
  <c r="AX15" i="9"/>
  <c r="AX24" i="9"/>
  <c r="AX28" i="9"/>
  <c r="AX8" i="9"/>
  <c r="AX9" i="9"/>
  <c r="AX14" i="9"/>
  <c r="AX6" i="9"/>
  <c r="AX7" i="9"/>
  <c r="AX29" i="9"/>
  <c r="AX27" i="9"/>
  <c r="AX33" i="9"/>
  <c r="AX10" i="9"/>
  <c r="AX26" i="9"/>
  <c r="AX25" i="9"/>
  <c r="AX11" i="9"/>
  <c r="AX16" i="9"/>
  <c r="AY27" i="9"/>
  <c r="AY28" i="9"/>
  <c r="AY10" i="9"/>
  <c r="AY16" i="9"/>
  <c r="AY7" i="9"/>
  <c r="AY9" i="9"/>
  <c r="AY26" i="9"/>
  <c r="AY18" i="9"/>
  <c r="AY17" i="9"/>
  <c r="AY24" i="9"/>
  <c r="AY25" i="9"/>
  <c r="AY8" i="9"/>
  <c r="AY33" i="9"/>
  <c r="AY15" i="9"/>
  <c r="AY11" i="9"/>
  <c r="AY29" i="9"/>
  <c r="AY6" i="9"/>
  <c r="AU7" i="9"/>
  <c r="AU14" i="9"/>
  <c r="AU16" i="9"/>
  <c r="AU25" i="9"/>
  <c r="AU29" i="9"/>
  <c r="AU15" i="9"/>
  <c r="AU18" i="9"/>
  <c r="AU8" i="9"/>
  <c r="AU10" i="9"/>
  <c r="AU27" i="9"/>
  <c r="AU26" i="9"/>
  <c r="AU28" i="9"/>
  <c r="AU9" i="9"/>
  <c r="AU33" i="9"/>
  <c r="AU11" i="9"/>
  <c r="AU17" i="9"/>
  <c r="AU24" i="9"/>
  <c r="AZ17" i="9"/>
  <c r="AZ18" i="9"/>
  <c r="AZ25" i="9"/>
  <c r="AZ10" i="9"/>
  <c r="AZ28" i="9"/>
  <c r="AZ7" i="9"/>
  <c r="AZ8" i="9"/>
  <c r="AZ27" i="9"/>
  <c r="AZ15" i="9"/>
  <c r="AZ16" i="9"/>
  <c r="AZ9" i="9"/>
  <c r="AZ29" i="9"/>
  <c r="AZ33" i="9"/>
  <c r="AZ26" i="9"/>
  <c r="AZ11" i="9"/>
  <c r="AZ6" i="9"/>
  <c r="AY14" i="9"/>
  <c r="AZ14" i="9"/>
  <c r="AH27" i="14"/>
  <c r="AW16" i="9"/>
  <c r="AW8" i="9"/>
  <c r="AW15" i="9"/>
  <c r="AW24" i="9"/>
  <c r="AW28" i="9"/>
  <c r="AW7" i="9"/>
  <c r="AW17" i="9"/>
  <c r="AW33" i="9"/>
  <c r="AW29" i="9"/>
  <c r="AW18" i="9"/>
  <c r="AW25" i="9"/>
  <c r="AW26" i="9"/>
  <c r="AW14" i="9"/>
  <c r="AW10" i="9"/>
  <c r="AW9" i="9"/>
  <c r="AW27" i="9"/>
  <c r="AW11" i="9"/>
  <c r="AW6" i="9"/>
  <c r="AH37" i="14"/>
  <c r="AH11" i="14"/>
  <c r="AU11" i="14" s="1"/>
  <c r="AH9" i="14"/>
  <c r="AU9" i="14" s="1"/>
  <c r="AH28" i="14"/>
  <c r="AH17" i="14"/>
  <c r="AH10" i="14"/>
  <c r="AU10" i="14" s="1"/>
  <c r="AH33" i="14"/>
  <c r="AH26" i="14"/>
  <c r="AU26" i="14" s="1"/>
  <c r="AH15" i="14"/>
  <c r="AU15" i="14" s="1"/>
  <c r="AH25" i="14"/>
  <c r="AU25" i="14" s="1"/>
  <c r="AH8" i="14"/>
  <c r="AU8" i="14" s="1"/>
  <c r="AH18" i="14"/>
  <c r="AU18" i="14" s="1"/>
  <c r="AH16" i="14"/>
  <c r="AU16" i="14" s="1"/>
  <c r="AH29" i="14"/>
  <c r="AU29" i="14" s="1"/>
  <c r="AE1" i="12"/>
  <c r="AE3" i="12" s="1"/>
  <c r="W1" i="12"/>
  <c r="W3" i="12" s="1"/>
  <c r="E19" i="13"/>
  <c r="E18" i="13"/>
  <c r="U1" i="12" s="1"/>
  <c r="U3" i="12" s="1"/>
  <c r="E17" i="13"/>
  <c r="AA1" i="12" s="1"/>
  <c r="AA3" i="12" s="1"/>
  <c r="AB7" i="12" s="1"/>
  <c r="E16" i="13"/>
  <c r="E15" i="13"/>
  <c r="C42" i="13"/>
  <c r="C43" i="13" s="1"/>
  <c r="G41" i="13"/>
  <c r="L41" i="13" s="1"/>
  <c r="F41" i="13"/>
  <c r="S40" i="13"/>
  <c r="X40" i="13" s="1"/>
  <c r="L40" i="13"/>
  <c r="G40" i="13"/>
  <c r="F40" i="13"/>
  <c r="S39" i="13"/>
  <c r="L39" i="13"/>
  <c r="F39" i="13"/>
  <c r="F42" i="13" s="1"/>
  <c r="F44" i="13" s="1"/>
  <c r="S38" i="13"/>
  <c r="Y38" i="13" s="1"/>
  <c r="L38" i="13"/>
  <c r="F38" i="13"/>
  <c r="G38" i="13" s="1"/>
  <c r="S37" i="13"/>
  <c r="X37" i="13" s="1"/>
  <c r="L37" i="13"/>
  <c r="F37" i="13"/>
  <c r="G37" i="13" s="1"/>
  <c r="S36" i="13"/>
  <c r="L36" i="13"/>
  <c r="F36" i="13"/>
  <c r="G36" i="13" s="1"/>
  <c r="S35" i="13"/>
  <c r="Y35" i="13" s="1"/>
  <c r="L35" i="13"/>
  <c r="G35" i="13"/>
  <c r="F35" i="13"/>
  <c r="C22" i="13"/>
  <c r="F20" i="13"/>
  <c r="G20" i="13" s="1"/>
  <c r="S19" i="13"/>
  <c r="F19" i="13"/>
  <c r="AD18" i="13"/>
  <c r="AE18" i="13" s="1"/>
  <c r="S18" i="13"/>
  <c r="X18" i="13" s="1"/>
  <c r="F18" i="13"/>
  <c r="G18" i="13" s="1"/>
  <c r="L18" i="13" s="1"/>
  <c r="S17" i="13"/>
  <c r="Y17" i="13" s="1"/>
  <c r="F17" i="13"/>
  <c r="G17" i="13" s="1"/>
  <c r="S16" i="13"/>
  <c r="F16" i="13"/>
  <c r="G16" i="13" s="1"/>
  <c r="L16" i="13" s="1"/>
  <c r="S15" i="13"/>
  <c r="X15" i="13" s="1"/>
  <c r="F15" i="13"/>
  <c r="G15" i="13" s="1"/>
  <c r="L15" i="13" s="1"/>
  <c r="AE14" i="13"/>
  <c r="S14" i="13"/>
  <c r="C9" i="13"/>
  <c r="AI33" i="12"/>
  <c r="AG33" i="12"/>
  <c r="AI29" i="12"/>
  <c r="AG29" i="12"/>
  <c r="AJ28" i="12"/>
  <c r="AI28" i="12"/>
  <c r="AG28" i="12"/>
  <c r="AJ27" i="12"/>
  <c r="AI27" i="12" s="1"/>
  <c r="AG27" i="12"/>
  <c r="AJ26" i="12"/>
  <c r="AI26" i="12"/>
  <c r="AG26" i="12"/>
  <c r="AJ25" i="12"/>
  <c r="AI25" i="12"/>
  <c r="AG25" i="12"/>
  <c r="AJ18" i="12"/>
  <c r="AI18" i="12" s="1"/>
  <c r="AG18" i="12"/>
  <c r="AJ17" i="12"/>
  <c r="AI17" i="12"/>
  <c r="AG17" i="12"/>
  <c r="AJ16" i="12"/>
  <c r="AI16" i="12"/>
  <c r="AG16" i="12"/>
  <c r="AJ15" i="12"/>
  <c r="AI15" i="12"/>
  <c r="AG15" i="12"/>
  <c r="AI11" i="12"/>
  <c r="AG11" i="12"/>
  <c r="AI10" i="12"/>
  <c r="AG10" i="12"/>
  <c r="AJ9" i="12"/>
  <c r="AI9" i="12"/>
  <c r="AG9" i="12"/>
  <c r="AJ8" i="12"/>
  <c r="AI8" i="12" s="1"/>
  <c r="AG8" i="12"/>
  <c r="AI7" i="12"/>
  <c r="AG7" i="12"/>
  <c r="X3" i="12"/>
  <c r="AK37" i="12"/>
  <c r="AL37" i="12" s="1"/>
  <c r="AD1" i="12"/>
  <c r="AC1" i="12"/>
  <c r="AB1" i="12"/>
  <c r="AX42" i="14" l="1"/>
  <c r="G19" i="13"/>
  <c r="F21" i="13"/>
  <c r="F23" i="13" s="1"/>
  <c r="L17" i="13"/>
  <c r="BJ12" i="24"/>
  <c r="H14" i="13"/>
  <c r="BJ6" i="24"/>
  <c r="J14" i="13"/>
  <c r="AX41" i="14"/>
  <c r="AI41" i="14"/>
  <c r="AJ41" i="14" s="1"/>
  <c r="C11" i="13"/>
  <c r="C26" i="13" s="1"/>
  <c r="C29" i="13" s="1"/>
  <c r="L7" i="24"/>
  <c r="N2" i="24" s="1"/>
  <c r="Y1" i="12"/>
  <c r="Y3" i="12" s="1"/>
  <c r="Z28" i="12" s="1"/>
  <c r="AU4" i="9"/>
  <c r="AU3" i="9" s="1"/>
  <c r="AM4" i="9"/>
  <c r="AM3" i="9" s="1"/>
  <c r="AI42" i="14"/>
  <c r="AJ42" i="14" s="1"/>
  <c r="AL42" i="14" s="1"/>
  <c r="BA7" i="9"/>
  <c r="BD7" i="9" s="1"/>
  <c r="BF7" i="9" s="1"/>
  <c r="AS1" i="9"/>
  <c r="AS4" i="9" s="1"/>
  <c r="AP1" i="9"/>
  <c r="BA25" i="9"/>
  <c r="BC25" i="9" s="1"/>
  <c r="BE25" i="9" s="1"/>
  <c r="AU37" i="14"/>
  <c r="AI37" i="14"/>
  <c r="AJ37" i="14" s="1"/>
  <c r="AI43" i="14"/>
  <c r="AJ43" i="14" s="1"/>
  <c r="AX43" i="14"/>
  <c r="BA18" i="9"/>
  <c r="BC18" i="9" s="1"/>
  <c r="BA17" i="9"/>
  <c r="BC17" i="9" s="1"/>
  <c r="AN1" i="9"/>
  <c r="AV4" i="9" s="1"/>
  <c r="AV3" i="9" s="1"/>
  <c r="BA9" i="9"/>
  <c r="BC9" i="9" s="1"/>
  <c r="BE9" i="9" s="1"/>
  <c r="BA28" i="9"/>
  <c r="BC28" i="9" s="1"/>
  <c r="BE28" i="9" s="1"/>
  <c r="AQ1" i="9"/>
  <c r="AQ4" i="9" s="1"/>
  <c r="BA15" i="9"/>
  <c r="BC15" i="9" s="1"/>
  <c r="BE15" i="9" s="1"/>
  <c r="BA24" i="9"/>
  <c r="BD24" i="9" s="1"/>
  <c r="BF24" i="9" s="1"/>
  <c r="AR1" i="9"/>
  <c r="AZ4" i="9" s="1"/>
  <c r="AZ3" i="9" s="1"/>
  <c r="BA16" i="9"/>
  <c r="BD16" i="9" s="1"/>
  <c r="BF16" i="9" s="1"/>
  <c r="BA29" i="9"/>
  <c r="BC29" i="9" s="1"/>
  <c r="BE29" i="9" s="1"/>
  <c r="BA10" i="9"/>
  <c r="BC10" i="9" s="1"/>
  <c r="BE10" i="9" s="1"/>
  <c r="BA33" i="9"/>
  <c r="BC33" i="9" s="1"/>
  <c r="BA26" i="9"/>
  <c r="BD26" i="9" s="1"/>
  <c r="BF26" i="9" s="1"/>
  <c r="BA27" i="9"/>
  <c r="BC27" i="9" s="1"/>
  <c r="BE27" i="9" s="1"/>
  <c r="AO1" i="9"/>
  <c r="AW4" i="9" s="1"/>
  <c r="AW3" i="9" s="1"/>
  <c r="AX27" i="14"/>
  <c r="AU27" i="14"/>
  <c r="AX11" i="14"/>
  <c r="AI17" i="14"/>
  <c r="AJ17" i="14" s="1"/>
  <c r="AU17" i="14"/>
  <c r="AI28" i="14"/>
  <c r="AJ28" i="14" s="1"/>
  <c r="AU28" i="14"/>
  <c r="AU7" i="14"/>
  <c r="AI7" i="14"/>
  <c r="AJ7" i="14" s="1"/>
  <c r="AL7" i="14" s="1"/>
  <c r="AI27" i="14"/>
  <c r="AJ27" i="14" s="1"/>
  <c r="AI11" i="14"/>
  <c r="AY11" i="14" s="1"/>
  <c r="BA11" i="9"/>
  <c r="BD11" i="9" s="1"/>
  <c r="BA6" i="9"/>
  <c r="AX28" i="14"/>
  <c r="BA4" i="9"/>
  <c r="AP4" i="9"/>
  <c r="AP3" i="9" s="1"/>
  <c r="AX4" i="9"/>
  <c r="AX3" i="9" s="1"/>
  <c r="BC14" i="9"/>
  <c r="BE14" i="9" s="1"/>
  <c r="BD14" i="9"/>
  <c r="BF14" i="9" s="1"/>
  <c r="BD25" i="9"/>
  <c r="BF25" i="9" s="1"/>
  <c r="BC8" i="9"/>
  <c r="BD8" i="9"/>
  <c r="BF8" i="9" s="1"/>
  <c r="AX17" i="14"/>
  <c r="AX9" i="14"/>
  <c r="AI9" i="14"/>
  <c r="AY9" i="14" s="1"/>
  <c r="AD26" i="12"/>
  <c r="AD37" i="12"/>
  <c r="AI10" i="14"/>
  <c r="AJ10" i="14" s="1"/>
  <c r="AX10" i="14"/>
  <c r="AX37" i="14"/>
  <c r="AM37" i="12"/>
  <c r="AO37" i="12" s="1"/>
  <c r="AN37" i="12"/>
  <c r="X29" i="12"/>
  <c r="X37" i="12"/>
  <c r="X25" i="12"/>
  <c r="AX29" i="14"/>
  <c r="AI29" i="14"/>
  <c r="AX7" i="14"/>
  <c r="AX16" i="14"/>
  <c r="AI16" i="14"/>
  <c r="AX18" i="14"/>
  <c r="AI18" i="14"/>
  <c r="AX25" i="14"/>
  <c r="AI25" i="14"/>
  <c r="AX26" i="14"/>
  <c r="AI26" i="14"/>
  <c r="AX8" i="14"/>
  <c r="AI8" i="14"/>
  <c r="AX15" i="14"/>
  <c r="AI15" i="14"/>
  <c r="AX33" i="14"/>
  <c r="AI33" i="14"/>
  <c r="BI29" i="14"/>
  <c r="BJ29" i="14" s="1"/>
  <c r="AD9" i="12"/>
  <c r="AD16" i="12"/>
  <c r="X35" i="13"/>
  <c r="W35" i="13"/>
  <c r="AB28" i="12"/>
  <c r="AD28" i="12"/>
  <c r="AD7" i="12"/>
  <c r="AB15" i="12"/>
  <c r="AD15" i="12"/>
  <c r="AB25" i="12"/>
  <c r="AD25" i="12"/>
  <c r="AB29" i="12"/>
  <c r="V15" i="12"/>
  <c r="AD29" i="12"/>
  <c r="AB9" i="12"/>
  <c r="AB16" i="12"/>
  <c r="Y18" i="13"/>
  <c r="Y15" i="13"/>
  <c r="Y37" i="13"/>
  <c r="Y40" i="13"/>
  <c r="W40" i="13"/>
  <c r="AB10" i="12"/>
  <c r="AD10" i="12"/>
  <c r="L20" i="13"/>
  <c r="G39" i="13"/>
  <c r="G42" i="13" s="1"/>
  <c r="X19" i="13"/>
  <c r="Y19" i="13"/>
  <c r="W19" i="13"/>
  <c r="H18" i="13"/>
  <c r="Y39" i="13"/>
  <c r="X39" i="13"/>
  <c r="W39" i="13"/>
  <c r="W17" i="13"/>
  <c r="X17" i="13"/>
  <c r="X16" i="13"/>
  <c r="Y16" i="13"/>
  <c r="W16" i="13"/>
  <c r="X14" i="13"/>
  <c r="Y14" i="13"/>
  <c r="W14" i="13"/>
  <c r="W15" i="13"/>
  <c r="L19" i="13"/>
  <c r="L21" i="13" s="1"/>
  <c r="L42" i="13"/>
  <c r="Y36" i="13"/>
  <c r="X36" i="13"/>
  <c r="W36" i="13"/>
  <c r="W37" i="13"/>
  <c r="W38" i="13"/>
  <c r="W18" i="13"/>
  <c r="X38" i="13"/>
  <c r="AF17" i="12"/>
  <c r="AF27" i="12"/>
  <c r="AF18" i="12"/>
  <c r="AF9" i="12"/>
  <c r="AF10" i="12"/>
  <c r="AF11" i="12"/>
  <c r="AF33" i="12"/>
  <c r="AF8" i="12"/>
  <c r="AF28" i="12"/>
  <c r="AF15" i="12"/>
  <c r="AF25" i="12"/>
  <c r="AF29" i="12"/>
  <c r="AF16" i="12"/>
  <c r="AF7" i="12"/>
  <c r="AF26" i="12"/>
  <c r="X9" i="12"/>
  <c r="X15" i="12"/>
  <c r="X28" i="12"/>
  <c r="X18" i="12"/>
  <c r="X8" i="12"/>
  <c r="AB18" i="12"/>
  <c r="X11" i="12"/>
  <c r="AD18" i="12"/>
  <c r="X33" i="12"/>
  <c r="AB8" i="12"/>
  <c r="X17" i="12"/>
  <c r="AD8" i="12"/>
  <c r="AB11" i="12"/>
  <c r="AD27" i="12"/>
  <c r="AD33" i="12"/>
  <c r="AB17" i="12"/>
  <c r="X26" i="12"/>
  <c r="X7" i="12"/>
  <c r="AD17" i="12"/>
  <c r="X1" i="12"/>
  <c r="X27" i="12"/>
  <c r="AB27" i="12"/>
  <c r="AD11" i="12"/>
  <c r="X10" i="12"/>
  <c r="X16" i="12"/>
  <c r="AB26" i="12"/>
  <c r="AY41" i="14" l="1"/>
  <c r="BM12" i="24"/>
  <c r="BL12" i="24" s="1"/>
  <c r="BP12" i="24"/>
  <c r="L125" i="24"/>
  <c r="N121" i="24" s="1"/>
  <c r="BJ14" i="24"/>
  <c r="BM6" i="24"/>
  <c r="BL6" i="24" s="1"/>
  <c r="BP6" i="24"/>
  <c r="AY42" i="14"/>
  <c r="N3" i="24"/>
  <c r="AY43" i="14"/>
  <c r="BD15" i="9"/>
  <c r="BF15" i="9" s="1"/>
  <c r="BC7" i="9"/>
  <c r="BE7" i="9" s="1"/>
  <c r="BD6" i="9"/>
  <c r="BF6" i="9" s="1"/>
  <c r="BC6" i="9"/>
  <c r="BA1" i="9"/>
  <c r="AQ37" i="9"/>
  <c r="AQ3" i="9"/>
  <c r="AN4" i="9"/>
  <c r="AN3" i="9" s="1"/>
  <c r="BD9" i="9"/>
  <c r="BF9" i="9" s="1"/>
  <c r="BD18" i="9"/>
  <c r="BQ5" i="9" s="1"/>
  <c r="BU5" i="9" s="1"/>
  <c r="BD17" i="9"/>
  <c r="BQ2" i="9" s="1"/>
  <c r="BU2" i="9" s="1"/>
  <c r="AY4" i="9"/>
  <c r="AY3" i="9" s="1"/>
  <c r="BA3" i="9" s="1"/>
  <c r="BD28" i="9"/>
  <c r="BF28" i="9" s="1"/>
  <c r="AR4" i="9"/>
  <c r="AR3" i="9" s="1"/>
  <c r="I18" i="13"/>
  <c r="R18" i="13" s="1"/>
  <c r="L125" i="19"/>
  <c r="L7" i="19"/>
  <c r="N3" i="19" s="1"/>
  <c r="I14" i="13"/>
  <c r="BC24" i="9"/>
  <c r="BE24" i="9" s="1"/>
  <c r="BD10" i="9"/>
  <c r="BF10" i="9" s="1"/>
  <c r="BD33" i="9"/>
  <c r="BF33" i="9" s="1"/>
  <c r="BD27" i="9"/>
  <c r="BF27" i="9" s="1"/>
  <c r="BC26" i="9"/>
  <c r="BE26" i="9" s="1"/>
  <c r="BD29" i="9"/>
  <c r="BF29" i="9" s="1"/>
  <c r="BC16" i="9"/>
  <c r="BE16" i="9" s="1"/>
  <c r="AO4" i="9"/>
  <c r="AO3" i="9" s="1"/>
  <c r="BC11" i="9"/>
  <c r="BE11" i="9" s="1"/>
  <c r="AY28" i="14"/>
  <c r="AY17" i="14"/>
  <c r="AY27" i="14"/>
  <c r="AJ11" i="14"/>
  <c r="AL11" i="14" s="1"/>
  <c r="AM11" i="14" s="1"/>
  <c r="AN11" i="14" s="1"/>
  <c r="AJ49" i="14"/>
  <c r="AJ47" i="14"/>
  <c r="AZ43" i="14"/>
  <c r="AL43" i="14"/>
  <c r="AJ48" i="14"/>
  <c r="AJ46" i="14"/>
  <c r="AZ42" i="14"/>
  <c r="AZ41" i="14"/>
  <c r="AL41" i="14"/>
  <c r="BF11" i="9"/>
  <c r="BP2" i="9"/>
  <c r="BE17" i="9"/>
  <c r="BP5" i="9"/>
  <c r="BT5" i="9" s="1"/>
  <c r="CC5" i="9" s="1"/>
  <c r="CD5" i="9" s="1"/>
  <c r="BE18" i="9"/>
  <c r="BE8" i="9"/>
  <c r="BP9" i="9"/>
  <c r="BT9" i="9" s="1"/>
  <c r="CC9" i="9" s="1"/>
  <c r="CD9" i="9" s="1"/>
  <c r="BE33" i="9"/>
  <c r="BE6" i="9"/>
  <c r="BQ3" i="9"/>
  <c r="BU3" i="9" s="1"/>
  <c r="BQ6" i="9"/>
  <c r="BU6" i="9" s="1"/>
  <c r="BP7" i="9"/>
  <c r="BT7" i="9" s="1"/>
  <c r="CC7" i="9" s="1"/>
  <c r="CD7" i="9" s="1"/>
  <c r="BQ4" i="9"/>
  <c r="BP4" i="9"/>
  <c r="BT4" i="9" s="1"/>
  <c r="CC4" i="9" s="1"/>
  <c r="CD4" i="9" s="1"/>
  <c r="Z9" i="12"/>
  <c r="Z15" i="12"/>
  <c r="AH15" i="12" s="1"/>
  <c r="AL15" i="12" s="1"/>
  <c r="AY10" i="14"/>
  <c r="AJ9" i="14"/>
  <c r="AZ9" i="14" s="1"/>
  <c r="AY37" i="14"/>
  <c r="AL37" i="14"/>
  <c r="AO37" i="14" s="1"/>
  <c r="V25" i="12"/>
  <c r="V37" i="12"/>
  <c r="Z27" i="12"/>
  <c r="Z37" i="12"/>
  <c r="AZ27" i="14"/>
  <c r="AL27" i="14"/>
  <c r="AJ26" i="14"/>
  <c r="AY26" i="14"/>
  <c r="AY25" i="14"/>
  <c r="AJ25" i="14"/>
  <c r="AL25" i="14" s="1"/>
  <c r="AN25" i="14" s="1"/>
  <c r="AY7" i="14"/>
  <c r="AJ16" i="14"/>
  <c r="AY16" i="14"/>
  <c r="AJ15" i="14"/>
  <c r="AY15" i="14"/>
  <c r="AJ29" i="14"/>
  <c r="AY29" i="14"/>
  <c r="AL28" i="14"/>
  <c r="AO28" i="14" s="1"/>
  <c r="AZ28" i="14"/>
  <c r="AJ33" i="14"/>
  <c r="AY33" i="14"/>
  <c r="AZ10" i="14"/>
  <c r="AL10" i="14"/>
  <c r="AO10" i="14" s="1"/>
  <c r="AJ18" i="14"/>
  <c r="AY18" i="14"/>
  <c r="AZ17" i="14"/>
  <c r="AL17" i="14"/>
  <c r="AJ8" i="14"/>
  <c r="AY8" i="14"/>
  <c r="V16" i="12"/>
  <c r="Z17" i="12"/>
  <c r="Z26" i="12"/>
  <c r="Z25" i="12"/>
  <c r="V11" i="12"/>
  <c r="Z10" i="12"/>
  <c r="V17" i="12"/>
  <c r="Z11" i="12"/>
  <c r="V29" i="12"/>
  <c r="Z18" i="12"/>
  <c r="V10" i="12"/>
  <c r="V26" i="12"/>
  <c r="V7" i="12"/>
  <c r="V27" i="12"/>
  <c r="V8" i="12"/>
  <c r="V33" i="12"/>
  <c r="Z33" i="12"/>
  <c r="V18" i="12"/>
  <c r="Z7" i="12"/>
  <c r="V28" i="12"/>
  <c r="AH28" i="12" s="1"/>
  <c r="AL28" i="12" s="1"/>
  <c r="Z16" i="12"/>
  <c r="V9" i="12"/>
  <c r="Z29" i="12"/>
  <c r="Z36" i="13"/>
  <c r="Z15" i="13"/>
  <c r="Z8" i="12"/>
  <c r="J18" i="13"/>
  <c r="G21" i="13"/>
  <c r="H41" i="13"/>
  <c r="I41" i="13" s="1"/>
  <c r="H19" i="13"/>
  <c r="I19" i="13" s="1"/>
  <c r="H20" i="13"/>
  <c r="I20" i="13" s="1"/>
  <c r="H16" i="13"/>
  <c r="H15" i="13"/>
  <c r="BJ8" i="24" s="1"/>
  <c r="C31" i="13"/>
  <c r="C30" i="13"/>
  <c r="H17" i="13"/>
  <c r="N120" i="24" l="1"/>
  <c r="N122" i="24" s="1"/>
  <c r="N123" i="24" s="1"/>
  <c r="T123" i="24" s="1"/>
  <c r="BN12" i="24"/>
  <c r="BO12" i="24" s="1"/>
  <c r="BQ12" i="24"/>
  <c r="BR12" i="24" s="1"/>
  <c r="L71" i="24"/>
  <c r="N67" i="24" s="1"/>
  <c r="BJ10" i="24"/>
  <c r="BN6" i="24"/>
  <c r="BO6" i="24" s="1"/>
  <c r="BQ6" i="24"/>
  <c r="BR6" i="24" s="1"/>
  <c r="BM8" i="24"/>
  <c r="BL8" i="24" s="1"/>
  <c r="BP8" i="24"/>
  <c r="BM14" i="24"/>
  <c r="BL14" i="24" s="1"/>
  <c r="BP14" i="24"/>
  <c r="K14" i="13"/>
  <c r="R14" i="13"/>
  <c r="N4" i="24"/>
  <c r="N5" i="24" s="1"/>
  <c r="K18" i="13"/>
  <c r="N18" i="13" s="1"/>
  <c r="L43" i="24"/>
  <c r="L43" i="19"/>
  <c r="N91" i="19" s="1"/>
  <c r="I17" i="13"/>
  <c r="R17" i="13" s="1"/>
  <c r="L96" i="19"/>
  <c r="N92" i="19" s="1"/>
  <c r="L96" i="24"/>
  <c r="AH9" i="12"/>
  <c r="AL9" i="12" s="1"/>
  <c r="BF17" i="9"/>
  <c r="AH7" i="12"/>
  <c r="AL7" i="12" s="1"/>
  <c r="AS3" i="9"/>
  <c r="BT2" i="9"/>
  <c r="BQ7" i="9"/>
  <c r="BU7" i="9" s="1"/>
  <c r="BF18" i="9"/>
  <c r="BQ9" i="9"/>
  <c r="BU9" i="9" s="1"/>
  <c r="N2" i="19"/>
  <c r="N4" i="19" s="1"/>
  <c r="N5" i="19" s="1"/>
  <c r="P5" i="19" s="1"/>
  <c r="BQ8" i="9"/>
  <c r="BU8" i="9" s="1"/>
  <c r="N121" i="19"/>
  <c r="N120" i="19"/>
  <c r="BP3" i="9"/>
  <c r="BT3" i="9" s="1"/>
  <c r="CC3" i="9" s="1"/>
  <c r="CD3" i="9" s="1"/>
  <c r="BP8" i="9"/>
  <c r="BT8" i="9" s="1"/>
  <c r="CC8" i="9" s="1"/>
  <c r="CD8" i="9" s="1"/>
  <c r="BP6" i="9"/>
  <c r="BT6" i="9" s="1"/>
  <c r="CC6" i="9" s="1"/>
  <c r="CD6" i="9" s="1"/>
  <c r="AZ11" i="14"/>
  <c r="AJ13" i="14"/>
  <c r="AK13" i="14" s="1"/>
  <c r="I16" i="13"/>
  <c r="R16" i="13" s="1"/>
  <c r="V18" i="13" s="1"/>
  <c r="L71" i="19"/>
  <c r="I15" i="13"/>
  <c r="R15" i="13" s="1"/>
  <c r="AM41" i="14"/>
  <c r="BB41" i="14"/>
  <c r="AM42" i="14"/>
  <c r="BC42" i="14" s="1"/>
  <c r="AO42" i="14"/>
  <c r="AN42" i="14"/>
  <c r="BD42" i="14" s="1"/>
  <c r="BB42" i="14"/>
  <c r="AO43" i="14"/>
  <c r="AN43" i="14"/>
  <c r="BD43" i="14" s="1"/>
  <c r="AM43" i="14"/>
  <c r="BC43" i="14" s="1"/>
  <c r="BB43" i="14"/>
  <c r="BU4" i="9"/>
  <c r="AL29" i="14"/>
  <c r="AM29" i="14" s="1"/>
  <c r="AN29" i="14" s="1"/>
  <c r="AO29" i="14"/>
  <c r="AL9" i="14"/>
  <c r="BB9" i="14" s="1"/>
  <c r="AH29" i="12"/>
  <c r="AL29" i="12" s="1"/>
  <c r="AH37" i="12"/>
  <c r="AH8" i="12"/>
  <c r="AL8" i="12" s="1"/>
  <c r="AH25" i="12"/>
  <c r="AL25" i="12" s="1"/>
  <c r="AH26" i="12"/>
  <c r="AL26" i="12" s="1"/>
  <c r="AH11" i="12"/>
  <c r="AL11" i="12" s="1"/>
  <c r="AH16" i="12"/>
  <c r="AL16" i="12" s="1"/>
  <c r="AH17" i="12"/>
  <c r="AL17" i="12" s="1"/>
  <c r="AZ37" i="14"/>
  <c r="AH18" i="12"/>
  <c r="AL18" i="12" s="1"/>
  <c r="AH27" i="12"/>
  <c r="AL27" i="12" s="1"/>
  <c r="AH10" i="12"/>
  <c r="AL10" i="12" s="1"/>
  <c r="AL8" i="14"/>
  <c r="AZ8" i="14"/>
  <c r="AZ25" i="14"/>
  <c r="AL15" i="14"/>
  <c r="AZ15" i="14"/>
  <c r="AL18" i="14"/>
  <c r="AZ18" i="14"/>
  <c r="BB28" i="14"/>
  <c r="AM28" i="14"/>
  <c r="AN28" i="14"/>
  <c r="BD28" i="14" s="1"/>
  <c r="AZ26" i="14"/>
  <c r="AL26" i="14"/>
  <c r="AZ16" i="14"/>
  <c r="AL16" i="14"/>
  <c r="BB10" i="14"/>
  <c r="AN10" i="14"/>
  <c r="BD10" i="14" s="1"/>
  <c r="AM10" i="14"/>
  <c r="AL33" i="14"/>
  <c r="AO33" i="14" s="1"/>
  <c r="AZ33" i="14"/>
  <c r="BB27" i="14"/>
  <c r="AN27" i="14"/>
  <c r="BD27" i="14" s="1"/>
  <c r="AM27" i="14"/>
  <c r="BB17" i="14"/>
  <c r="AM17" i="14"/>
  <c r="AN17" i="14"/>
  <c r="BD17" i="14" s="1"/>
  <c r="BB11" i="14"/>
  <c r="BD11" i="14"/>
  <c r="AZ7" i="14"/>
  <c r="AZ29" i="14"/>
  <c r="AH33" i="12"/>
  <c r="AL33" i="12" s="1"/>
  <c r="AA15" i="13"/>
  <c r="Z16" i="13"/>
  <c r="AB15" i="13"/>
  <c r="Z37" i="13"/>
  <c r="AB36" i="13"/>
  <c r="AA36" i="13"/>
  <c r="J17" i="13"/>
  <c r="R19" i="13"/>
  <c r="J15" i="13"/>
  <c r="J20" i="13"/>
  <c r="K20" i="13" s="1"/>
  <c r="H21" i="13"/>
  <c r="J19" i="13"/>
  <c r="K19" i="13" s="1"/>
  <c r="J16" i="13"/>
  <c r="J38" i="13"/>
  <c r="J36" i="13"/>
  <c r="J39" i="13"/>
  <c r="J40" i="13"/>
  <c r="J35" i="13"/>
  <c r="K35" i="13" s="1"/>
  <c r="N35" i="13" s="1"/>
  <c r="J37" i="13"/>
  <c r="T18" i="13"/>
  <c r="U18" i="13" s="1"/>
  <c r="J41" i="13"/>
  <c r="K41" i="13" s="1"/>
  <c r="T5" i="24" l="1"/>
  <c r="Z5" i="24"/>
  <c r="R21" i="13"/>
  <c r="BN14" i="24"/>
  <c r="BO14" i="24" s="1"/>
  <c r="BQ14" i="24"/>
  <c r="BR14" i="24" s="1"/>
  <c r="BM10" i="24"/>
  <c r="BP10" i="24"/>
  <c r="BP16" i="24" s="1"/>
  <c r="J21" i="13"/>
  <c r="N66" i="24"/>
  <c r="N68" i="24" s="1"/>
  <c r="N69" i="24" s="1"/>
  <c r="I21" i="13"/>
  <c r="BN8" i="24"/>
  <c r="BO8" i="24" s="1"/>
  <c r="BQ8" i="24"/>
  <c r="BR8" i="24" s="1"/>
  <c r="Y30" i="24"/>
  <c r="AA30" i="24" s="1"/>
  <c r="P5" i="24"/>
  <c r="P123" i="24"/>
  <c r="Y155" i="24"/>
  <c r="AA155" i="24" s="1"/>
  <c r="BE167" i="24"/>
  <c r="BE189" i="24"/>
  <c r="N92" i="24"/>
  <c r="N91" i="24"/>
  <c r="N39" i="24"/>
  <c r="N38" i="24"/>
  <c r="O4" i="24"/>
  <c r="N122" i="19"/>
  <c r="N123" i="19" s="1"/>
  <c r="Z123" i="19" s="1"/>
  <c r="BS14" i="24"/>
  <c r="CK25" i="24" s="1"/>
  <c r="Z123" i="24"/>
  <c r="AG155" i="24" s="1"/>
  <c r="AI155" i="24" s="1"/>
  <c r="AK123" i="24"/>
  <c r="M18" i="13"/>
  <c r="K15" i="13"/>
  <c r="N15" i="13" s="1"/>
  <c r="K17" i="13"/>
  <c r="M17" i="13" s="1"/>
  <c r="N93" i="19"/>
  <c r="N94" i="19" s="1"/>
  <c r="BU10" i="9"/>
  <c r="BQ1" i="9"/>
  <c r="BS3" i="9" s="1"/>
  <c r="BP1" i="9"/>
  <c r="BR8" i="9" s="1"/>
  <c r="BT10" i="9"/>
  <c r="CC2" i="9"/>
  <c r="CC10" i="9" s="1"/>
  <c r="CD10" i="9" s="1"/>
  <c r="BE236" i="19"/>
  <c r="N67" i="19"/>
  <c r="N66" i="19"/>
  <c r="K16" i="13"/>
  <c r="N16" i="13" s="1"/>
  <c r="N38" i="19"/>
  <c r="N39" i="19"/>
  <c r="AO41" i="14"/>
  <c r="BC41" i="14"/>
  <c r="AN41" i="14"/>
  <c r="BD41" i="14" s="1"/>
  <c r="BE43" i="14"/>
  <c r="BG43" i="14" s="1"/>
  <c r="BH43" i="14" s="1"/>
  <c r="AR43" i="14"/>
  <c r="AS43" i="14" s="1"/>
  <c r="AR42" i="14"/>
  <c r="AS42" i="14" s="1"/>
  <c r="BE42" i="14"/>
  <c r="BG42" i="14" s="1"/>
  <c r="BH42" i="14" s="1"/>
  <c r="BS6" i="9"/>
  <c r="BS4" i="9"/>
  <c r="BS1" i="9"/>
  <c r="BS5" i="9"/>
  <c r="BS9" i="9"/>
  <c r="BS8" i="9"/>
  <c r="BS7" i="9"/>
  <c r="BS2" i="9"/>
  <c r="AN9" i="14"/>
  <c r="BD9" i="14" s="1"/>
  <c r="AM9" i="14"/>
  <c r="BC9" i="14" s="1"/>
  <c r="BB37" i="14"/>
  <c r="AN37" i="14"/>
  <c r="BD37" i="14" s="1"/>
  <c r="AM37" i="14"/>
  <c r="BB18" i="14"/>
  <c r="AN18" i="14"/>
  <c r="BD18" i="14" s="1"/>
  <c r="AM18" i="14"/>
  <c r="BB33" i="14"/>
  <c r="AN33" i="14"/>
  <c r="BD33" i="14" s="1"/>
  <c r="AM33" i="14"/>
  <c r="BB25" i="14"/>
  <c r="BD25" i="14"/>
  <c r="AM25" i="14"/>
  <c r="AO17" i="14"/>
  <c r="BO17" i="16" s="1"/>
  <c r="BR17" i="16" s="1"/>
  <c r="BC17" i="14"/>
  <c r="BB26" i="14"/>
  <c r="AM26" i="14"/>
  <c r="AN26" i="14"/>
  <c r="BD26" i="14" s="1"/>
  <c r="BB7" i="14"/>
  <c r="AN7" i="14"/>
  <c r="BD7" i="14" s="1"/>
  <c r="AM7" i="14"/>
  <c r="BO10" i="16"/>
  <c r="BR10" i="16" s="1"/>
  <c r="BC10" i="14"/>
  <c r="AO27" i="14"/>
  <c r="BO27" i="16" s="1"/>
  <c r="BR27" i="16" s="1"/>
  <c r="BC27" i="14"/>
  <c r="BO28" i="16"/>
  <c r="BR28" i="16" s="1"/>
  <c r="BC28" i="14"/>
  <c r="BB29" i="14"/>
  <c r="BD29" i="14"/>
  <c r="BB15" i="14"/>
  <c r="AN15" i="14"/>
  <c r="BD15" i="14" s="1"/>
  <c r="AM15" i="14"/>
  <c r="AO11" i="14"/>
  <c r="BO11" i="16" s="1"/>
  <c r="BR11" i="16" s="1"/>
  <c r="BC11" i="14"/>
  <c r="BB16" i="14"/>
  <c r="AM16" i="14"/>
  <c r="AN16" i="14"/>
  <c r="BD16" i="14" s="1"/>
  <c r="BB8" i="14"/>
  <c r="AM8" i="14"/>
  <c r="AN8" i="14"/>
  <c r="BD8" i="14" s="1"/>
  <c r="AB37" i="13"/>
  <c r="AA37" i="13"/>
  <c r="Z38" i="13"/>
  <c r="Z17" i="13"/>
  <c r="AA16" i="13"/>
  <c r="AB16" i="13"/>
  <c r="N41" i="13"/>
  <c r="P41" i="13" s="1"/>
  <c r="Q41" i="13" s="1"/>
  <c r="M41" i="13"/>
  <c r="N20" i="13"/>
  <c r="P20" i="13" s="1"/>
  <c r="Q20" i="13" s="1"/>
  <c r="M20" i="13"/>
  <c r="V16" i="13"/>
  <c r="T16" i="13"/>
  <c r="U16" i="13" s="1"/>
  <c r="N19" i="13"/>
  <c r="M19" i="13"/>
  <c r="V17" i="13"/>
  <c r="T17" i="13"/>
  <c r="U17" i="13" s="1"/>
  <c r="J42" i="13"/>
  <c r="T15" i="13"/>
  <c r="U15" i="13" s="1"/>
  <c r="V15" i="13"/>
  <c r="V19" i="13"/>
  <c r="T19" i="13"/>
  <c r="U19" i="13" s="1"/>
  <c r="K39" i="13"/>
  <c r="E39" i="13"/>
  <c r="P18" i="13"/>
  <c r="Q18" i="13" s="1"/>
  <c r="CD7" i="24" l="1"/>
  <c r="CP7" i="24" s="1"/>
  <c r="T69" i="24"/>
  <c r="Z69" i="24"/>
  <c r="AH123" i="24"/>
  <c r="AK122" i="24" s="1"/>
  <c r="AC122" i="24"/>
  <c r="O1" i="24"/>
  <c r="BL10" i="24"/>
  <c r="BM16" i="24"/>
  <c r="K21" i="13"/>
  <c r="N1" i="24"/>
  <c r="Y88" i="24"/>
  <c r="AA88" i="24" s="1"/>
  <c r="P69" i="24"/>
  <c r="BZ14" i="24"/>
  <c r="DB44" i="24" s="1"/>
  <c r="N40" i="24"/>
  <c r="N41" i="24" s="1"/>
  <c r="N93" i="24"/>
  <c r="N94" i="24" s="1"/>
  <c r="T94" i="24" s="1"/>
  <c r="AA123" i="24"/>
  <c r="BS6" i="24"/>
  <c r="BZ6" i="24" s="1"/>
  <c r="M15" i="13"/>
  <c r="BS10" i="24"/>
  <c r="M16" i="13"/>
  <c r="AK69" i="24"/>
  <c r="AP69" i="24" s="1"/>
  <c r="AQ69" i="24" s="1"/>
  <c r="BI9" i="22" s="1"/>
  <c r="N17" i="13"/>
  <c r="E38" i="13" s="1"/>
  <c r="AK94" i="19"/>
  <c r="Z94" i="19"/>
  <c r="AH94" i="19" s="1"/>
  <c r="BR6" i="9"/>
  <c r="BR2" i="9"/>
  <c r="BC5" i="19" s="1"/>
  <c r="BR9" i="9"/>
  <c r="BR1" i="9"/>
  <c r="BR4" i="9"/>
  <c r="BC127" i="19" s="1"/>
  <c r="BR5" i="9"/>
  <c r="BC235" i="19" s="1"/>
  <c r="BR3" i="9"/>
  <c r="BC24" i="19" s="1"/>
  <c r="BR7" i="9"/>
  <c r="CD2" i="9"/>
  <c r="BC168" i="19"/>
  <c r="BC145" i="19"/>
  <c r="BC67" i="19"/>
  <c r="BL12" i="19"/>
  <c r="AH123" i="19"/>
  <c r="AK123" i="19"/>
  <c r="BM12" i="19" s="1"/>
  <c r="BP12" i="19" s="1"/>
  <c r="BQ12" i="19" s="1"/>
  <c r="BR12" i="19" s="1"/>
  <c r="BL6" i="19"/>
  <c r="BV4" i="19" s="1"/>
  <c r="AK5" i="19"/>
  <c r="BM6" i="19" s="1"/>
  <c r="BV41" i="19" s="1"/>
  <c r="CA41" i="19" s="1"/>
  <c r="CC41" i="19" s="1"/>
  <c r="BE146" i="19"/>
  <c r="BE25" i="19"/>
  <c r="Z5" i="19"/>
  <c r="AH5" i="19" s="1"/>
  <c r="BE169" i="19"/>
  <c r="BE68" i="19"/>
  <c r="BE128" i="19"/>
  <c r="BE6" i="19"/>
  <c r="N68" i="19"/>
  <c r="N69" i="19" s="1"/>
  <c r="BL10" i="19" s="1"/>
  <c r="N40" i="19"/>
  <c r="N41" i="19" s="1"/>
  <c r="BE41" i="14"/>
  <c r="BG41" i="14" s="1"/>
  <c r="BH41" i="14" s="1"/>
  <c r="AR41" i="14"/>
  <c r="AS41" i="14" s="1"/>
  <c r="AO9" i="14"/>
  <c r="BO9" i="16" s="1"/>
  <c r="BR9" i="16" s="1"/>
  <c r="BC37" i="14"/>
  <c r="AR17" i="14"/>
  <c r="AS17" i="14" s="1"/>
  <c r="BE17" i="14"/>
  <c r="AR27" i="14"/>
  <c r="AS27" i="14" s="1"/>
  <c r="BE27" i="14"/>
  <c r="AO16" i="14"/>
  <c r="BO16" i="16" s="1"/>
  <c r="BR16" i="16" s="1"/>
  <c r="BC16" i="14"/>
  <c r="AR10" i="14"/>
  <c r="AS10" i="14" s="1"/>
  <c r="BE10" i="14"/>
  <c r="BC33" i="14"/>
  <c r="BO33" i="16"/>
  <c r="BR33" i="16" s="1"/>
  <c r="BC29" i="14"/>
  <c r="BO29" i="16"/>
  <c r="BR29" i="16" s="1"/>
  <c r="AR28" i="14"/>
  <c r="AS28" i="14" s="1"/>
  <c r="BE28" i="14"/>
  <c r="AO25" i="14"/>
  <c r="BO25" i="16" s="1"/>
  <c r="BR25" i="16" s="1"/>
  <c r="BC25" i="14"/>
  <c r="BC7" i="14"/>
  <c r="AO7" i="14"/>
  <c r="BO7" i="16" s="1"/>
  <c r="BR7" i="16" s="1"/>
  <c r="AO15" i="14"/>
  <c r="BC15" i="14"/>
  <c r="AO26" i="14"/>
  <c r="BO26" i="16" s="1"/>
  <c r="BR26" i="16" s="1"/>
  <c r="BC26" i="14"/>
  <c r="BC8" i="14"/>
  <c r="AO8" i="14"/>
  <c r="BO8" i="16" s="1"/>
  <c r="BR8" i="16" s="1"/>
  <c r="BE11" i="14"/>
  <c r="AR11" i="14"/>
  <c r="AS11" i="14" s="1"/>
  <c r="AO18" i="14"/>
  <c r="BO18" i="16" s="1"/>
  <c r="BR18" i="16" s="1"/>
  <c r="BC18" i="14"/>
  <c r="AB17" i="13"/>
  <c r="AA17" i="13"/>
  <c r="Z18" i="13"/>
  <c r="AA38" i="13"/>
  <c r="AB38" i="13"/>
  <c r="Z39" i="13"/>
  <c r="N39" i="13"/>
  <c r="P39" i="13" s="1"/>
  <c r="Q39" i="13" s="1"/>
  <c r="M39" i="13"/>
  <c r="V14" i="13"/>
  <c r="T14" i="13"/>
  <c r="U14" i="13" s="1"/>
  <c r="E37" i="13"/>
  <c r="K37" i="13"/>
  <c r="P16" i="13"/>
  <c r="Q16" i="13" s="1"/>
  <c r="K36" i="13"/>
  <c r="P15" i="13"/>
  <c r="Q15" i="13" s="1"/>
  <c r="E36" i="13"/>
  <c r="E40" i="13"/>
  <c r="P19" i="13"/>
  <c r="Q19" i="13" s="1"/>
  <c r="K40" i="13"/>
  <c r="AN26" i="11"/>
  <c r="CG7" i="24" l="1"/>
  <c r="DB48" i="24"/>
  <c r="DB46" i="24"/>
  <c r="DB45" i="24"/>
  <c r="CW9" i="22"/>
  <c r="CV9" i="22"/>
  <c r="CK14" i="24"/>
  <c r="CK15" i="24" s="1"/>
  <c r="BZ15" i="24"/>
  <c r="AC68" i="24"/>
  <c r="AG87" i="24"/>
  <c r="AI87" i="24" s="1"/>
  <c r="T41" i="24"/>
  <c r="Z41" i="24"/>
  <c r="AA69" i="24"/>
  <c r="AG35" i="24"/>
  <c r="AI35" i="24" s="1"/>
  <c r="AC4" i="24"/>
  <c r="Y5" i="24"/>
  <c r="AA5" i="24"/>
  <c r="AA1" i="24" s="1"/>
  <c r="N21" i="13"/>
  <c r="N22" i="13" s="1"/>
  <c r="BN10" i="24"/>
  <c r="BO10" i="24" s="1"/>
  <c r="BQ10" i="24"/>
  <c r="BL16" i="24"/>
  <c r="BS16" i="24" s="1"/>
  <c r="BZ10" i="24"/>
  <c r="DB26" i="24" s="1"/>
  <c r="CK21" i="24"/>
  <c r="BE225" i="24"/>
  <c r="P41" i="24"/>
  <c r="P94" i="24"/>
  <c r="Y116" i="24"/>
  <c r="AA116" i="24" s="1"/>
  <c r="Z94" i="24"/>
  <c r="AG118" i="24" s="1"/>
  <c r="AI118" i="24" s="1"/>
  <c r="BS12" i="24"/>
  <c r="BE387" i="24"/>
  <c r="BE354" i="24"/>
  <c r="BE371" i="24"/>
  <c r="BE337" i="24"/>
  <c r="BE320" i="24"/>
  <c r="BE305" i="24"/>
  <c r="BE290" i="24"/>
  <c r="BE274" i="24"/>
  <c r="BE257" i="24"/>
  <c r="AK94" i="24"/>
  <c r="O14" i="18"/>
  <c r="O15" i="18"/>
  <c r="M21" i="13"/>
  <c r="P17" i="13"/>
  <c r="Q17" i="13" s="1"/>
  <c r="AK41" i="24"/>
  <c r="BZ42" i="24" s="1"/>
  <c r="BS8" i="24"/>
  <c r="BS42" i="24"/>
  <c r="AH70" i="24"/>
  <c r="AK68" i="24" s="1"/>
  <c r="K38" i="13"/>
  <c r="N38" i="13" s="1"/>
  <c r="P38" i="13" s="1"/>
  <c r="Q38" i="13" s="1"/>
  <c r="BI21" i="22"/>
  <c r="CI41" i="19"/>
  <c r="BI21" i="9"/>
  <c r="CB21" i="9" s="1"/>
  <c r="BY21" i="9" s="1"/>
  <c r="CJ41" i="19"/>
  <c r="CA11" i="9"/>
  <c r="BC192" i="19"/>
  <c r="BA3" i="19" s="1"/>
  <c r="BC214" i="19"/>
  <c r="BC45" i="19"/>
  <c r="BP6" i="19"/>
  <c r="BV47" i="19"/>
  <c r="CA47" i="19" s="1"/>
  <c r="CC47" i="19" s="1"/>
  <c r="AZ236" i="19"/>
  <c r="AZ6" i="19"/>
  <c r="Z70" i="19"/>
  <c r="AH70" i="19" s="1"/>
  <c r="BE67" i="19"/>
  <c r="BE66" i="19" s="1"/>
  <c r="AZ169" i="19"/>
  <c r="BF169" i="19" s="1"/>
  <c r="AZ68" i="19"/>
  <c r="BF68" i="19" s="1"/>
  <c r="AZ146" i="19"/>
  <c r="BF146" i="19" s="1"/>
  <c r="AZ25" i="19"/>
  <c r="BF25" i="19" s="1"/>
  <c r="AZ128" i="19"/>
  <c r="BF128" i="19" s="1"/>
  <c r="AK69" i="19"/>
  <c r="BM10" i="19" s="1"/>
  <c r="BV26" i="19"/>
  <c r="BV13" i="19"/>
  <c r="BV21" i="19"/>
  <c r="BL42" i="19"/>
  <c r="BL8" i="19"/>
  <c r="AK41" i="19"/>
  <c r="Z41" i="19"/>
  <c r="AH41" i="19" s="1"/>
  <c r="BE193" i="19"/>
  <c r="BE46" i="19"/>
  <c r="BE215" i="19"/>
  <c r="BO15" i="16"/>
  <c r="BR15" i="16" s="1"/>
  <c r="BE9" i="14"/>
  <c r="BG9" i="14" s="1"/>
  <c r="BH9" i="14" s="1"/>
  <c r="AR9" i="14"/>
  <c r="AS9" i="14" s="1"/>
  <c r="BG10" i="14"/>
  <c r="BH10" i="14" s="1"/>
  <c r="BJ10" i="16"/>
  <c r="BM10" i="16" s="1"/>
  <c r="BG27" i="14"/>
  <c r="BH27" i="14" s="1"/>
  <c r="BJ27" i="16"/>
  <c r="BM27" i="16" s="1"/>
  <c r="BG17" i="14"/>
  <c r="BH17" i="14" s="1"/>
  <c r="BJ17" i="16"/>
  <c r="BM17" i="16" s="1"/>
  <c r="BG28" i="14"/>
  <c r="BH28" i="14" s="1"/>
  <c r="BJ28" i="16"/>
  <c r="BM28" i="16" s="1"/>
  <c r="BO37" i="11"/>
  <c r="BR37" i="11" s="1"/>
  <c r="BQ37" i="14"/>
  <c r="BO37" i="15"/>
  <c r="BR37" i="15" s="1"/>
  <c r="BE37" i="14"/>
  <c r="BO37" i="16"/>
  <c r="BR37" i="16" s="1"/>
  <c r="AR37" i="14"/>
  <c r="AS37" i="14" s="1"/>
  <c r="BO37" i="14"/>
  <c r="BR37" i="14" s="1"/>
  <c r="BG11" i="14"/>
  <c r="BH11" i="14" s="1"/>
  <c r="BJ11" i="16"/>
  <c r="BM11" i="16" s="1"/>
  <c r="AR29" i="14"/>
  <c r="AS29" i="14" s="1"/>
  <c r="BE29" i="14"/>
  <c r="AR26" i="14"/>
  <c r="AS26" i="14" s="1"/>
  <c r="BE26" i="14"/>
  <c r="BE15" i="14"/>
  <c r="AR15" i="14"/>
  <c r="AS15" i="14" s="1"/>
  <c r="AR8" i="14"/>
  <c r="AS8" i="14" s="1"/>
  <c r="BE8" i="14"/>
  <c r="AR33" i="14"/>
  <c r="AS33" i="14" s="1"/>
  <c r="BE33" i="14"/>
  <c r="BE16" i="14"/>
  <c r="AR16" i="14"/>
  <c r="AS16" i="14" s="1"/>
  <c r="BE7" i="14"/>
  <c r="AR7" i="14"/>
  <c r="AS7" i="14" s="1"/>
  <c r="BE18" i="14"/>
  <c r="AR18" i="14"/>
  <c r="AS18" i="14" s="1"/>
  <c r="AR25" i="14"/>
  <c r="AS25" i="14" s="1"/>
  <c r="BE25" i="14"/>
  <c r="AB18" i="13"/>
  <c r="AA18" i="13"/>
  <c r="Z19" i="13"/>
  <c r="AA39" i="13"/>
  <c r="AB39" i="13"/>
  <c r="Z40" i="13"/>
  <c r="N40" i="13"/>
  <c r="P40" i="13" s="1"/>
  <c r="Q40" i="13" s="1"/>
  <c r="M40" i="13"/>
  <c r="N36" i="13"/>
  <c r="P36" i="13" s="1"/>
  <c r="Q36" i="13" s="1"/>
  <c r="M36" i="13"/>
  <c r="E35" i="13"/>
  <c r="H38" i="13" s="1"/>
  <c r="I38" i="13" s="1"/>
  <c r="R38" i="13" s="1"/>
  <c r="Q14" i="13"/>
  <c r="N37" i="13"/>
  <c r="P37" i="13" s="1"/>
  <c r="Q37" i="13" s="1"/>
  <c r="M37" i="13"/>
  <c r="DB30" i="24" l="1"/>
  <c r="DB28" i="24"/>
  <c r="DB49" i="24"/>
  <c r="DB47" i="24"/>
  <c r="BZ11" i="24"/>
  <c r="DB27" i="24"/>
  <c r="BQ6" i="19"/>
  <c r="BR6" i="19" s="1"/>
  <c r="BZ7" i="24"/>
  <c r="AA41" i="24"/>
  <c r="AG61" i="24"/>
  <c r="AI61" i="24" s="1"/>
  <c r="DU40" i="24"/>
  <c r="CK10" i="24"/>
  <c r="CK11" i="24" s="1"/>
  <c r="AH94" i="24"/>
  <c r="AK93" i="24" s="1"/>
  <c r="AC93" i="24"/>
  <c r="AC40" i="24"/>
  <c r="BR10" i="24"/>
  <c r="BR16" i="24" s="1"/>
  <c r="BQ16" i="24"/>
  <c r="BZ8" i="24"/>
  <c r="DB17" i="24" s="1"/>
  <c r="CK19" i="24"/>
  <c r="BZ12" i="24"/>
  <c r="CK23" i="24"/>
  <c r="AA94" i="24"/>
  <c r="O16" i="18"/>
  <c r="O17" i="18"/>
  <c r="O13" i="18"/>
  <c r="AH41" i="24"/>
  <c r="AK40" i="24" s="1"/>
  <c r="DU41" i="24"/>
  <c r="M38" i="13"/>
  <c r="CF21" i="22"/>
  <c r="CC21" i="22" s="1"/>
  <c r="CW21" i="22"/>
  <c r="BF236" i="19"/>
  <c r="BP10" i="19"/>
  <c r="BQ10" i="19" s="1"/>
  <c r="BR10" i="19" s="1"/>
  <c r="BV39" i="19"/>
  <c r="CA39" i="19" s="1"/>
  <c r="CC39" i="19" s="1"/>
  <c r="BV40" i="19"/>
  <c r="CA40" i="19" s="1"/>
  <c r="CC40" i="19" s="1"/>
  <c r="CJ47" i="19"/>
  <c r="CI47" i="19"/>
  <c r="BF6" i="19"/>
  <c r="H37" i="13"/>
  <c r="I37" i="13" s="1"/>
  <c r="R37" i="13" s="1"/>
  <c r="T37" i="13" s="1"/>
  <c r="U37" i="13" s="1"/>
  <c r="H40" i="13"/>
  <c r="I40" i="13" s="1"/>
  <c r="R40" i="13" s="1"/>
  <c r="T40" i="13" s="1"/>
  <c r="U40" i="13" s="1"/>
  <c r="AP69" i="19"/>
  <c r="AQ69" i="19" s="1"/>
  <c r="BM42" i="19"/>
  <c r="BM8" i="19"/>
  <c r="AZ46" i="19"/>
  <c r="BF46" i="19" s="1"/>
  <c r="AZ215" i="19"/>
  <c r="AZ193" i="19"/>
  <c r="BV35" i="19" s="1"/>
  <c r="CA35" i="19" s="1"/>
  <c r="CC35" i="19" s="1"/>
  <c r="BJ9" i="16"/>
  <c r="BM9" i="16" s="1"/>
  <c r="BG16" i="14"/>
  <c r="BH16" i="14" s="1"/>
  <c r="BJ16" i="16"/>
  <c r="BM16" i="16" s="1"/>
  <c r="BG15" i="14"/>
  <c r="BH15" i="14" s="1"/>
  <c r="BJ15" i="16"/>
  <c r="BM15" i="16" s="1"/>
  <c r="BJ25" i="16"/>
  <c r="BM25" i="16" s="1"/>
  <c r="BG25" i="14"/>
  <c r="BH25" i="14" s="1"/>
  <c r="BG33" i="14"/>
  <c r="BH33" i="14" s="1"/>
  <c r="BJ33" i="16"/>
  <c r="BM33" i="16" s="1"/>
  <c r="BJ37" i="11"/>
  <c r="BM37" i="11" s="1"/>
  <c r="BJ37" i="15"/>
  <c r="BM37" i="15" s="1"/>
  <c r="BJ37" i="14"/>
  <c r="BM37" i="14" s="1"/>
  <c r="BJ37" i="16"/>
  <c r="BM37" i="16" s="1"/>
  <c r="BG37" i="14"/>
  <c r="BH37" i="14" s="1"/>
  <c r="BL37" i="14"/>
  <c r="BG8" i="14"/>
  <c r="BH8" i="14" s="1"/>
  <c r="BJ8" i="16"/>
  <c r="BM8" i="16" s="1"/>
  <c r="BJ26" i="16"/>
  <c r="BM26" i="16" s="1"/>
  <c r="BG26" i="14"/>
  <c r="BH26" i="14" s="1"/>
  <c r="BJ29" i="16"/>
  <c r="BM29" i="16" s="1"/>
  <c r="BG29" i="14"/>
  <c r="BH29" i="14" s="1"/>
  <c r="BG18" i="14"/>
  <c r="BH18" i="14" s="1"/>
  <c r="BJ18" i="16"/>
  <c r="BM18" i="16" s="1"/>
  <c r="BG7" i="14"/>
  <c r="BH7" i="14" s="1"/>
  <c r="BJ7" i="16"/>
  <c r="BM7" i="16" s="1"/>
  <c r="AB40" i="13"/>
  <c r="AA40" i="13"/>
  <c r="AB19" i="13"/>
  <c r="AA19" i="13"/>
  <c r="H35" i="13"/>
  <c r="H39" i="13"/>
  <c r="I39" i="13" s="1"/>
  <c r="R39" i="13" s="1"/>
  <c r="V38" i="13"/>
  <c r="T38" i="13"/>
  <c r="U38" i="13" s="1"/>
  <c r="K42" i="13"/>
  <c r="P35" i="13"/>
  <c r="Q35" i="13" s="1"/>
  <c r="M35" i="13"/>
  <c r="H36" i="13"/>
  <c r="I36" i="13" s="1"/>
  <c r="R36" i="13" s="1"/>
  <c r="DB31" i="24" l="1"/>
  <c r="DB29" i="24"/>
  <c r="CK12" i="24"/>
  <c r="CK13" i="24" s="1"/>
  <c r="DB35" i="24"/>
  <c r="DB19" i="24"/>
  <c r="DB21" i="24"/>
  <c r="DB18" i="24"/>
  <c r="BZ13" i="24"/>
  <c r="CK8" i="24"/>
  <c r="CK9" i="24" s="1"/>
  <c r="BZ9" i="24"/>
  <c r="BR17" i="24"/>
  <c r="DU43" i="24"/>
  <c r="M42" i="13"/>
  <c r="V40" i="13"/>
  <c r="V37" i="13"/>
  <c r="BI9" i="9"/>
  <c r="CB9" i="9" s="1"/>
  <c r="BI20" i="22"/>
  <c r="BI20" i="9"/>
  <c r="CB20" i="9" s="1"/>
  <c r="BY20" i="9" s="1"/>
  <c r="CI40" i="19"/>
  <c r="CJ40" i="19"/>
  <c r="BI19" i="22"/>
  <c r="BI19" i="9"/>
  <c r="CB19" i="9" s="1"/>
  <c r="BY19" i="9" s="1"/>
  <c r="CJ39" i="19"/>
  <c r="CI39" i="19"/>
  <c r="CJ35" i="19"/>
  <c r="CI35" i="19"/>
  <c r="BF193" i="19"/>
  <c r="CO9" i="9"/>
  <c r="BP8" i="19"/>
  <c r="BQ8" i="19" s="1"/>
  <c r="BR8" i="19" s="1"/>
  <c r="BV42" i="19"/>
  <c r="CA42" i="19" s="1"/>
  <c r="CC42" i="19" s="1"/>
  <c r="BV44" i="19"/>
  <c r="CA44" i="19" s="1"/>
  <c r="CC44" i="19" s="1"/>
  <c r="BF215" i="19"/>
  <c r="BV37" i="19"/>
  <c r="CA37" i="19" s="1"/>
  <c r="CC37" i="19" s="1"/>
  <c r="T36" i="13"/>
  <c r="U36" i="13" s="1"/>
  <c r="V36" i="13"/>
  <c r="V39" i="13"/>
  <c r="T39" i="13"/>
  <c r="U39" i="13" s="1"/>
  <c r="H42" i="13"/>
  <c r="I35" i="13"/>
  <c r="DB20" i="24" l="1"/>
  <c r="DB22" i="24"/>
  <c r="DB37" i="24"/>
  <c r="DB39" i="24"/>
  <c r="DB36" i="24"/>
  <c r="CF20" i="22"/>
  <c r="CC20" i="22" s="1"/>
  <c r="CW20" i="22"/>
  <c r="CF19" i="22"/>
  <c r="CC19" i="22" s="1"/>
  <c r="CW19" i="22"/>
  <c r="CI44" i="19"/>
  <c r="BI22" i="22"/>
  <c r="BK9" i="9"/>
  <c r="BL9" i="9" s="1"/>
  <c r="BY9" i="9"/>
  <c r="CG9" i="9"/>
  <c r="CK9" i="9" s="1"/>
  <c r="CF9" i="22"/>
  <c r="CB9" i="22" s="1"/>
  <c r="BK9" i="22"/>
  <c r="CI42" i="19"/>
  <c r="BI22" i="9"/>
  <c r="CB22" i="9" s="1"/>
  <c r="BY22" i="9" s="1"/>
  <c r="CJ37" i="19"/>
  <c r="CI37" i="19"/>
  <c r="CJ44" i="19"/>
  <c r="BI8" i="9"/>
  <c r="CJ42" i="19"/>
  <c r="BI7" i="9"/>
  <c r="R35" i="13"/>
  <c r="I42" i="13"/>
  <c r="DB40" i="24" l="1"/>
  <c r="DB38" i="24"/>
  <c r="CF22" i="22"/>
  <c r="CC22" i="22" s="1"/>
  <c r="CW22" i="22"/>
  <c r="BG7" i="9"/>
  <c r="BK7" i="9" s="1"/>
  <c r="BL7" i="9" s="1"/>
  <c r="BG7" i="22"/>
  <c r="BG8" i="9"/>
  <c r="BK8" i="9" s="1"/>
  <c r="BL8" i="9" s="1"/>
  <c r="BG8" i="22"/>
  <c r="CH9" i="9"/>
  <c r="BL9" i="22"/>
  <c r="CK9" i="22"/>
  <c r="CC9" i="22"/>
  <c r="CB8" i="9"/>
  <c r="CB7" i="9"/>
  <c r="T35" i="13"/>
  <c r="U35" i="13" s="1"/>
  <c r="V35" i="13"/>
  <c r="BH8" i="22" l="1"/>
  <c r="BH7" i="22"/>
  <c r="CL9" i="22"/>
  <c r="CO9" i="22"/>
  <c r="CP9" i="22" s="1"/>
  <c r="CG7" i="9"/>
  <c r="CK7" i="9" s="1"/>
  <c r="BY7" i="9"/>
  <c r="CG8" i="9"/>
  <c r="CK8" i="9" s="1"/>
  <c r="BY8" i="9"/>
  <c r="CO7" i="9"/>
  <c r="CO8" i="9"/>
  <c r="AJ7" i="9"/>
  <c r="AJ10" i="9"/>
  <c r="AJ11" i="9"/>
  <c r="AJ29" i="9"/>
  <c r="AM29" i="11"/>
  <c r="AM28" i="11"/>
  <c r="AM27" i="11"/>
  <c r="AM26" i="11"/>
  <c r="AM11" i="11"/>
  <c r="AM10" i="11"/>
  <c r="AM7" i="11"/>
  <c r="AG33" i="11"/>
  <c r="AG29" i="11"/>
  <c r="AN28" i="11"/>
  <c r="AG28" i="11"/>
  <c r="AN27" i="11"/>
  <c r="AG27" i="11"/>
  <c r="AG26" i="11"/>
  <c r="AN25" i="11"/>
  <c r="AM25" i="11" s="1"/>
  <c r="AG25" i="11"/>
  <c r="AN18" i="11"/>
  <c r="AM18" i="11" s="1"/>
  <c r="AG18" i="11"/>
  <c r="AN17" i="11"/>
  <c r="AM17" i="11" s="1"/>
  <c r="AG17" i="11"/>
  <c r="AN16" i="11"/>
  <c r="AM16" i="11" s="1"/>
  <c r="AG16" i="11"/>
  <c r="AN15" i="11"/>
  <c r="AM15" i="11" s="1"/>
  <c r="AG15" i="11"/>
  <c r="AG11" i="11"/>
  <c r="AG10" i="11"/>
  <c r="AN9" i="11"/>
  <c r="AM9" i="11" s="1"/>
  <c r="AG9" i="11"/>
  <c r="AN8" i="11"/>
  <c r="AM8" i="11" s="1"/>
  <c r="AG8" i="11"/>
  <c r="AG7" i="11"/>
  <c r="AB7" i="11"/>
  <c r="Z37" i="11"/>
  <c r="X7" i="11"/>
  <c r="AB10" i="9"/>
  <c r="AD37" i="9"/>
  <c r="X37" i="9"/>
  <c r="AM37" i="9"/>
  <c r="C43" i="10"/>
  <c r="C42" i="10"/>
  <c r="F41" i="10"/>
  <c r="G41" i="10" s="1"/>
  <c r="S40" i="10"/>
  <c r="X40" i="10" s="1"/>
  <c r="L40" i="10"/>
  <c r="F40" i="10"/>
  <c r="G40" i="10" s="1"/>
  <c r="S39" i="10"/>
  <c r="L39" i="10"/>
  <c r="G39" i="10"/>
  <c r="F39" i="10"/>
  <c r="S38" i="10"/>
  <c r="Y38" i="10" s="1"/>
  <c r="L38" i="10"/>
  <c r="F38" i="10"/>
  <c r="G38" i="10" s="1"/>
  <c r="S37" i="10"/>
  <c r="L37" i="10"/>
  <c r="G37" i="10"/>
  <c r="F37" i="10"/>
  <c r="S36" i="10"/>
  <c r="X36" i="10" s="1"/>
  <c r="L36" i="10"/>
  <c r="G36" i="10"/>
  <c r="F36" i="10"/>
  <c r="S35" i="10"/>
  <c r="Y35" i="10" s="1"/>
  <c r="L35" i="10"/>
  <c r="F35" i="10"/>
  <c r="G35" i="10" s="1"/>
  <c r="G20" i="10"/>
  <c r="L20" i="10" s="1"/>
  <c r="F20" i="10"/>
  <c r="S19" i="10"/>
  <c r="Y19" i="10" s="1"/>
  <c r="F19" i="10"/>
  <c r="G19" i="10" s="1"/>
  <c r="AD18" i="10"/>
  <c r="AE18" i="10" s="1"/>
  <c r="S18" i="10"/>
  <c r="Y18" i="10" s="1"/>
  <c r="F18" i="10"/>
  <c r="G18" i="10" s="1"/>
  <c r="L18" i="10" s="1"/>
  <c r="S17" i="10"/>
  <c r="X17" i="10" s="1"/>
  <c r="F17" i="10"/>
  <c r="G17" i="10" s="1"/>
  <c r="S16" i="10"/>
  <c r="Y16" i="10" s="1"/>
  <c r="F16" i="10"/>
  <c r="G16" i="10" s="1"/>
  <c r="S15" i="10"/>
  <c r="Y15" i="10" s="1"/>
  <c r="G15" i="10"/>
  <c r="L15" i="10" s="1"/>
  <c r="F15" i="10"/>
  <c r="AE14" i="10"/>
  <c r="S14" i="10"/>
  <c r="X14" i="10" s="1"/>
  <c r="F14" i="10"/>
  <c r="C9" i="10"/>
  <c r="AN2" i="8"/>
  <c r="AN3" i="8"/>
  <c r="C11" i="10" l="1"/>
  <c r="C26" i="10" s="1"/>
  <c r="C29" i="10" s="1"/>
  <c r="F21" i="10"/>
  <c r="F23" i="10" s="1"/>
  <c r="CH8" i="9"/>
  <c r="CH7" i="9"/>
  <c r="AN37" i="8"/>
  <c r="AX37" i="8" s="1"/>
  <c r="AY37" i="8" s="1"/>
  <c r="AZ37" i="8" s="1"/>
  <c r="AN1" i="8"/>
  <c r="C10" i="10"/>
  <c r="Y17" i="10"/>
  <c r="W39" i="10"/>
  <c r="Y40" i="10"/>
  <c r="AO37" i="9"/>
  <c r="AN37" i="9"/>
  <c r="AP37" i="9" s="1"/>
  <c r="Z37" i="9"/>
  <c r="V37" i="9"/>
  <c r="X29" i="11"/>
  <c r="X37" i="11"/>
  <c r="AF33" i="9"/>
  <c r="AD26" i="11"/>
  <c r="AD37" i="11"/>
  <c r="W37" i="10"/>
  <c r="W15" i="10"/>
  <c r="X37" i="10"/>
  <c r="Y37" i="10"/>
  <c r="Z36" i="10"/>
  <c r="AA36" i="10" s="1"/>
  <c r="Z15" i="10"/>
  <c r="AB15" i="10" s="1"/>
  <c r="W40" i="10"/>
  <c r="W35" i="10"/>
  <c r="X35" i="10"/>
  <c r="X15" i="10"/>
  <c r="AD10" i="11"/>
  <c r="V27" i="11"/>
  <c r="X25" i="11"/>
  <c r="AB10" i="11"/>
  <c r="AB15" i="11"/>
  <c r="AB29" i="11"/>
  <c r="AB25" i="11"/>
  <c r="AD29" i="11"/>
  <c r="AB9" i="11"/>
  <c r="AD9" i="11"/>
  <c r="AB28" i="11"/>
  <c r="AD7" i="11"/>
  <c r="AD28" i="11"/>
  <c r="AF28" i="11"/>
  <c r="AB16" i="11"/>
  <c r="AD15" i="11"/>
  <c r="AD25" i="11"/>
  <c r="AD16" i="11"/>
  <c r="Z29" i="11"/>
  <c r="Z16" i="11"/>
  <c r="Z10" i="11"/>
  <c r="Z28" i="11"/>
  <c r="Z7" i="11"/>
  <c r="Z15" i="11"/>
  <c r="Z9" i="11"/>
  <c r="Z26" i="11"/>
  <c r="Z18" i="11"/>
  <c r="Z17" i="11"/>
  <c r="Z33" i="11"/>
  <c r="Z11" i="11"/>
  <c r="Z25" i="11"/>
  <c r="Z27" i="11"/>
  <c r="Z8" i="11"/>
  <c r="X15" i="11"/>
  <c r="X11" i="11"/>
  <c r="AD18" i="11"/>
  <c r="X33" i="11"/>
  <c r="X9" i="11"/>
  <c r="X28" i="11"/>
  <c r="AB8" i="11"/>
  <c r="X17" i="11"/>
  <c r="AB27" i="11"/>
  <c r="X27" i="11"/>
  <c r="AD8" i="11"/>
  <c r="AB11" i="11"/>
  <c r="AD27" i="11"/>
  <c r="AD33" i="11"/>
  <c r="X18" i="11"/>
  <c r="AB18" i="11"/>
  <c r="AD11" i="11"/>
  <c r="AB17" i="11"/>
  <c r="X26" i="11"/>
  <c r="X8" i="11"/>
  <c r="AD17" i="11"/>
  <c r="X10" i="11"/>
  <c r="X16" i="11"/>
  <c r="AB26" i="11"/>
  <c r="L19" i="10"/>
  <c r="L16" i="10"/>
  <c r="L17" i="10"/>
  <c r="G42" i="10"/>
  <c r="L41" i="10"/>
  <c r="W17" i="10"/>
  <c r="F42" i="10"/>
  <c r="F44" i="10" s="1"/>
  <c r="W36" i="10"/>
  <c r="X39" i="10"/>
  <c r="X19" i="10"/>
  <c r="Y36" i="10"/>
  <c r="W19" i="10"/>
  <c r="Y39" i="10"/>
  <c r="G14" i="10"/>
  <c r="H16" i="10" s="1"/>
  <c r="I16" i="10" s="1"/>
  <c r="W14" i="10"/>
  <c r="W16" i="10"/>
  <c r="X16" i="10"/>
  <c r="W38" i="10"/>
  <c r="Y14" i="10"/>
  <c r="W18" i="10"/>
  <c r="X38" i="10"/>
  <c r="X18" i="10"/>
  <c r="H15" i="10" l="1"/>
  <c r="I15" i="10" s="1"/>
  <c r="R15" i="10" s="1"/>
  <c r="H17" i="10"/>
  <c r="I17" i="10" s="1"/>
  <c r="R17" i="10" s="1"/>
  <c r="H41" i="10"/>
  <c r="I41" i="10" s="1"/>
  <c r="H20" i="10"/>
  <c r="I20" i="10" s="1"/>
  <c r="H19" i="10"/>
  <c r="I19" i="10" s="1"/>
  <c r="R19" i="10" s="1"/>
  <c r="J16" i="10"/>
  <c r="K16" i="10" s="1"/>
  <c r="N16" i="10" s="1"/>
  <c r="AI37" i="9"/>
  <c r="Z37" i="10"/>
  <c r="Z38" i="10" s="1"/>
  <c r="AB36" i="10"/>
  <c r="V25" i="11"/>
  <c r="V37" i="11"/>
  <c r="AH37" i="11" s="1"/>
  <c r="AI37" i="11" s="1"/>
  <c r="AS37" i="9"/>
  <c r="V7" i="11"/>
  <c r="Z16" i="10"/>
  <c r="AA15" i="10"/>
  <c r="V11" i="11"/>
  <c r="V28" i="11"/>
  <c r="AH28" i="11" s="1"/>
  <c r="V26" i="11"/>
  <c r="V16" i="11"/>
  <c r="V9" i="11"/>
  <c r="V15" i="11"/>
  <c r="V29" i="11"/>
  <c r="V17" i="11"/>
  <c r="V33" i="11"/>
  <c r="V10" i="11"/>
  <c r="V8" i="11"/>
  <c r="V18" i="11"/>
  <c r="AF16" i="11"/>
  <c r="AF18" i="11"/>
  <c r="AF26" i="11"/>
  <c r="AF10" i="11"/>
  <c r="AF9" i="11"/>
  <c r="AF25" i="11"/>
  <c r="AF7" i="11"/>
  <c r="AF15" i="11"/>
  <c r="AF29" i="11"/>
  <c r="AF17" i="11"/>
  <c r="AF8" i="11"/>
  <c r="AF27" i="11"/>
  <c r="AH27" i="11" s="1"/>
  <c r="AF33" i="11"/>
  <c r="AF11" i="11"/>
  <c r="R16" i="10"/>
  <c r="C31" i="10"/>
  <c r="C30" i="10"/>
  <c r="L14" i="10"/>
  <c r="G21" i="10"/>
  <c r="H14" i="10"/>
  <c r="H18" i="10"/>
  <c r="J14" i="10" l="1"/>
  <c r="I14" i="10"/>
  <c r="J15" i="10"/>
  <c r="K15" i="10" s="1"/>
  <c r="N15" i="10" s="1"/>
  <c r="J17" i="10"/>
  <c r="K17" i="10" s="1"/>
  <c r="N17" i="10" s="1"/>
  <c r="AK37" i="11"/>
  <c r="AJ37" i="11"/>
  <c r="AH9" i="11"/>
  <c r="AR9" i="11" s="1"/>
  <c r="AH29" i="11"/>
  <c r="AR29" i="11" s="1"/>
  <c r="AS29" i="11" s="1"/>
  <c r="AT29" i="11" s="1"/>
  <c r="AA37" i="10"/>
  <c r="AB37" i="10"/>
  <c r="J20" i="10"/>
  <c r="K20" i="10" s="1"/>
  <c r="N20" i="10" s="1"/>
  <c r="P20" i="10" s="1"/>
  <c r="Q20" i="10" s="1"/>
  <c r="J19" i="10"/>
  <c r="K19" i="10" s="1"/>
  <c r="N19" i="10" s="1"/>
  <c r="E40" i="10" s="1"/>
  <c r="J41" i="10"/>
  <c r="K41" i="10" s="1"/>
  <c r="N41" i="10" s="1"/>
  <c r="P41" i="10" s="1"/>
  <c r="Q41" i="10" s="1"/>
  <c r="M16" i="10"/>
  <c r="AH15" i="11"/>
  <c r="AR15" i="11" s="1"/>
  <c r="AH7" i="11"/>
  <c r="AI7" i="11" s="1"/>
  <c r="AH8" i="11"/>
  <c r="AR8" i="11" s="1"/>
  <c r="AH10" i="11"/>
  <c r="AR10" i="11" s="1"/>
  <c r="AX37" i="11"/>
  <c r="AH25" i="11"/>
  <c r="AR25" i="11" s="1"/>
  <c r="AH16" i="11"/>
  <c r="AI16" i="11" s="1"/>
  <c r="AK16" i="11" s="1"/>
  <c r="AH33" i="11"/>
  <c r="AI33" i="11" s="1"/>
  <c r="AK33" i="11" s="1"/>
  <c r="AH17" i="11"/>
  <c r="AI17" i="11" s="1"/>
  <c r="AK17" i="11" s="1"/>
  <c r="AH11" i="11"/>
  <c r="AI11" i="11" s="1"/>
  <c r="AH18" i="11"/>
  <c r="AI18" i="11" s="1"/>
  <c r="AA16" i="10"/>
  <c r="Z17" i="10"/>
  <c r="AB16" i="10"/>
  <c r="AR27" i="11"/>
  <c r="AI27" i="11"/>
  <c r="AR28" i="11"/>
  <c r="AI28" i="11"/>
  <c r="AH26" i="11"/>
  <c r="M17" i="10"/>
  <c r="H21" i="10"/>
  <c r="T15" i="10"/>
  <c r="U15" i="10" s="1"/>
  <c r="V15" i="10"/>
  <c r="V17" i="10"/>
  <c r="T17" i="10"/>
  <c r="U17" i="10" s="1"/>
  <c r="E37" i="10"/>
  <c r="P16" i="10"/>
  <c r="Q16" i="10" s="1"/>
  <c r="L21" i="10"/>
  <c r="I18" i="10"/>
  <c r="J18" i="10"/>
  <c r="T16" i="10"/>
  <c r="U16" i="10" s="1"/>
  <c r="V16" i="10"/>
  <c r="AB38" i="10"/>
  <c r="AA38" i="10"/>
  <c r="Z39" i="10"/>
  <c r="V19" i="10"/>
  <c r="T19" i="10"/>
  <c r="U19" i="10" s="1"/>
  <c r="M15" i="10" l="1"/>
  <c r="M20" i="10"/>
  <c r="M19" i="10"/>
  <c r="AI15" i="11"/>
  <c r="AJ15" i="11" s="1"/>
  <c r="AL15" i="11" s="1"/>
  <c r="AO15" i="11" s="1"/>
  <c r="AP15" i="11" s="1"/>
  <c r="AI9" i="11"/>
  <c r="AJ9" i="11" s="1"/>
  <c r="AL9" i="11" s="1"/>
  <c r="AO9" i="11" s="1"/>
  <c r="AP9" i="11" s="1"/>
  <c r="AL37" i="11"/>
  <c r="AO37" i="11" s="1"/>
  <c r="AP37" i="11" s="1"/>
  <c r="BF37" i="11" s="1"/>
  <c r="BA37" i="11"/>
  <c r="AR7" i="11"/>
  <c r="AI29" i="11"/>
  <c r="AK29" i="11" s="1"/>
  <c r="AI8" i="11"/>
  <c r="AJ8" i="11" s="1"/>
  <c r="AL8" i="11" s="1"/>
  <c r="AO8" i="11" s="1"/>
  <c r="AP8" i="11" s="1"/>
  <c r="M41" i="10"/>
  <c r="J21" i="10"/>
  <c r="AJ33" i="11"/>
  <c r="AL33" i="11" s="1"/>
  <c r="AO33" i="11" s="1"/>
  <c r="AP33" i="11" s="1"/>
  <c r="AI10" i="11"/>
  <c r="AJ10" i="11" s="1"/>
  <c r="AL10" i="11" s="1"/>
  <c r="AO10" i="11" s="1"/>
  <c r="AP10" i="11" s="1"/>
  <c r="AR16" i="11"/>
  <c r="AR17" i="11"/>
  <c r="AK18" i="11"/>
  <c r="AJ18" i="11"/>
  <c r="AL18" i="11" s="1"/>
  <c r="AO18" i="11" s="1"/>
  <c r="AP18" i="11" s="1"/>
  <c r="AR18" i="11"/>
  <c r="AI25" i="11"/>
  <c r="AK25" i="11" s="1"/>
  <c r="AY37" i="11"/>
  <c r="AR11" i="11"/>
  <c r="AJ16" i="11"/>
  <c r="AL16" i="11" s="1"/>
  <c r="AO16" i="11" s="1"/>
  <c r="AP16" i="11" s="1"/>
  <c r="AJ17" i="11"/>
  <c r="AL17" i="11" s="1"/>
  <c r="AO17" i="11" s="1"/>
  <c r="AP17" i="11" s="1"/>
  <c r="AB17" i="10"/>
  <c r="Z18" i="10"/>
  <c r="AA17" i="10"/>
  <c r="AK28" i="11"/>
  <c r="AJ28" i="11"/>
  <c r="AL28" i="11" s="1"/>
  <c r="AO28" i="11" s="1"/>
  <c r="AP28" i="11" s="1"/>
  <c r="AK27" i="11"/>
  <c r="AJ27" i="11"/>
  <c r="AL27" i="11" s="1"/>
  <c r="AO27" i="11" s="1"/>
  <c r="AP27" i="11" s="1"/>
  <c r="AK11" i="11"/>
  <c r="AJ11" i="11"/>
  <c r="AL11" i="11" s="1"/>
  <c r="AO11" i="11" s="1"/>
  <c r="AP11" i="11" s="1"/>
  <c r="AK9" i="11"/>
  <c r="AK7" i="11"/>
  <c r="AJ7" i="11"/>
  <c r="AL7" i="11" s="1"/>
  <c r="AO7" i="11" s="1"/>
  <c r="AP7" i="11" s="1"/>
  <c r="AR26" i="11"/>
  <c r="AI26" i="11"/>
  <c r="P37" i="10"/>
  <c r="Q37" i="10" s="1"/>
  <c r="P15" i="10"/>
  <c r="Q15" i="10" s="1"/>
  <c r="E36" i="10"/>
  <c r="R18" i="10"/>
  <c r="K18" i="10"/>
  <c r="K14" i="10"/>
  <c r="N14" i="10" s="1"/>
  <c r="I21" i="10"/>
  <c r="R14" i="10"/>
  <c r="P19" i="10"/>
  <c r="Q19" i="10" s="1"/>
  <c r="AB39" i="10"/>
  <c r="AA39" i="10"/>
  <c r="Z40" i="10"/>
  <c r="P17" i="10"/>
  <c r="Q17" i="10" s="1"/>
  <c r="E38" i="10"/>
  <c r="E35" i="10" l="1"/>
  <c r="N21" i="10"/>
  <c r="P21" i="10" s="1"/>
  <c r="AK15" i="11"/>
  <c r="AK8" i="11"/>
  <c r="AJ29" i="11"/>
  <c r="AL29" i="11" s="1"/>
  <c r="AO29" i="11" s="1"/>
  <c r="AP29" i="11" s="1"/>
  <c r="AK10" i="11"/>
  <c r="AJ25" i="11"/>
  <c r="AL25" i="11" s="1"/>
  <c r="AO25" i="11" s="1"/>
  <c r="AP25" i="11" s="1"/>
  <c r="AZ37" i="11"/>
  <c r="AB18" i="10"/>
  <c r="Z19" i="10"/>
  <c r="AA18" i="10"/>
  <c r="AJ26" i="11"/>
  <c r="AL26" i="11" s="1"/>
  <c r="AO26" i="11" s="1"/>
  <c r="AP26" i="11" s="1"/>
  <c r="AK26" i="11"/>
  <c r="P38" i="10"/>
  <c r="Q38" i="10" s="1"/>
  <c r="V18" i="10"/>
  <c r="T18" i="10"/>
  <c r="U18" i="10" s="1"/>
  <c r="T14" i="10"/>
  <c r="U14" i="10" s="1"/>
  <c r="V14" i="10"/>
  <c r="K21" i="10"/>
  <c r="M14" i="10"/>
  <c r="N18" i="10"/>
  <c r="M18" i="10"/>
  <c r="AB40" i="10"/>
  <c r="AA40" i="10"/>
  <c r="P36" i="10"/>
  <c r="Q36" i="10" s="1"/>
  <c r="P40" i="10"/>
  <c r="Q40" i="10" s="1"/>
  <c r="N22" i="10" l="1"/>
  <c r="P22" i="10" s="1"/>
  <c r="BB37" i="11"/>
  <c r="AB19" i="10"/>
  <c r="AA19" i="10"/>
  <c r="P18" i="10"/>
  <c r="Q18" i="10" s="1"/>
  <c r="E39" i="10"/>
  <c r="M21" i="10"/>
  <c r="P14" i="10"/>
  <c r="Q14" i="10" s="1"/>
  <c r="BD37" i="11" l="1"/>
  <c r="H39" i="10"/>
  <c r="I39" i="10" s="1"/>
  <c r="R39" i="10" s="1"/>
  <c r="V39" i="10" s="1"/>
  <c r="BC37" i="11"/>
  <c r="K42" i="10"/>
  <c r="P35" i="10"/>
  <c r="Q35" i="10" s="1"/>
  <c r="H35" i="10"/>
  <c r="H37" i="10"/>
  <c r="I37" i="10" s="1"/>
  <c r="R37" i="10" s="1"/>
  <c r="H38" i="10"/>
  <c r="I38" i="10" s="1"/>
  <c r="R38" i="10" s="1"/>
  <c r="H36" i="10"/>
  <c r="R36" i="10" s="1"/>
  <c r="H40" i="10"/>
  <c r="I40" i="10" s="1"/>
  <c r="R40" i="10" s="1"/>
  <c r="P39" i="10"/>
  <c r="Q39" i="10" s="1"/>
  <c r="T39" i="10" l="1"/>
  <c r="U39" i="10" s="1"/>
  <c r="BQ37" i="11"/>
  <c r="BE37" i="11"/>
  <c r="AR37" i="11"/>
  <c r="AS37" i="11" s="1"/>
  <c r="V36" i="10"/>
  <c r="T36" i="10"/>
  <c r="U36" i="10" s="1"/>
  <c r="H42" i="10"/>
  <c r="V40" i="10"/>
  <c r="T40" i="10"/>
  <c r="U40" i="10" s="1"/>
  <c r="T37" i="10"/>
  <c r="U37" i="10" s="1"/>
  <c r="V37" i="10"/>
  <c r="V38" i="10"/>
  <c r="T38" i="10"/>
  <c r="U38" i="10" s="1"/>
  <c r="M42" i="10"/>
  <c r="BL37" i="11" l="1"/>
  <c r="BG37" i="11"/>
  <c r="BH37" i="11" s="1"/>
  <c r="R35" i="10"/>
  <c r="V35" i="10" l="1"/>
  <c r="T35" i="10"/>
  <c r="U35" i="10" s="1"/>
  <c r="AV7" i="8" l="1"/>
  <c r="AY7" i="8"/>
  <c r="AG33" i="9" l="1"/>
  <c r="AD33" i="9"/>
  <c r="Z33" i="9"/>
  <c r="X33" i="9"/>
  <c r="V33" i="9"/>
  <c r="AG29" i="9"/>
  <c r="AF29" i="9"/>
  <c r="AD29" i="9"/>
  <c r="AB29" i="9"/>
  <c r="Z29" i="9"/>
  <c r="X29" i="9"/>
  <c r="V29" i="9"/>
  <c r="AK28" i="9"/>
  <c r="AJ28" i="9" s="1"/>
  <c r="AG28" i="9"/>
  <c r="AF28" i="9"/>
  <c r="AD28" i="9"/>
  <c r="AB28" i="9"/>
  <c r="Z28" i="9"/>
  <c r="X28" i="9"/>
  <c r="V28" i="9"/>
  <c r="AK27" i="9"/>
  <c r="AJ27" i="9" s="1"/>
  <c r="AG27" i="9"/>
  <c r="AF27" i="9"/>
  <c r="AD27" i="9"/>
  <c r="AB27" i="9"/>
  <c r="Z27" i="9"/>
  <c r="X27" i="9"/>
  <c r="V27" i="9"/>
  <c r="AK26" i="9"/>
  <c r="AJ26" i="9" s="1"/>
  <c r="AG26" i="9"/>
  <c r="AF26" i="9"/>
  <c r="AD26" i="9"/>
  <c r="AB26" i="9"/>
  <c r="Z26" i="9"/>
  <c r="X26" i="9"/>
  <c r="V26" i="9"/>
  <c r="AK25" i="9"/>
  <c r="AJ25" i="9" s="1"/>
  <c r="AG25" i="9"/>
  <c r="AF25" i="9"/>
  <c r="AD25" i="9"/>
  <c r="AB25" i="9"/>
  <c r="Z25" i="9"/>
  <c r="X25" i="9"/>
  <c r="V25" i="9"/>
  <c r="AK18" i="9"/>
  <c r="AG18" i="9"/>
  <c r="AF18" i="9"/>
  <c r="AD18" i="9"/>
  <c r="AB18" i="9"/>
  <c r="Z18" i="9"/>
  <c r="X18" i="9"/>
  <c r="V18" i="9"/>
  <c r="AK17" i="9"/>
  <c r="AG17" i="9"/>
  <c r="AF17" i="9"/>
  <c r="AD17" i="9"/>
  <c r="AB17" i="9"/>
  <c r="Z17" i="9"/>
  <c r="X17" i="9"/>
  <c r="V17" i="9"/>
  <c r="AK16" i="9"/>
  <c r="AJ16" i="9" s="1"/>
  <c r="AG16" i="9"/>
  <c r="AF16" i="9"/>
  <c r="AD16" i="9"/>
  <c r="AB16" i="9"/>
  <c r="Z16" i="9"/>
  <c r="X16" i="9"/>
  <c r="V16" i="9"/>
  <c r="AK15" i="9"/>
  <c r="AJ15" i="9" s="1"/>
  <c r="AG15" i="9"/>
  <c r="AF15" i="9"/>
  <c r="AD15" i="9"/>
  <c r="AB15" i="9"/>
  <c r="Z15" i="9"/>
  <c r="X15" i="9"/>
  <c r="V15" i="9"/>
  <c r="AG11" i="9"/>
  <c r="AF11" i="9"/>
  <c r="AD11" i="9"/>
  <c r="AB11" i="9"/>
  <c r="Z11" i="9"/>
  <c r="X11" i="9"/>
  <c r="V11" i="9"/>
  <c r="AG10" i="9"/>
  <c r="AF10" i="9"/>
  <c r="AD10" i="9"/>
  <c r="Z10" i="9"/>
  <c r="X10" i="9"/>
  <c r="V10" i="9"/>
  <c r="AK9" i="9"/>
  <c r="AG9" i="9"/>
  <c r="AF9" i="9"/>
  <c r="AD9" i="9"/>
  <c r="AB9" i="9"/>
  <c r="Z9" i="9"/>
  <c r="X9" i="9"/>
  <c r="V9" i="9"/>
  <c r="AK8" i="9"/>
  <c r="AG8" i="9"/>
  <c r="AF8" i="9"/>
  <c r="AD8" i="9"/>
  <c r="AB8" i="9"/>
  <c r="Z8" i="9"/>
  <c r="X8" i="9"/>
  <c r="V8" i="9"/>
  <c r="AG7" i="9"/>
  <c r="AF7" i="9"/>
  <c r="AD7" i="9"/>
  <c r="AB7" i="9"/>
  <c r="Z7" i="9"/>
  <c r="X7" i="9"/>
  <c r="V7" i="9"/>
  <c r="AJ17" i="9" l="1"/>
  <c r="BG2" i="9"/>
  <c r="AJ18" i="9"/>
  <c r="BG5" i="9"/>
  <c r="AJ9" i="9"/>
  <c r="BG6" i="9"/>
  <c r="AJ8" i="9"/>
  <c r="BG3" i="9"/>
  <c r="AI7" i="9"/>
  <c r="AI26" i="9"/>
  <c r="AI28" i="9"/>
  <c r="AI16" i="9"/>
  <c r="AI25" i="9"/>
  <c r="AI9" i="9"/>
  <c r="AI18" i="9"/>
  <c r="AI33" i="9"/>
  <c r="AI17" i="9"/>
  <c r="AI11" i="9"/>
  <c r="AI13" i="9" s="1"/>
  <c r="AI8" i="9"/>
  <c r="AI27" i="9"/>
  <c r="AI29" i="9"/>
  <c r="AI10" i="9"/>
  <c r="AI15" i="9"/>
  <c r="AZ28" i="8"/>
  <c r="AY28" i="8" s="1"/>
  <c r="AZ27" i="8"/>
  <c r="AY27" i="8" s="1"/>
  <c r="AZ9" i="8"/>
  <c r="AY9" i="8" s="1"/>
  <c r="AZ26" i="8"/>
  <c r="AY26" i="8" s="1"/>
  <c r="AZ25" i="8"/>
  <c r="AZ18" i="8"/>
  <c r="AY18" i="8" s="1"/>
  <c r="AZ15" i="8"/>
  <c r="AY15" i="8" s="1"/>
  <c r="AZ16" i="8"/>
  <c r="AY16" i="8" s="1"/>
  <c r="AZ17" i="8"/>
  <c r="AY17" i="8" s="1"/>
  <c r="AZ8" i="8"/>
  <c r="AY8" i="8" s="1"/>
  <c r="AY33" i="8"/>
  <c r="AY29" i="8"/>
  <c r="AY25" i="8"/>
  <c r="AY11" i="8"/>
  <c r="AY10" i="8"/>
  <c r="AL33" i="8"/>
  <c r="AL29" i="8"/>
  <c r="AL28" i="8"/>
  <c r="AL27" i="8"/>
  <c r="AL26" i="8"/>
  <c r="AL25" i="8"/>
  <c r="AL18" i="8"/>
  <c r="AL17" i="8"/>
  <c r="AL16" i="8"/>
  <c r="AL15" i="8"/>
  <c r="AN33" i="8"/>
  <c r="AN29" i="8"/>
  <c r="AN28" i="8"/>
  <c r="AN27" i="8"/>
  <c r="AN26" i="8"/>
  <c r="AN25" i="8"/>
  <c r="AN18" i="8"/>
  <c r="AN17" i="8"/>
  <c r="AN16" i="8"/>
  <c r="AP33" i="8"/>
  <c r="AP29" i="8"/>
  <c r="AP28" i="8"/>
  <c r="AP27" i="8"/>
  <c r="AP26" i="8"/>
  <c r="AP25" i="8"/>
  <c r="AP18" i="8"/>
  <c r="AP17" i="8"/>
  <c r="AP16" i="8"/>
  <c r="AP15" i="8"/>
  <c r="AR29" i="8"/>
  <c r="AR28" i="8"/>
  <c r="AR27" i="8"/>
  <c r="AR26" i="8"/>
  <c r="AR25" i="8"/>
  <c r="AR18" i="8"/>
  <c r="AR17" i="8"/>
  <c r="AR16" i="8"/>
  <c r="AR15" i="8"/>
  <c r="AV29" i="8"/>
  <c r="AV28" i="8"/>
  <c r="AV27" i="8"/>
  <c r="AV26" i="8"/>
  <c r="AV25" i="8"/>
  <c r="AV18" i="8"/>
  <c r="AV17" i="8"/>
  <c r="AV16" i="8"/>
  <c r="AV15" i="8"/>
  <c r="AT33" i="8"/>
  <c r="AT29" i="8"/>
  <c r="AT28" i="8"/>
  <c r="AT27" i="8"/>
  <c r="AT26" i="8"/>
  <c r="AT25" i="8"/>
  <c r="AT18" i="8"/>
  <c r="AT17" i="8"/>
  <c r="AT16" i="8"/>
  <c r="AT15" i="8"/>
  <c r="AT11" i="8"/>
  <c r="AT10" i="8"/>
  <c r="AT9" i="8"/>
  <c r="AT8" i="8"/>
  <c r="AV11" i="8"/>
  <c r="AV10" i="8"/>
  <c r="AV9" i="8"/>
  <c r="AV8" i="8"/>
  <c r="AT7" i="8"/>
  <c r="AR11" i="8"/>
  <c r="AR10" i="8"/>
  <c r="AR9" i="8"/>
  <c r="AR8" i="8"/>
  <c r="AR7" i="8"/>
  <c r="AW33" i="8"/>
  <c r="AW29" i="8"/>
  <c r="AW28" i="8"/>
  <c r="AW27" i="8"/>
  <c r="AW26" i="8"/>
  <c r="AW25" i="8"/>
  <c r="AW18" i="8"/>
  <c r="AW17" i="8"/>
  <c r="AW16" i="8"/>
  <c r="AW15" i="8"/>
  <c r="AW11" i="8"/>
  <c r="AW10" i="8"/>
  <c r="AW9" i="8"/>
  <c r="AW8" i="8"/>
  <c r="AW7" i="8"/>
  <c r="AP11" i="8"/>
  <c r="AP10" i="8"/>
  <c r="AP9" i="8"/>
  <c r="AP8" i="8"/>
  <c r="AP7" i="8"/>
  <c r="AN11" i="8"/>
  <c r="AN10" i="8"/>
  <c r="AN9" i="8"/>
  <c r="AN8" i="8"/>
  <c r="AN7" i="8"/>
  <c r="AL11" i="8"/>
  <c r="AL10" i="8"/>
  <c r="AL9" i="8"/>
  <c r="AL8" i="8"/>
  <c r="F10" i="6"/>
  <c r="E9" i="6"/>
  <c r="E10" i="6"/>
  <c r="G17" i="6"/>
  <c r="A10" i="1"/>
  <c r="A9" i="1"/>
  <c r="BH2" i="9" l="1"/>
  <c r="BH3" i="9"/>
  <c r="BB9" i="19" s="1"/>
  <c r="BB133" i="19" s="1"/>
  <c r="BB26" i="19"/>
  <c r="BB7" i="19"/>
  <c r="BH8" i="9"/>
  <c r="BH9" i="9"/>
  <c r="BH7" i="9"/>
  <c r="BH5" i="9"/>
  <c r="BB13" i="19" s="1"/>
  <c r="BH6" i="9"/>
  <c r="BH4" i="9"/>
  <c r="BB11" i="19" s="1"/>
  <c r="AX28" i="8"/>
  <c r="AX7" i="8"/>
  <c r="AX29" i="8"/>
  <c r="AX26" i="8"/>
  <c r="AX8" i="8"/>
  <c r="AX10" i="8"/>
  <c r="AX33" i="8"/>
  <c r="AX9" i="8"/>
  <c r="AX27" i="8"/>
  <c r="AX25" i="8"/>
  <c r="AX15" i="8"/>
  <c r="AX18" i="8"/>
  <c r="AX16" i="8"/>
  <c r="AX17" i="8"/>
  <c r="AX11" i="8"/>
  <c r="A22" i="1"/>
  <c r="BB47" i="19" l="1"/>
  <c r="BB30" i="19"/>
  <c r="BB129" i="19"/>
  <c r="BB170" i="19"/>
  <c r="BB147" i="19"/>
  <c r="BB69" i="19"/>
  <c r="BB49" i="19"/>
  <c r="BB149" i="19"/>
  <c r="BB71" i="19"/>
  <c r="BB216" i="19"/>
  <c r="BB172" i="19"/>
  <c r="BB53" i="19"/>
  <c r="BB194" i="19"/>
  <c r="BB131" i="19"/>
  <c r="BB32" i="19"/>
  <c r="BB6" i="19"/>
  <c r="AZ7" i="19" s="1"/>
  <c r="A59" i="1"/>
  <c r="BB25" i="19" l="1"/>
  <c r="AZ32" i="19" s="1"/>
  <c r="BV19" i="19" s="1"/>
  <c r="CA19" i="19" s="1"/>
  <c r="CC19" i="19" s="1"/>
  <c r="BB46" i="19"/>
  <c r="AZ47" i="19" s="1"/>
  <c r="BB128" i="19"/>
  <c r="BB68" i="19"/>
  <c r="AZ9" i="19"/>
  <c r="BV8" i="19" s="1"/>
  <c r="CA8" i="19" s="1"/>
  <c r="CC8" i="19" s="1"/>
  <c r="AZ11" i="19"/>
  <c r="BV10" i="19" s="1"/>
  <c r="CA10" i="19" s="1"/>
  <c r="CC10" i="19" s="1"/>
  <c r="AZ13" i="19"/>
  <c r="BV12" i="19" s="1"/>
  <c r="CA12" i="19" s="1"/>
  <c r="CC12" i="19" s="1"/>
  <c r="A71" i="1"/>
  <c r="A72" i="1"/>
  <c r="A73" i="1"/>
  <c r="A74" i="1"/>
  <c r="A75" i="1"/>
  <c r="A76" i="1"/>
  <c r="A77" i="1"/>
  <c r="A78" i="1"/>
  <c r="A79" i="1"/>
  <c r="A70" i="1"/>
  <c r="A60" i="1"/>
  <c r="A62" i="1"/>
  <c r="A61" i="1"/>
  <c r="A63" i="1"/>
  <c r="A64" i="1"/>
  <c r="A65" i="1"/>
  <c r="A66" i="1"/>
  <c r="A67" i="1"/>
  <c r="A68" i="1"/>
  <c r="A33" i="1"/>
  <c r="A34" i="1"/>
  <c r="A35" i="1"/>
  <c r="A36" i="1"/>
  <c r="A37" i="1"/>
  <c r="A38" i="1"/>
  <c r="A39" i="1"/>
  <c r="A40" i="1"/>
  <c r="A41" i="1"/>
  <c r="A42" i="1"/>
  <c r="A43" i="1"/>
  <c r="A44" i="1"/>
  <c r="A45" i="1"/>
  <c r="A46" i="1"/>
  <c r="A48" i="1"/>
  <c r="A49" i="1"/>
  <c r="A50" i="1"/>
  <c r="A51" i="1"/>
  <c r="A52" i="1"/>
  <c r="A53" i="1"/>
  <c r="A54" i="1"/>
  <c r="A55" i="1"/>
  <c r="A56" i="1"/>
  <c r="A57" i="1"/>
  <c r="A32" i="1"/>
  <c r="A25" i="1"/>
  <c r="A26" i="1"/>
  <c r="A27" i="1"/>
  <c r="A29" i="1"/>
  <c r="A28" i="1"/>
  <c r="A24" i="1"/>
  <c r="A7" i="1"/>
  <c r="A8" i="1"/>
  <c r="A11" i="1"/>
  <c r="A12" i="1"/>
  <c r="A13" i="1"/>
  <c r="A14" i="1"/>
  <c r="A15" i="1"/>
  <c r="A16" i="1"/>
  <c r="A17" i="1"/>
  <c r="A18" i="1"/>
  <c r="A19" i="1"/>
  <c r="A20" i="1"/>
  <c r="A21" i="1"/>
  <c r="CI12" i="19" l="1"/>
  <c r="CI10" i="19"/>
  <c r="CI8" i="19"/>
  <c r="AZ53" i="19"/>
  <c r="AZ49" i="19"/>
  <c r="AZ30" i="19"/>
  <c r="BV17" i="19" s="1"/>
  <c r="CA17" i="19" s="1"/>
  <c r="CC17" i="19" s="1"/>
  <c r="CI17" i="19" s="1"/>
  <c r="AZ26" i="19"/>
  <c r="AZ24" i="19" s="1"/>
  <c r="CJ19" i="19"/>
  <c r="CI19" i="19"/>
  <c r="CJ10" i="19"/>
  <c r="BI4" i="9"/>
  <c r="CB4" i="9" s="1"/>
  <c r="AZ69" i="19"/>
  <c r="AZ71" i="19"/>
  <c r="BV25" i="19" s="1"/>
  <c r="CA25" i="19" s="1"/>
  <c r="CC25" i="19" s="1"/>
  <c r="AZ45" i="19"/>
  <c r="CJ12" i="19"/>
  <c r="BI5" i="9"/>
  <c r="CB5" i="9" s="1"/>
  <c r="BY5" i="9" s="1"/>
  <c r="BV6" i="19"/>
  <c r="BV1" i="19" s="1"/>
  <c r="CA1" i="19" s="1"/>
  <c r="AZ5" i="19"/>
  <c r="AZ8" i="19"/>
  <c r="AZ12" i="19"/>
  <c r="AZ10" i="19"/>
  <c r="CJ8" i="19"/>
  <c r="BI3" i="9"/>
  <c r="CB3" i="9" s="1"/>
  <c r="BY3" i="9" s="1"/>
  <c r="AZ131" i="19"/>
  <c r="BV32" i="19" s="1"/>
  <c r="CA32" i="19" s="1"/>
  <c r="CC32" i="19" s="1"/>
  <c r="AZ133" i="19"/>
  <c r="AZ129" i="19"/>
  <c r="BV15" i="19" l="1"/>
  <c r="CA15" i="19" s="1"/>
  <c r="CC15" i="19" s="1"/>
  <c r="AZ52" i="19"/>
  <c r="CJ17" i="19"/>
  <c r="AZ48" i="19"/>
  <c r="CG4" i="9"/>
  <c r="CK4" i="9" s="1"/>
  <c r="BY4" i="9"/>
  <c r="CG3" i="9"/>
  <c r="CK3" i="9" s="1"/>
  <c r="CG5" i="9"/>
  <c r="CK5" i="9" s="1"/>
  <c r="CJ32" i="19"/>
  <c r="CI32" i="19"/>
  <c r="CJ25" i="19"/>
  <c r="CI25" i="19"/>
  <c r="CO5" i="9"/>
  <c r="CO3" i="9"/>
  <c r="CO4" i="9"/>
  <c r="BI6" i="9"/>
  <c r="BJ5" i="9" s="1"/>
  <c r="BK5" i="9"/>
  <c r="BL5" i="9" s="1"/>
  <c r="BK3" i="9"/>
  <c r="BL3" i="9" s="1"/>
  <c r="BK4" i="9"/>
  <c r="BL4" i="9" s="1"/>
  <c r="CC6" i="19"/>
  <c r="BV11" i="19"/>
  <c r="BV9" i="19"/>
  <c r="BV7" i="19"/>
  <c r="AZ130" i="19"/>
  <c r="BV30" i="19"/>
  <c r="CA30" i="19" s="1"/>
  <c r="CC30" i="19" s="1"/>
  <c r="BV28" i="19"/>
  <c r="CA28" i="19" s="1"/>
  <c r="CC28" i="19" s="1"/>
  <c r="AZ132" i="19"/>
  <c r="AZ127" i="19"/>
  <c r="BV23" i="19"/>
  <c r="CA23" i="19" s="1"/>
  <c r="CC23" i="19" s="1"/>
  <c r="AZ70" i="19"/>
  <c r="AZ67" i="19"/>
  <c r="CH3" i="9" l="1"/>
  <c r="BV16" i="19"/>
  <c r="BV18" i="19"/>
  <c r="CI6" i="19"/>
  <c r="CH5" i="9"/>
  <c r="BJ3" i="9"/>
  <c r="CH4" i="9"/>
  <c r="CJ28" i="19"/>
  <c r="CI28" i="19"/>
  <c r="CJ15" i="19"/>
  <c r="CI15" i="19"/>
  <c r="CJ30" i="19"/>
  <c r="CI30" i="19"/>
  <c r="CJ6" i="19"/>
  <c r="CJ23" i="19"/>
  <c r="CI23" i="19"/>
  <c r="BJ4" i="9"/>
  <c r="CB6" i="9"/>
  <c r="BY6" i="9" s="1"/>
  <c r="BK6" i="9"/>
  <c r="BL6" i="9" s="1"/>
  <c r="BJ9" i="9"/>
  <c r="BJ8" i="9"/>
  <c r="BJ7" i="9"/>
  <c r="BJ6" i="9"/>
  <c r="BI2" i="9"/>
  <c r="BK2" i="9" l="1"/>
  <c r="BL2" i="9" s="1"/>
  <c r="BL10" i="9" s="1"/>
  <c r="BJ2" i="9"/>
  <c r="CG6" i="9"/>
  <c r="CK6" i="9" s="1"/>
  <c r="CB2" i="9"/>
  <c r="CO2" i="9"/>
  <c r="CO6" i="9"/>
  <c r="CB11" i="9" l="1"/>
  <c r="BZ11" i="9" s="1"/>
  <c r="BY2" i="9"/>
  <c r="BY11" i="9" s="1"/>
  <c r="BK10" i="9"/>
  <c r="CH6" i="9"/>
  <c r="CB10" i="9"/>
  <c r="BZ10" i="9" s="1"/>
  <c r="CG2" i="9"/>
  <c r="CK2" i="9" s="1"/>
  <c r="BY10" i="9" l="1"/>
  <c r="CH2" i="9"/>
  <c r="AI138" i="24"/>
  <c r="AI74" i="24"/>
  <c r="AI103" i="24"/>
  <c r="AI20" i="24"/>
  <c r="AI41" i="24"/>
  <c r="DY6" i="24" l="1"/>
  <c r="CQ6" i="24"/>
  <c r="DH6" i="24" s="1"/>
  <c r="DH28" i="24"/>
  <c r="DH30" i="24"/>
  <c r="DH36" i="24"/>
  <c r="DH37" i="24"/>
  <c r="DK37" i="24" s="1"/>
  <c r="DL37" i="24" s="1"/>
  <c r="DM37" i="24" s="1"/>
  <c r="DH39" i="24"/>
  <c r="DK39" i="24" s="1"/>
  <c r="DL39" i="24" s="1"/>
  <c r="DM39" i="24" s="1"/>
  <c r="DN39" i="24" s="1"/>
  <c r="DK44" i="24"/>
  <c r="DL44" i="24" s="1"/>
  <c r="DM44" i="24" s="1"/>
  <c r="DH46" i="24"/>
  <c r="DK46" i="24" s="1"/>
  <c r="DL46" i="24" s="1"/>
  <c r="DM46" i="24" s="1"/>
  <c r="DH48" i="24"/>
  <c r="DK48" i="24" s="1"/>
  <c r="DL48" i="24" s="1"/>
  <c r="DM48" i="24" s="1"/>
  <c r="DN48" i="24" s="1"/>
  <c r="DH45" i="24"/>
  <c r="BO4" i="19"/>
  <c r="AI94" i="24"/>
  <c r="AG100" i="24" s="1"/>
  <c r="CQ12" i="24"/>
  <c r="DH35" i="24" s="1"/>
  <c r="AI70" i="24"/>
  <c r="AG71" i="24" s="1"/>
  <c r="CQ10" i="24"/>
  <c r="DH26" i="24" s="1"/>
  <c r="DH27" i="24" s="1"/>
  <c r="AI123" i="24"/>
  <c r="AG131" i="24" s="1"/>
  <c r="CQ14" i="24"/>
  <c r="DH44" i="24" s="1"/>
  <c r="AG45" i="24"/>
  <c r="AG47" i="24"/>
  <c r="AG43" i="24"/>
  <c r="AH6" i="24"/>
  <c r="AJ4" i="24" s="1"/>
  <c r="CM7" i="24" l="1"/>
  <c r="DD7" i="24" s="1"/>
  <c r="CQ7" i="24"/>
  <c r="BC4" i="24"/>
  <c r="DZ12" i="24"/>
  <c r="DZ13" i="24" s="1"/>
  <c r="DZ10" i="24"/>
  <c r="DZ11" i="24" s="1"/>
  <c r="DZ1" i="24"/>
  <c r="DZ8" i="24"/>
  <c r="DZ9" i="24" s="1"/>
  <c r="DZ7" i="24"/>
  <c r="DZ2" i="24" s="1"/>
  <c r="DN46" i="24"/>
  <c r="DH49" i="24"/>
  <c r="DK49" i="24" s="1"/>
  <c r="DL49" i="24" s="1"/>
  <c r="DM49" i="24" s="1"/>
  <c r="DH47" i="24"/>
  <c r="DK47" i="24" s="1"/>
  <c r="DL47" i="24" s="1"/>
  <c r="DM47" i="24" s="1"/>
  <c r="DK45" i="24"/>
  <c r="DL45" i="24" s="1"/>
  <c r="DM45" i="24" s="1"/>
  <c r="DH38" i="24"/>
  <c r="DK38" i="24" s="1"/>
  <c r="DL38" i="24" s="1"/>
  <c r="DM38" i="24" s="1"/>
  <c r="DH40" i="24"/>
  <c r="DK40" i="24" s="1"/>
  <c r="DL40" i="24" s="1"/>
  <c r="DM40" i="24" s="1"/>
  <c r="DK36" i="24"/>
  <c r="DL36" i="24" s="1"/>
  <c r="DM36" i="24" s="1"/>
  <c r="DN37" i="24"/>
  <c r="DN44" i="24"/>
  <c r="DH31" i="24"/>
  <c r="DK31" i="24" s="1"/>
  <c r="DL31" i="24" s="1"/>
  <c r="DM31" i="24" s="1"/>
  <c r="DH29" i="24"/>
  <c r="DK29" i="24" s="1"/>
  <c r="DL29" i="24" s="1"/>
  <c r="DM29" i="24" s="1"/>
  <c r="DK27" i="24"/>
  <c r="DL27" i="24" s="1"/>
  <c r="DM27" i="24" s="1"/>
  <c r="DH7" i="24"/>
  <c r="DY7" i="24" s="1"/>
  <c r="DH12" i="24"/>
  <c r="DH10" i="24"/>
  <c r="DH8" i="24"/>
  <c r="CZ5" i="24"/>
  <c r="AH5" i="24"/>
  <c r="BA5" i="24" s="1"/>
  <c r="AG96" i="24"/>
  <c r="AG98" i="24"/>
  <c r="CI5" i="24"/>
  <c r="CQ15" i="24"/>
  <c r="CQ11" i="24"/>
  <c r="AG125" i="24"/>
  <c r="AG127" i="24"/>
  <c r="CQ13" i="24"/>
  <c r="AG129" i="24"/>
  <c r="AH4" i="24"/>
  <c r="AI4" i="24"/>
  <c r="AK6" i="24"/>
  <c r="T9" i="18"/>
  <c r="CN6" i="24" l="1"/>
  <c r="DE6" i="24" s="1"/>
  <c r="CL6" i="24"/>
  <c r="DC6" i="24" s="1"/>
  <c r="DV6" i="24" s="1"/>
  <c r="CM6" i="24"/>
  <c r="DD6" i="24" s="1"/>
  <c r="DW6" i="24" s="1"/>
  <c r="CR6" i="24"/>
  <c r="DI6" i="24" s="1"/>
  <c r="EX6" i="24"/>
  <c r="FK6" i="24"/>
  <c r="FD6" i="24"/>
  <c r="K6" i="27" s="1"/>
  <c r="ES6" i="24"/>
  <c r="DG6" i="24"/>
  <c r="DX6" i="24" s="1"/>
  <c r="CT5" i="24"/>
  <c r="DG7" i="24"/>
  <c r="DX7" i="24" s="1"/>
  <c r="CN7" i="24"/>
  <c r="DE7" i="24" s="1"/>
  <c r="EA6" i="24"/>
  <c r="DK6" i="24"/>
  <c r="EE5" i="24" s="1"/>
  <c r="CK6" i="24"/>
  <c r="CK7" i="24" s="1"/>
  <c r="CT9" i="24"/>
  <c r="CU9" i="24" s="1"/>
  <c r="CV9" i="24" s="1"/>
  <c r="CT11" i="24"/>
  <c r="CU11" i="24" s="1"/>
  <c r="CV11" i="24" s="1"/>
  <c r="CT15" i="24"/>
  <c r="CU15" i="24" s="1"/>
  <c r="CV15" i="24" s="1"/>
  <c r="CT13" i="24"/>
  <c r="CU13" i="24" s="1"/>
  <c r="CV13" i="24" s="1"/>
  <c r="CT10" i="24"/>
  <c r="CU10" i="24" s="1"/>
  <c r="CV10" i="24" s="1"/>
  <c r="CT14" i="24"/>
  <c r="CU14" i="24" s="1"/>
  <c r="CV14" i="24" s="1"/>
  <c r="CU8" i="24"/>
  <c r="CV8" i="24" s="1"/>
  <c r="CT12" i="24"/>
  <c r="CU12" i="24" s="1"/>
  <c r="CV12" i="24" s="1"/>
  <c r="DB6" i="24"/>
  <c r="DU6" i="24" s="1"/>
  <c r="DW7" i="24"/>
  <c r="DI8" i="24"/>
  <c r="DI12" i="24"/>
  <c r="DI10" i="24"/>
  <c r="BA4" i="24"/>
  <c r="DH11" i="24"/>
  <c r="DH9" i="24"/>
  <c r="DH13" i="24"/>
  <c r="BB4" i="24"/>
  <c r="AI5" i="24"/>
  <c r="AZ25" i="24" s="1"/>
  <c r="AK4" i="24"/>
  <c r="AZ189" i="24"/>
  <c r="BF189" i="24" s="1"/>
  <c r="AZ122" i="24"/>
  <c r="AZ125" i="24" s="1"/>
  <c r="AK2" i="24"/>
  <c r="BE2" i="24" s="1"/>
  <c r="CK16" i="24"/>
  <c r="CK17" i="24" s="1"/>
  <c r="AZ241" i="24"/>
  <c r="AZ145" i="24"/>
  <c r="AZ167" i="24"/>
  <c r="BF167" i="24" s="1"/>
  <c r="AZ387" i="24"/>
  <c r="BF387" i="24" s="1"/>
  <c r="AZ371" i="24"/>
  <c r="BF371" i="24" s="1"/>
  <c r="AZ354" i="24"/>
  <c r="BF354" i="24" s="1"/>
  <c r="AZ104" i="24"/>
  <c r="AN9" i="18" s="1"/>
  <c r="AZ274" i="24"/>
  <c r="AR9" i="18" s="1"/>
  <c r="AH1" i="24"/>
  <c r="AZ225" i="24"/>
  <c r="DU38" i="24" s="1"/>
  <c r="AZ210" i="24"/>
  <c r="AZ290" i="24"/>
  <c r="BF290" i="24" s="1"/>
  <c r="T10" i="18"/>
  <c r="T16" i="18" s="1"/>
  <c r="AZ257" i="24"/>
  <c r="BF257" i="24" s="1"/>
  <c r="AZ305" i="24"/>
  <c r="AT9" i="18" s="1"/>
  <c r="AZ337" i="24"/>
  <c r="BF337" i="24" s="1"/>
  <c r="AZ320" i="24"/>
  <c r="BF320" i="24" s="1"/>
  <c r="T8" i="18"/>
  <c r="AK5" i="24"/>
  <c r="BD65" i="24"/>
  <c r="BE65" i="24" s="1"/>
  <c r="U9" i="18"/>
  <c r="BD46" i="24"/>
  <c r="BE46" i="24" s="1"/>
  <c r="BD85" i="24"/>
  <c r="BE85" i="24" s="1"/>
  <c r="BD122" i="24"/>
  <c r="BE122" i="24" s="1"/>
  <c r="BD104" i="24"/>
  <c r="BD210" i="24"/>
  <c r="BD25" i="24"/>
  <c r="DU15" i="24" s="1"/>
  <c r="BD6" i="24"/>
  <c r="BD241" i="24"/>
  <c r="BE241" i="24" s="1"/>
  <c r="BD145" i="24"/>
  <c r="BE145" i="24" s="1"/>
  <c r="DE12" i="24" l="1"/>
  <c r="DE10" i="24"/>
  <c r="DE8" i="24"/>
  <c r="DE13" i="24"/>
  <c r="DE11" i="24"/>
  <c r="DE9" i="24"/>
  <c r="FJ6" i="24"/>
  <c r="FC6" i="24"/>
  <c r="K7" i="27" s="1"/>
  <c r="ER6" i="24"/>
  <c r="FB6" i="24"/>
  <c r="FK7" i="24"/>
  <c r="FD7" i="24"/>
  <c r="EW6" i="24"/>
  <c r="DI7" i="24"/>
  <c r="DI9" i="24" s="1"/>
  <c r="ES7" i="24"/>
  <c r="EX7" i="24"/>
  <c r="EE6" i="24"/>
  <c r="DU1" i="24"/>
  <c r="DG13" i="24"/>
  <c r="DG9" i="24"/>
  <c r="DG11" i="24"/>
  <c r="CT6" i="24"/>
  <c r="DG8" i="24"/>
  <c r="DG12" i="24"/>
  <c r="DG10" i="24"/>
  <c r="CW12" i="24"/>
  <c r="DK30" i="24" s="1"/>
  <c r="DL30" i="24" s="1"/>
  <c r="DM30" i="24" s="1"/>
  <c r="DN30" i="24" s="1"/>
  <c r="CW8" i="24"/>
  <c r="DK26" i="24" s="1"/>
  <c r="DL26" i="24" s="1"/>
  <c r="DM26" i="24" s="1"/>
  <c r="DB10" i="24"/>
  <c r="CW14" i="24"/>
  <c r="DK35" i="24" s="1"/>
  <c r="DL35" i="24" s="1"/>
  <c r="DM35" i="24" s="1"/>
  <c r="DN35" i="24" s="1"/>
  <c r="DB12" i="24"/>
  <c r="DB7" i="24"/>
  <c r="DB9" i="24" s="1"/>
  <c r="CW10" i="24"/>
  <c r="DK28" i="24" s="1"/>
  <c r="DL28" i="24" s="1"/>
  <c r="DM28" i="24" s="1"/>
  <c r="DB8" i="24"/>
  <c r="AZ26" i="24"/>
  <c r="DU16" i="24" s="1"/>
  <c r="DU17" i="24" s="1"/>
  <c r="AZ85" i="24"/>
  <c r="AZ86" i="24" s="1"/>
  <c r="DU24" i="24" s="1"/>
  <c r="EA24" i="24"/>
  <c r="EA18" i="24"/>
  <c r="EA20" i="24"/>
  <c r="DV45" i="24"/>
  <c r="DV20" i="24"/>
  <c r="DV24" i="24"/>
  <c r="DV29" i="24"/>
  <c r="DV18" i="24"/>
  <c r="DV36" i="24"/>
  <c r="DV40" i="24"/>
  <c r="DV41" i="24"/>
  <c r="DV26" i="24"/>
  <c r="DV31" i="24"/>
  <c r="DV43" i="24"/>
  <c r="DV38" i="24"/>
  <c r="DV7" i="24"/>
  <c r="DV42" i="24"/>
  <c r="DV33" i="24"/>
  <c r="DV1" i="24"/>
  <c r="DV48" i="24"/>
  <c r="DC7" i="24"/>
  <c r="DC8" i="24"/>
  <c r="DC12" i="24"/>
  <c r="DC10" i="24"/>
  <c r="AZ46" i="24"/>
  <c r="AZ72" i="24" s="1"/>
  <c r="AG7" i="24"/>
  <c r="AZ6" i="24"/>
  <c r="AZ11" i="24" s="1"/>
  <c r="AG9" i="24"/>
  <c r="DD8" i="24"/>
  <c r="DD12" i="24"/>
  <c r="DD10" i="24"/>
  <c r="DD13" i="24"/>
  <c r="DD11" i="24"/>
  <c r="DD9" i="24"/>
  <c r="CR7" i="24"/>
  <c r="DU7" i="24"/>
  <c r="EA1" i="24"/>
  <c r="EA7" i="24"/>
  <c r="EA2" i="24" s="1"/>
  <c r="CL7" i="24"/>
  <c r="AZ123" i="24"/>
  <c r="AZ124" i="24" s="1"/>
  <c r="BF122" i="24"/>
  <c r="BB5" i="24"/>
  <c r="BD4" i="24"/>
  <c r="AZ109" i="24"/>
  <c r="AZ103" i="24" s="1"/>
  <c r="BF145" i="24"/>
  <c r="BF241" i="24"/>
  <c r="BF225" i="24"/>
  <c r="BF274" i="24"/>
  <c r="AG13" i="24"/>
  <c r="AZ107" i="24"/>
  <c r="DU33" i="24" s="1"/>
  <c r="AZ105" i="24"/>
  <c r="BD2" i="24"/>
  <c r="BF2" i="24" s="1"/>
  <c r="DU5" i="24"/>
  <c r="DU4" i="24" s="1"/>
  <c r="AI1" i="24"/>
  <c r="BE25" i="24"/>
  <c r="AG11" i="24"/>
  <c r="AZ65" i="24"/>
  <c r="BF65" i="24" s="1"/>
  <c r="AG15" i="24"/>
  <c r="BF305" i="24"/>
  <c r="AC22" i="18"/>
  <c r="AC23" i="18" s="1"/>
  <c r="AE23" i="18" s="1"/>
  <c r="T15" i="18"/>
  <c r="U8" i="18"/>
  <c r="U15" i="18" s="1"/>
  <c r="AX9" i="18"/>
  <c r="T11" i="18"/>
  <c r="U10" i="18"/>
  <c r="AV9" i="18"/>
  <c r="AP9" i="18"/>
  <c r="DU36" i="24"/>
  <c r="T7" i="18"/>
  <c r="BE6" i="24"/>
  <c r="BE210" i="24"/>
  <c r="BF210" i="24" s="1"/>
  <c r="DU35" i="24"/>
  <c r="BE104" i="24"/>
  <c r="BF104" i="24" s="1"/>
  <c r="DU28" i="24"/>
  <c r="DU27" i="24" s="1"/>
  <c r="DU48" i="24"/>
  <c r="DU45" i="24"/>
  <c r="DU42" i="24"/>
  <c r="DU23" i="24"/>
  <c r="DU22" i="24" s="1"/>
  <c r="BP5" i="19" l="1"/>
  <c r="BP4" i="19" s="1"/>
  <c r="BQ4" i="19" s="1"/>
  <c r="EF6" i="24"/>
  <c r="EF5" i="24" s="1"/>
  <c r="FB31" i="24"/>
  <c r="FI31" i="24"/>
  <c r="ER31" i="24"/>
  <c r="ER40" i="24"/>
  <c r="FB40" i="24"/>
  <c r="FI40" i="24"/>
  <c r="ER36" i="24"/>
  <c r="FB36" i="24"/>
  <c r="FI36" i="24"/>
  <c r="FB18" i="24"/>
  <c r="EW18" i="24"/>
  <c r="ER18" i="24"/>
  <c r="FI18" i="24"/>
  <c r="FB29" i="24"/>
  <c r="ER29" i="24"/>
  <c r="FI29" i="24"/>
  <c r="FB26" i="24"/>
  <c r="ER26" i="24"/>
  <c r="FI26" i="24"/>
  <c r="FI48" i="24"/>
  <c r="ER48" i="24"/>
  <c r="FB48" i="24"/>
  <c r="ER24" i="24"/>
  <c r="FI24" i="24"/>
  <c r="FB24" i="24"/>
  <c r="EW20" i="24"/>
  <c r="FB20" i="24"/>
  <c r="FI20" i="24"/>
  <c r="ER20" i="24"/>
  <c r="FB33" i="24"/>
  <c r="ER33" i="24"/>
  <c r="FI33" i="24"/>
  <c r="FB45" i="24"/>
  <c r="FI45" i="24"/>
  <c r="ER45" i="24"/>
  <c r="FB42" i="24"/>
  <c r="FI42" i="24"/>
  <c r="ER42" i="24"/>
  <c r="FC20" i="24"/>
  <c r="FJ20" i="24"/>
  <c r="ER7" i="24"/>
  <c r="FC18" i="24"/>
  <c r="FJ18" i="24"/>
  <c r="FT6" i="24"/>
  <c r="FU6" i="24" s="1"/>
  <c r="K5" i="27"/>
  <c r="ER41" i="24"/>
  <c r="FB41" i="24"/>
  <c r="FI41" i="24"/>
  <c r="FB38" i="24"/>
  <c r="FI38" i="24"/>
  <c r="ER38" i="24"/>
  <c r="FC24" i="24"/>
  <c r="FJ24" i="24"/>
  <c r="FB43" i="24"/>
  <c r="FI43" i="24"/>
  <c r="ER43" i="24"/>
  <c r="EG6" i="24"/>
  <c r="EN6" i="24" s="1"/>
  <c r="EM6" i="24"/>
  <c r="DI11" i="24"/>
  <c r="FC7" i="24"/>
  <c r="EW7" i="24"/>
  <c r="FB7" i="24"/>
  <c r="FG7" i="24" s="1"/>
  <c r="FI7" i="24"/>
  <c r="DI13" i="24"/>
  <c r="FJ7" i="24"/>
  <c r="EU6" i="24"/>
  <c r="DN28" i="24"/>
  <c r="DN26" i="24"/>
  <c r="CT7" i="24"/>
  <c r="CU7" i="24" s="1"/>
  <c r="CV7" i="24" s="1"/>
  <c r="DB11" i="24"/>
  <c r="DB13" i="24"/>
  <c r="DV2" i="24"/>
  <c r="EE7" i="24"/>
  <c r="EM7" i="24" s="1"/>
  <c r="DU2" i="24"/>
  <c r="EW36" i="24"/>
  <c r="EW33" i="24"/>
  <c r="EW42" i="24"/>
  <c r="EW45" i="24"/>
  <c r="EW40" i="24"/>
  <c r="EW38" i="24"/>
  <c r="EW29" i="24"/>
  <c r="EW43" i="24"/>
  <c r="EW41" i="24"/>
  <c r="EW48" i="24"/>
  <c r="EW24" i="24"/>
  <c r="EW31" i="24"/>
  <c r="DK12" i="24"/>
  <c r="DL12" i="24" s="1"/>
  <c r="DM12" i="24" s="1"/>
  <c r="DN12" i="24" s="1"/>
  <c r="EW26" i="24"/>
  <c r="DK8" i="24"/>
  <c r="DL8" i="24" s="1"/>
  <c r="DM8" i="24" s="1"/>
  <c r="AZ66" i="24"/>
  <c r="AZ64" i="24" s="1"/>
  <c r="AL9" i="18"/>
  <c r="BF46" i="24"/>
  <c r="AZ53" i="24"/>
  <c r="AZ47" i="24"/>
  <c r="AZ49" i="24"/>
  <c r="AZ68" i="24"/>
  <c r="AZ71" i="24" s="1"/>
  <c r="DK10" i="24"/>
  <c r="DL10" i="24" s="1"/>
  <c r="DM10" i="24" s="1"/>
  <c r="DC11" i="24"/>
  <c r="DC13" i="24"/>
  <c r="DC9" i="24"/>
  <c r="DK9" i="24" s="1"/>
  <c r="DL9" i="24" s="1"/>
  <c r="DM9" i="24" s="1"/>
  <c r="DK7" i="24"/>
  <c r="DL7" i="24" s="1"/>
  <c r="DM7" i="24" s="1"/>
  <c r="CU6" i="24"/>
  <c r="CV6" i="24" s="1"/>
  <c r="DW2" i="24"/>
  <c r="EZ6" i="24"/>
  <c r="DW1" i="24"/>
  <c r="DW42" i="24"/>
  <c r="DW33" i="24"/>
  <c r="DW18" i="24"/>
  <c r="DW38" i="24"/>
  <c r="DW20" i="24"/>
  <c r="DW26" i="24"/>
  <c r="DW45" i="24"/>
  <c r="DW48" i="24"/>
  <c r="DW24" i="24"/>
  <c r="DW29" i="24"/>
  <c r="DW43" i="24"/>
  <c r="DW31" i="24"/>
  <c r="DW41" i="24"/>
  <c r="DW40" i="24"/>
  <c r="DW36" i="24"/>
  <c r="AZ10" i="24"/>
  <c r="DU10" i="24"/>
  <c r="AZ13" i="24"/>
  <c r="AZ9" i="24"/>
  <c r="DU8" i="24" s="1"/>
  <c r="AZ7" i="24"/>
  <c r="AZ5" i="24" s="1"/>
  <c r="DU29" i="24"/>
  <c r="AZ30" i="24"/>
  <c r="DU18" i="24" s="1"/>
  <c r="AZ106" i="24"/>
  <c r="AZ32" i="24"/>
  <c r="DU20" i="24" s="1"/>
  <c r="AZ108" i="24"/>
  <c r="BF25" i="24"/>
  <c r="DU31" i="24"/>
  <c r="AZ88" i="24"/>
  <c r="DU26" i="24" s="1"/>
  <c r="AZ1" i="24"/>
  <c r="BF6" i="24"/>
  <c r="T14" i="18"/>
  <c r="U7" i="18"/>
  <c r="U14" i="18" s="1"/>
  <c r="T12" i="18"/>
  <c r="U12" i="18" s="1"/>
  <c r="U11" i="18"/>
  <c r="T17" i="18"/>
  <c r="U16" i="18"/>
  <c r="T6" i="18"/>
  <c r="U6" i="18" s="1"/>
  <c r="AZ24" i="24"/>
  <c r="AZ84" i="24"/>
  <c r="BE84" i="24"/>
  <c r="BE83" i="24" s="1"/>
  <c r="BF85" i="24"/>
  <c r="DK11" i="24" l="1"/>
  <c r="DL11" i="24" s="1"/>
  <c r="DM11" i="24" s="1"/>
  <c r="FT7" i="24"/>
  <c r="FU7" i="24" s="1"/>
  <c r="EF12" i="24"/>
  <c r="EF10" i="24"/>
  <c r="EF8" i="24"/>
  <c r="ES20" i="24"/>
  <c r="EU20" i="24" s="1"/>
  <c r="FK20" i="24"/>
  <c r="EX20" i="24"/>
  <c r="EZ20" i="24" s="1"/>
  <c r="ES38" i="24"/>
  <c r="EU38" i="24" s="1"/>
  <c r="FK38" i="24"/>
  <c r="FN38" i="24" s="1"/>
  <c r="FN20" i="24"/>
  <c r="ES18" i="24"/>
  <c r="EU18" i="24" s="1"/>
  <c r="FK18" i="24"/>
  <c r="FN18" i="24" s="1"/>
  <c r="EX18" i="24"/>
  <c r="EZ18" i="24" s="1"/>
  <c r="ES36" i="24"/>
  <c r="EU36" i="24" s="1"/>
  <c r="FK36" i="24"/>
  <c r="FN36" i="24" s="1"/>
  <c r="ES42" i="24"/>
  <c r="EU42" i="24" s="1"/>
  <c r="FK42" i="24"/>
  <c r="FN42" i="24" s="1"/>
  <c r="ES33" i="24"/>
  <c r="EU33" i="24" s="1"/>
  <c r="FK33" i="24"/>
  <c r="FN33" i="24" s="1"/>
  <c r="ES40" i="24"/>
  <c r="EU40" i="24" s="1"/>
  <c r="FK40" i="24"/>
  <c r="FN40" i="24" s="1"/>
  <c r="ES45" i="24"/>
  <c r="EU45" i="24" s="1"/>
  <c r="FK45" i="24"/>
  <c r="FN45" i="24" s="1"/>
  <c r="ES26" i="24"/>
  <c r="EU26" i="24" s="1"/>
  <c r="FK26" i="24"/>
  <c r="FN26" i="24" s="1"/>
  <c r="ES41" i="24"/>
  <c r="EU41" i="24" s="1"/>
  <c r="FK41" i="24"/>
  <c r="FN41" i="24" s="1"/>
  <c r="ES31" i="24"/>
  <c r="EU31" i="24" s="1"/>
  <c r="FK31" i="24"/>
  <c r="FN31" i="24" s="1"/>
  <c r="ES43" i="24"/>
  <c r="EU43" i="24" s="1"/>
  <c r="FK43" i="24"/>
  <c r="FN43" i="24" s="1"/>
  <c r="FV7" i="24"/>
  <c r="FW7" i="24" s="1"/>
  <c r="FQ7" i="24"/>
  <c r="FP7" i="24"/>
  <c r="ES29" i="24"/>
  <c r="EU29" i="24" s="1"/>
  <c r="FK29" i="24"/>
  <c r="FN29" i="24" s="1"/>
  <c r="ES24" i="24"/>
  <c r="EU24" i="24" s="1"/>
  <c r="FK24" i="24"/>
  <c r="FN24" i="24" s="1"/>
  <c r="ES48" i="24"/>
  <c r="EU48" i="24" s="1"/>
  <c r="FK48" i="24"/>
  <c r="FN48" i="24" s="1"/>
  <c r="FN7" i="24"/>
  <c r="DK13" i="24"/>
  <c r="DL13" i="24" s="1"/>
  <c r="DM13" i="24" s="1"/>
  <c r="DX10" i="24"/>
  <c r="DY10" i="24"/>
  <c r="DX8" i="24"/>
  <c r="DY8" i="24"/>
  <c r="DW10" i="24"/>
  <c r="EA10" i="24"/>
  <c r="EA11" i="24" s="1"/>
  <c r="DV10" i="24"/>
  <c r="EF2" i="24"/>
  <c r="DN8" i="24"/>
  <c r="DL6" i="24"/>
  <c r="DM6" i="24" s="1"/>
  <c r="DN6" i="24" s="1"/>
  <c r="CW6" i="24"/>
  <c r="AZ52" i="24"/>
  <c r="EA8" i="24"/>
  <c r="EA9" i="24" s="1"/>
  <c r="DW8" i="24"/>
  <c r="EU7" i="24"/>
  <c r="FH7" i="24" s="1"/>
  <c r="EZ7" i="24"/>
  <c r="EX43" i="24"/>
  <c r="EZ43" i="24" s="1"/>
  <c r="EE29" i="24"/>
  <c r="EX29" i="24"/>
  <c r="EZ29" i="24" s="1"/>
  <c r="EE24" i="24"/>
  <c r="EX24" i="24"/>
  <c r="EZ24" i="24" s="1"/>
  <c r="EE45" i="24"/>
  <c r="EX45" i="24"/>
  <c r="EZ45" i="24" s="1"/>
  <c r="EE20" i="24"/>
  <c r="EX38" i="24"/>
  <c r="EZ38" i="24" s="1"/>
  <c r="EE26" i="24"/>
  <c r="EX26" i="24"/>
  <c r="EZ26" i="24" s="1"/>
  <c r="EX36" i="24"/>
  <c r="EZ36" i="24" s="1"/>
  <c r="EX33" i="24"/>
  <c r="EZ33" i="24" s="1"/>
  <c r="EX48" i="24"/>
  <c r="EZ48" i="24" s="1"/>
  <c r="EX40" i="24"/>
  <c r="EZ40" i="24" s="1"/>
  <c r="EX42" i="24"/>
  <c r="EZ42" i="24" s="1"/>
  <c r="AZ67" i="24"/>
  <c r="EE18" i="24"/>
  <c r="EX41" i="24"/>
  <c r="EZ41" i="24" s="1"/>
  <c r="EE31" i="24"/>
  <c r="EX31" i="24"/>
  <c r="EZ31" i="24" s="1"/>
  <c r="DN10" i="24"/>
  <c r="AZ48" i="24"/>
  <c r="AZ45" i="24"/>
  <c r="EE40" i="24"/>
  <c r="EE42" i="24"/>
  <c r="EE41" i="24"/>
  <c r="EE43" i="24"/>
  <c r="EE48" i="24"/>
  <c r="EE38" i="24"/>
  <c r="EE36" i="24"/>
  <c r="EE33" i="24"/>
  <c r="EE2" i="24"/>
  <c r="DV8" i="24"/>
  <c r="DU11" i="24"/>
  <c r="DU12" i="24"/>
  <c r="CQ5" i="24"/>
  <c r="EE1" i="24"/>
  <c r="EF1" i="24"/>
  <c r="AZ12" i="24"/>
  <c r="AZ8" i="24"/>
  <c r="U18" i="18"/>
  <c r="AJ9" i="18"/>
  <c r="AZ87" i="24"/>
  <c r="T18" i="18"/>
  <c r="U17" i="18"/>
  <c r="U13" i="18"/>
  <c r="T13" i="18"/>
  <c r="DU19" i="24"/>
  <c r="EG26" i="24" l="1"/>
  <c r="EN26" i="24" s="1"/>
  <c r="EM26" i="24"/>
  <c r="EG41" i="24"/>
  <c r="EM41" i="24"/>
  <c r="EG40" i="24"/>
  <c r="EN40" i="24" s="1"/>
  <c r="EM40" i="24"/>
  <c r="ER10" i="24"/>
  <c r="ER1" i="24" s="1"/>
  <c r="FO7" i="24"/>
  <c r="EG42" i="24"/>
  <c r="EN42" i="24" s="1"/>
  <c r="EM42" i="24"/>
  <c r="EG33" i="24"/>
  <c r="EN33" i="24" s="1"/>
  <c r="EM33" i="24"/>
  <c r="EG36" i="24"/>
  <c r="EN36" i="24" s="1"/>
  <c r="EP36" i="24" s="1"/>
  <c r="EM36" i="24"/>
  <c r="EG24" i="24"/>
  <c r="EN24" i="24" s="1"/>
  <c r="EM24" i="24"/>
  <c r="EG29" i="24"/>
  <c r="EN29" i="24" s="1"/>
  <c r="EP29" i="24" s="1"/>
  <c r="EM29" i="24"/>
  <c r="ER8" i="24"/>
  <c r="EG31" i="24"/>
  <c r="EN31" i="24" s="1"/>
  <c r="EM31" i="24"/>
  <c r="EG45" i="24"/>
  <c r="EN45" i="24" s="1"/>
  <c r="EM45" i="24"/>
  <c r="EG38" i="24"/>
  <c r="EN38" i="24" s="1"/>
  <c r="EM38" i="24"/>
  <c r="EG48" i="24"/>
  <c r="EN48" i="24" s="1"/>
  <c r="EM48" i="24"/>
  <c r="EG43" i="24"/>
  <c r="EN43" i="24" s="1"/>
  <c r="EM43" i="24"/>
  <c r="EW10" i="24"/>
  <c r="EW1" i="24" s="1"/>
  <c r="FI10" i="24"/>
  <c r="FI1" i="24" s="1"/>
  <c r="FB10" i="24"/>
  <c r="K80" i="27" s="1"/>
  <c r="EG18" i="24"/>
  <c r="EN18" i="24" s="1"/>
  <c r="EM18" i="24"/>
  <c r="FJ10" i="24"/>
  <c r="FJ1" i="24" s="1"/>
  <c r="FC10" i="24"/>
  <c r="FB8" i="24"/>
  <c r="K44" i="27" s="1"/>
  <c r="FI8" i="24"/>
  <c r="FK10" i="24"/>
  <c r="FD10" i="24"/>
  <c r="K81" i="27" s="1"/>
  <c r="FJ8" i="24"/>
  <c r="FC8" i="24"/>
  <c r="EG20" i="24"/>
  <c r="EN20" i="24" s="1"/>
  <c r="EM20" i="24"/>
  <c r="FK8" i="24"/>
  <c r="FD8" i="24"/>
  <c r="K45" i="27" s="1"/>
  <c r="ES10" i="24"/>
  <c r="EX10" i="24"/>
  <c r="EW8" i="24"/>
  <c r="ES8" i="24"/>
  <c r="EX8" i="24"/>
  <c r="DU13" i="24"/>
  <c r="DX12" i="24"/>
  <c r="DY12" i="24"/>
  <c r="DY11" i="24"/>
  <c r="DX11" i="24"/>
  <c r="DV11" i="24"/>
  <c r="DW11" i="24"/>
  <c r="EN41" i="24"/>
  <c r="EE8" i="24"/>
  <c r="EF7" i="24" s="1"/>
  <c r="EE10" i="24"/>
  <c r="EF9" i="24" s="1"/>
  <c r="DV12" i="24"/>
  <c r="EA12" i="24"/>
  <c r="EA17" i="24" s="1"/>
  <c r="DW12" i="24"/>
  <c r="DU9" i="24"/>
  <c r="EG7" i="24"/>
  <c r="EP6" i="24"/>
  <c r="BI2" i="22"/>
  <c r="ER11" i="24" l="1"/>
  <c r="FT10" i="24"/>
  <c r="FU10" i="24" s="1"/>
  <c r="BI8" i="22"/>
  <c r="CV8" i="22" s="1"/>
  <c r="BI7" i="22"/>
  <c r="CW7" i="22" s="1"/>
  <c r="K46" i="27"/>
  <c r="FT8" i="24"/>
  <c r="FU8" i="24" s="1"/>
  <c r="ER12" i="24"/>
  <c r="FC1" i="24"/>
  <c r="K82" i="27"/>
  <c r="FJ11" i="24"/>
  <c r="FJ2" i="24" s="1"/>
  <c r="FC11" i="24"/>
  <c r="FN8" i="24"/>
  <c r="EW11" i="24"/>
  <c r="FI11" i="24"/>
  <c r="FB11" i="24"/>
  <c r="CF2" i="22"/>
  <c r="CC2" i="22" s="1"/>
  <c r="FG10" i="24"/>
  <c r="FN10" i="24"/>
  <c r="FG8" i="24"/>
  <c r="FD11" i="24"/>
  <c r="FK11" i="24"/>
  <c r="EX12" i="24"/>
  <c r="FK12" i="24"/>
  <c r="FD12" i="24"/>
  <c r="K126" i="27" s="1"/>
  <c r="DW17" i="24"/>
  <c r="FJ12" i="24"/>
  <c r="FC12" i="24"/>
  <c r="FI12" i="24"/>
  <c r="FB12" i="24"/>
  <c r="DV16" i="24"/>
  <c r="DV17" i="24" s="1"/>
  <c r="EP38" i="24"/>
  <c r="EP26" i="24"/>
  <c r="EG8" i="24"/>
  <c r="BI3" i="22" s="1"/>
  <c r="CF3" i="22" s="1"/>
  <c r="CB3" i="22" s="1"/>
  <c r="EM8" i="24"/>
  <c r="EP33" i="24"/>
  <c r="ES11" i="24"/>
  <c r="EX11" i="24"/>
  <c r="EP42" i="24"/>
  <c r="EP31" i="24"/>
  <c r="EP45" i="24"/>
  <c r="EP43" i="24"/>
  <c r="EG10" i="24"/>
  <c r="EM10" i="24"/>
  <c r="FD36" i="24"/>
  <c r="EP41" i="24"/>
  <c r="EW12" i="24"/>
  <c r="EP24" i="24"/>
  <c r="EP20" i="24"/>
  <c r="EP48" i="24"/>
  <c r="EP18" i="24"/>
  <c r="DX13" i="24"/>
  <c r="EP40" i="24"/>
  <c r="DY13" i="24"/>
  <c r="FD29" i="24"/>
  <c r="DY9" i="24"/>
  <c r="DX9" i="24"/>
  <c r="DX17" i="24"/>
  <c r="DX16" i="24"/>
  <c r="DY16" i="24"/>
  <c r="DY17" i="24"/>
  <c r="EA13" i="24"/>
  <c r="EA16" i="24"/>
  <c r="ES12" i="24"/>
  <c r="DW16" i="24"/>
  <c r="DV15" i="24"/>
  <c r="EU8" i="24"/>
  <c r="EZ8" i="24"/>
  <c r="EU10" i="24"/>
  <c r="EX1" i="24"/>
  <c r="EZ1" i="24" s="1"/>
  <c r="EZ10" i="24"/>
  <c r="CV2" i="22"/>
  <c r="CW2" i="22"/>
  <c r="CF7" i="22"/>
  <c r="CB7" i="22" s="1"/>
  <c r="DV9" i="24"/>
  <c r="DW9" i="24"/>
  <c r="ES1" i="24"/>
  <c r="EU1" i="24" s="1"/>
  <c r="EE12" i="24"/>
  <c r="EF11" i="24" s="1"/>
  <c r="EN7" i="24"/>
  <c r="BK2" i="22"/>
  <c r="BL2" i="22" s="1"/>
  <c r="BK7" i="22" l="1"/>
  <c r="BL7" i="22" s="1"/>
  <c r="CV7" i="22"/>
  <c r="FG36" i="24"/>
  <c r="FV36" i="24" s="1"/>
  <c r="FW36" i="24" s="1"/>
  <c r="FT36" i="24"/>
  <c r="FU36" i="24" s="1"/>
  <c r="FG29" i="24"/>
  <c r="FV29" i="24" s="1"/>
  <c r="FW29" i="24" s="1"/>
  <c r="FT29" i="24"/>
  <c r="FU29" i="24" s="1"/>
  <c r="BK8" i="22"/>
  <c r="BL8" i="22" s="1"/>
  <c r="CW8" i="22"/>
  <c r="CF8" i="22"/>
  <c r="CK8" i="22" s="1"/>
  <c r="FC2" i="24"/>
  <c r="FT11" i="24"/>
  <c r="FU11" i="24" s="1"/>
  <c r="K127" i="27"/>
  <c r="FT12" i="24"/>
  <c r="FU12" i="24" s="1"/>
  <c r="FO8" i="24"/>
  <c r="FG12" i="24"/>
  <c r="K125" i="27"/>
  <c r="ER9" i="24"/>
  <c r="FV8" i="24"/>
  <c r="FW8" i="24" s="1"/>
  <c r="K51" i="27"/>
  <c r="FH8" i="24"/>
  <c r="FQ8" i="24"/>
  <c r="FP8" i="24"/>
  <c r="FD16" i="24"/>
  <c r="FK16" i="24"/>
  <c r="EX16" i="24"/>
  <c r="FO10" i="24"/>
  <c r="FJ16" i="24"/>
  <c r="FC16" i="24"/>
  <c r="FV10" i="24"/>
  <c r="FW10" i="24" s="1"/>
  <c r="FH10" i="24"/>
  <c r="K87" i="27"/>
  <c r="FQ10" i="24"/>
  <c r="FP10" i="24"/>
  <c r="FI16" i="24"/>
  <c r="FB16" i="24"/>
  <c r="EW16" i="24"/>
  <c r="ER16" i="24"/>
  <c r="FN12" i="24"/>
  <c r="FJ13" i="24"/>
  <c r="FC13" i="24"/>
  <c r="FJ9" i="24"/>
  <c r="FC9" i="24"/>
  <c r="FN11" i="24"/>
  <c r="FI9" i="24"/>
  <c r="FB9" i="24"/>
  <c r="EE16" i="24"/>
  <c r="EM16" i="24" s="1"/>
  <c r="FG11" i="24"/>
  <c r="FK9" i="24"/>
  <c r="FD9" i="24"/>
  <c r="EN8" i="24"/>
  <c r="EP8" i="24" s="1"/>
  <c r="CV3" i="22"/>
  <c r="EW9" i="24"/>
  <c r="BI4" i="22"/>
  <c r="CF4" i="22" s="1"/>
  <c r="CW3" i="22"/>
  <c r="EN10" i="24"/>
  <c r="FD18" i="24"/>
  <c r="FG6" i="24"/>
  <c r="FD41" i="24"/>
  <c r="FD31" i="24"/>
  <c r="EE17" i="24"/>
  <c r="FD26" i="24"/>
  <c r="FT26" i="24" s="1"/>
  <c r="FU26" i="24" s="1"/>
  <c r="FD45" i="24"/>
  <c r="FD48" i="24"/>
  <c r="FD43" i="24"/>
  <c r="ES9" i="24"/>
  <c r="EX9" i="24"/>
  <c r="FN6" i="24"/>
  <c r="FO6" i="24" s="1"/>
  <c r="FD42" i="24"/>
  <c r="FD20" i="24"/>
  <c r="EG12" i="24"/>
  <c r="EM12" i="24"/>
  <c r="ET4" i="24"/>
  <c r="FD24" i="24"/>
  <c r="FD33" i="24"/>
  <c r="EY4" i="24"/>
  <c r="EP7" i="24"/>
  <c r="BK3" i="22"/>
  <c r="BL3" i="22" s="1"/>
  <c r="FD40" i="24"/>
  <c r="FD38" i="24"/>
  <c r="ES16" i="24"/>
  <c r="EZ12" i="24"/>
  <c r="EU12" i="24"/>
  <c r="EZ4" i="24"/>
  <c r="CK7" i="22"/>
  <c r="CL7" i="22" s="1"/>
  <c r="CC7" i="22"/>
  <c r="CB2" i="22"/>
  <c r="ES4" i="24"/>
  <c r="EW4" i="24"/>
  <c r="EE9" i="24"/>
  <c r="EX4" i="24"/>
  <c r="CC3" i="22"/>
  <c r="CK3" i="22"/>
  <c r="CL3" i="22" s="1"/>
  <c r="CK2" i="22"/>
  <c r="CO2" i="22" s="1"/>
  <c r="CP2" i="22" s="1"/>
  <c r="FP29" i="24" l="1"/>
  <c r="CW4" i="22"/>
  <c r="EZ16" i="24"/>
  <c r="FP36" i="24"/>
  <c r="FQ36" i="24"/>
  <c r="FH36" i="24"/>
  <c r="BK4" i="22"/>
  <c r="BL4" i="22" s="1"/>
  <c r="CV4" i="22"/>
  <c r="CB8" i="22"/>
  <c r="FG24" i="24"/>
  <c r="FV24" i="24" s="1"/>
  <c r="FW24" i="24" s="1"/>
  <c r="FT24" i="24"/>
  <c r="FU24" i="24" s="1"/>
  <c r="FG26" i="24"/>
  <c r="FV26" i="24" s="1"/>
  <c r="FW26" i="24" s="1"/>
  <c r="FG31" i="24"/>
  <c r="FV31" i="24" s="1"/>
  <c r="FW31" i="24" s="1"/>
  <c r="FT31" i="24"/>
  <c r="FU31" i="24" s="1"/>
  <c r="CC8" i="22"/>
  <c r="FG41" i="24"/>
  <c r="FV41" i="24" s="1"/>
  <c r="FW41" i="24" s="1"/>
  <c r="FT41" i="24"/>
  <c r="FU41" i="24" s="1"/>
  <c r="FG38" i="24"/>
  <c r="FV38" i="24" s="1"/>
  <c r="FW38" i="24" s="1"/>
  <c r="FT38" i="24"/>
  <c r="FU38" i="24" s="1"/>
  <c r="FG40" i="24"/>
  <c r="FV40" i="24" s="1"/>
  <c r="FW40" i="24" s="1"/>
  <c r="FT40" i="24"/>
  <c r="FU40" i="24" s="1"/>
  <c r="FG43" i="24"/>
  <c r="FV43" i="24" s="1"/>
  <c r="FW43" i="24" s="1"/>
  <c r="FT43" i="24"/>
  <c r="FU43" i="24" s="1"/>
  <c r="FG48" i="24"/>
  <c r="FV48" i="24" s="1"/>
  <c r="FW48" i="24" s="1"/>
  <c r="FT48" i="24"/>
  <c r="FU48" i="24" s="1"/>
  <c r="FG45" i="24"/>
  <c r="FV45" i="24" s="1"/>
  <c r="FW45" i="24" s="1"/>
  <c r="FT45" i="24"/>
  <c r="FU45" i="24" s="1"/>
  <c r="FG33" i="24"/>
  <c r="FV33" i="24" s="1"/>
  <c r="FW33" i="24" s="1"/>
  <c r="FT33" i="24"/>
  <c r="FU33" i="24" s="1"/>
  <c r="FG20" i="24"/>
  <c r="FV20" i="24" s="1"/>
  <c r="FW20" i="24" s="1"/>
  <c r="FT20" i="24"/>
  <c r="FU20" i="24" s="1"/>
  <c r="FG18" i="24"/>
  <c r="FV18" i="24" s="1"/>
  <c r="FW18" i="24" s="1"/>
  <c r="FT18" i="24"/>
  <c r="FU18" i="24" s="1"/>
  <c r="FT9" i="24"/>
  <c r="FU9" i="24" s="1"/>
  <c r="FG42" i="24"/>
  <c r="FV42" i="24" s="1"/>
  <c r="FW42" i="24" s="1"/>
  <c r="FT42" i="24"/>
  <c r="FU42" i="24" s="1"/>
  <c r="FQ29" i="24"/>
  <c r="FT16" i="24"/>
  <c r="FU16" i="24" s="1"/>
  <c r="FH29" i="24"/>
  <c r="FG16" i="24"/>
  <c r="FV16" i="24" s="1"/>
  <c r="FW16" i="24" s="1"/>
  <c r="FQ31" i="24"/>
  <c r="L87" i="27"/>
  <c r="L84" i="27"/>
  <c r="L86" i="27"/>
  <c r="L85" i="27"/>
  <c r="L83" i="27"/>
  <c r="L81" i="27"/>
  <c r="L80" i="27"/>
  <c r="L82" i="27"/>
  <c r="L51" i="27"/>
  <c r="L48" i="27"/>
  <c r="L49" i="27"/>
  <c r="L50" i="27"/>
  <c r="L47" i="27"/>
  <c r="L46" i="27"/>
  <c r="L44" i="27"/>
  <c r="L45" i="27"/>
  <c r="FO12" i="24"/>
  <c r="FH6" i="24"/>
  <c r="FV6" i="24"/>
  <c r="FW6" i="24" s="1"/>
  <c r="K12" i="27"/>
  <c r="FQ6" i="24"/>
  <c r="FP6" i="24"/>
  <c r="FH38" i="24"/>
  <c r="FP38" i="24"/>
  <c r="FV12" i="24"/>
  <c r="FW12" i="24" s="1"/>
  <c r="K132" i="27"/>
  <c r="L125" i="27" s="1"/>
  <c r="FH12" i="24"/>
  <c r="FQ12" i="24"/>
  <c r="FP12" i="24"/>
  <c r="FN16" i="24"/>
  <c r="FQ41" i="24"/>
  <c r="FV11" i="24"/>
  <c r="FW11" i="24" s="1"/>
  <c r="FQ11" i="24"/>
  <c r="FP11" i="24"/>
  <c r="EU16" i="24"/>
  <c r="FG9" i="24"/>
  <c r="EG16" i="24"/>
  <c r="EN16" i="24" s="1"/>
  <c r="FN9" i="24"/>
  <c r="FO9" i="24" s="1"/>
  <c r="BI5" i="22"/>
  <c r="CV5" i="22" s="1"/>
  <c r="EP10" i="24"/>
  <c r="EN12" i="24"/>
  <c r="EG9" i="24"/>
  <c r="EN9" i="24" s="1"/>
  <c r="EM9" i="24"/>
  <c r="FB1" i="24"/>
  <c r="FK1" i="24"/>
  <c r="FD1" i="24"/>
  <c r="CO7" i="22"/>
  <c r="CP7" i="22" s="1"/>
  <c r="EZ9" i="24"/>
  <c r="EU9" i="24"/>
  <c r="CL8" i="22"/>
  <c r="CO8" i="22"/>
  <c r="CP8" i="22" s="1"/>
  <c r="EU4" i="24"/>
  <c r="ER4" i="24"/>
  <c r="CW5" i="22"/>
  <c r="BK5" i="22"/>
  <c r="BL5" i="22" s="1"/>
  <c r="DV13" i="24"/>
  <c r="ER13" i="24" s="1"/>
  <c r="ER2" i="24"/>
  <c r="EE11" i="24"/>
  <c r="DW13" i="24"/>
  <c r="CB4" i="22"/>
  <c r="CK4" i="22"/>
  <c r="CC4" i="22"/>
  <c r="CO3" i="22"/>
  <c r="CP3" i="22" s="1"/>
  <c r="CL2" i="22"/>
  <c r="FH31" i="24" l="1"/>
  <c r="FH41" i="24"/>
  <c r="FP43" i="24"/>
  <c r="FQ45" i="24"/>
  <c r="FH18" i="24"/>
  <c r="FP48" i="24"/>
  <c r="FH26" i="24"/>
  <c r="FQ16" i="24"/>
  <c r="FP45" i="24"/>
  <c r="FQ48" i="24"/>
  <c r="FH48" i="24"/>
  <c r="FQ24" i="24"/>
  <c r="FQ38" i="24"/>
  <c r="FP31" i="24"/>
  <c r="FQ20" i="24"/>
  <c r="FO16" i="24"/>
  <c r="FH20" i="24"/>
  <c r="FP20" i="24"/>
  <c r="FP26" i="24"/>
  <c r="FQ26" i="24"/>
  <c r="FP24" i="24"/>
  <c r="FP16" i="24"/>
  <c r="FH24" i="24"/>
  <c r="FQ43" i="24"/>
  <c r="FH43" i="24"/>
  <c r="FP40" i="24"/>
  <c r="FQ40" i="24"/>
  <c r="FP42" i="24"/>
  <c r="FH40" i="24"/>
  <c r="FQ42" i="24"/>
  <c r="FH42" i="24"/>
  <c r="FP33" i="24"/>
  <c r="FQ33" i="24"/>
  <c r="FH33" i="24"/>
  <c r="FH45" i="24"/>
  <c r="FP18" i="24"/>
  <c r="BI6" i="22"/>
  <c r="BI11" i="22" s="1"/>
  <c r="FP41" i="24"/>
  <c r="FQ18" i="24"/>
  <c r="FH16" i="24"/>
  <c r="L12" i="27"/>
  <c r="L8" i="27"/>
  <c r="L9" i="27"/>
  <c r="L10" i="27"/>
  <c r="L11" i="27"/>
  <c r="L6" i="27"/>
  <c r="L7" i="27"/>
  <c r="L5" i="27"/>
  <c r="L132" i="27"/>
  <c r="L129" i="27"/>
  <c r="L130" i="27"/>
  <c r="L131" i="27"/>
  <c r="L128" i="27"/>
  <c r="L127" i="27"/>
  <c r="L126" i="27"/>
  <c r="FV9" i="24"/>
  <c r="FW9" i="24" s="1"/>
  <c r="FH9" i="24"/>
  <c r="FQ9" i="24"/>
  <c r="FP9" i="24"/>
  <c r="EW13" i="24"/>
  <c r="FI13" i="24"/>
  <c r="FB13" i="24"/>
  <c r="FD13" i="24"/>
  <c r="FK13" i="24"/>
  <c r="CF5" i="22"/>
  <c r="CC5" i="22" s="1"/>
  <c r="EP12" i="24"/>
  <c r="EP9" i="24"/>
  <c r="EP16" i="24"/>
  <c r="FN1" i="24"/>
  <c r="FG1" i="24"/>
  <c r="ES13" i="24"/>
  <c r="EX13" i="24"/>
  <c r="EG11" i="24"/>
  <c r="EN11" i="24" s="1"/>
  <c r="EP11" i="24" s="1"/>
  <c r="EM11" i="24"/>
  <c r="CL4" i="22"/>
  <c r="DE4" i="22"/>
  <c r="ES2" i="24"/>
  <c r="EU11" i="24"/>
  <c r="FH11" i="24" s="1"/>
  <c r="EX2" i="24"/>
  <c r="EZ11" i="24"/>
  <c r="FO11" i="24" s="1"/>
  <c r="EW2" i="24"/>
  <c r="EE13" i="24"/>
  <c r="CF6" i="22"/>
  <c r="CO4" i="22"/>
  <c r="CP4" i="22" s="1"/>
  <c r="FT13" i="24" l="1"/>
  <c r="FU13" i="24" s="1"/>
  <c r="BJ4" i="22"/>
  <c r="BJ3" i="22"/>
  <c r="BK6" i="22"/>
  <c r="BL6" i="22" s="1"/>
  <c r="BL10" i="22" s="1"/>
  <c r="BJ9" i="22"/>
  <c r="CW6" i="22"/>
  <c r="CW10" i="22" s="1"/>
  <c r="BJ2" i="22"/>
  <c r="BJ7" i="22"/>
  <c r="BJ8" i="22"/>
  <c r="CV6" i="22"/>
  <c r="CV10" i="22" s="1"/>
  <c r="BJ5" i="22"/>
  <c r="BJ6" i="22"/>
  <c r="FQ1" i="24"/>
  <c r="FP1" i="24"/>
  <c r="CB5" i="22"/>
  <c r="FG13" i="24"/>
  <c r="FN13" i="24"/>
  <c r="CK5" i="22"/>
  <c r="CL5" i="22" s="1"/>
  <c r="FD4" i="24"/>
  <c r="FB4" i="24"/>
  <c r="FG4" i="24"/>
  <c r="FF4" i="24"/>
  <c r="FC4" i="24"/>
  <c r="FE4" i="24"/>
  <c r="FM4" i="24"/>
  <c r="FK4" i="24"/>
  <c r="FJ4" i="24"/>
  <c r="FI4" i="24"/>
  <c r="FN4" i="24"/>
  <c r="FL4" i="24"/>
  <c r="FK2" i="24"/>
  <c r="FD2" i="24"/>
  <c r="FB2" i="24"/>
  <c r="EG13" i="24"/>
  <c r="EN13" i="24" s="1"/>
  <c r="EM13" i="24"/>
  <c r="EU13" i="24"/>
  <c r="EZ2" i="24"/>
  <c r="EZ13" i="24"/>
  <c r="EU2" i="24"/>
  <c r="CW11" i="22"/>
  <c r="CB6" i="22"/>
  <c r="CC6" i="22"/>
  <c r="CC10" i="22" s="1"/>
  <c r="CK6" i="22"/>
  <c r="CF11" i="22"/>
  <c r="CD11" i="22" s="1"/>
  <c r="CF10" i="22"/>
  <c r="CD10" i="22" s="1"/>
  <c r="CO5" i="22" l="1"/>
  <c r="CP5" i="22" s="1"/>
  <c r="BK10" i="22"/>
  <c r="FO13" i="24"/>
  <c r="FV13" i="24"/>
  <c r="FW13" i="24" s="1"/>
  <c r="FH13" i="24"/>
  <c r="FQ13" i="24"/>
  <c r="FP13" i="24"/>
  <c r="EP13" i="24"/>
  <c r="FI2" i="24"/>
  <c r="FG2" i="24"/>
  <c r="ET5" i="24"/>
  <c r="EY5" i="24"/>
  <c r="EX5" i="24"/>
  <c r="ER5" i="24"/>
  <c r="EW5" i="24"/>
  <c r="CC11" i="22"/>
  <c r="EU5" i="24"/>
  <c r="ES5" i="24"/>
  <c r="CO6" i="22"/>
  <c r="CP6" i="22" s="1"/>
  <c r="CL6" i="22"/>
  <c r="EZ5" i="24"/>
  <c r="FQ2" i="24" l="1"/>
  <c r="FP2" i="24"/>
  <c r="FC5" i="24"/>
  <c r="FB5" i="24"/>
  <c r="FG5" i="24"/>
  <c r="FD5" i="24"/>
  <c r="FF5" i="24"/>
  <c r="FE5" i="24"/>
  <c r="FN2" i="24"/>
  <c r="FI5" i="24" s="1"/>
  <c r="FM5" i="24" l="1"/>
  <c r="FK5" i="24"/>
  <c r="FJ5" i="24"/>
  <c r="FN5" i="24"/>
  <c r="FL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tc={4D2BEC0C-6EF1-43DE-9358-5C72DFA0952B}</author>
  </authors>
  <commentList>
    <comment ref="J7" authorId="0" shapeId="0" xr:uid="{A9CA6103-E029-4A23-9FEA-ADC3B498335C}">
      <text>
        <r>
          <rPr>
            <b/>
            <sz val="9"/>
            <color indexed="81"/>
            <rFont val="Tahoma"/>
            <family val="2"/>
          </rPr>
          <t xml:space="preserve">
</t>
        </r>
      </text>
    </comment>
    <comment ref="AC7" authorId="1" shapeId="0" xr:uid="{4D2BEC0C-6EF1-43DE-9358-5C72DFA0952B}">
      <text>
        <t>[Threaded comment]
Your version of Excel allows you to read this threaded comment; however, any edits to it will get removed if the file is opened in a newer version of Excel. Learn more: https://go.microsoft.com/fwlink/?linkid=870924
Comment:
    B1.2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7" authorId="0" shapeId="0" xr:uid="{C8DAF722-9168-4350-9592-5CD4F858F503}">
      <text>
        <r>
          <rPr>
            <b/>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tc={E5B21380-B344-465F-9A22-6D283F722CC0}</author>
    <author>tc={430DC1FF-2453-4B1B-8AE8-44BDF87209F2}</author>
    <author>tc={79A89EE3-AF88-46AC-B889-AA8B4ECC1797}</author>
    <author>tc={5F0FD47F-2154-4DA6-BDD9-2877E7411820}</author>
    <author>tc={E35E6E2C-7F5D-4315-8162-631466E0D1A9}</author>
  </authors>
  <commentList>
    <comment ref="BB15" authorId="0" shapeId="0" xr:uid="{E5B21380-B344-465F-9A22-6D283F722CC0}">
      <text>
        <t>[Threaded comment]
Your version of Excel allows you to read this threaded comment; however, any edits to it will get removed if the file is opened in a newer version of Excel. Learn more: https://go.microsoft.com/fwlink/?linkid=870924
Comment:
    Xem xét gán NBV như thế nào khi phát sinh hàng PL?</t>
      </text>
    </comment>
    <comment ref="BS41" authorId="1" shapeId="0" xr:uid="{430DC1FF-2453-4B1B-8AE8-44BDF87209F2}">
      <text>
        <t>[Threaded comment]
Your version of Excel allows you to read this threaded comment; however, any edits to it will get removed if the file is opened in a newer version of Excel. Learn more: https://go.microsoft.com/fwlink/?linkid=870924
Comment:
    Chạy máy YPET</t>
      </text>
    </comment>
    <comment ref="BB194" authorId="2" shapeId="0" xr:uid="{79A89EE3-AF88-46AC-B889-AA8B4ECC1797}">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216" authorId="3" shapeId="0" xr:uid="{5F0FD47F-2154-4DA6-BDD9-2877E7411820}">
      <text>
        <t>[Threaded comment]
Your version of Excel allows you to read this threaded comment; however, any edits to it will get removed if the file is opened in a newer version of Excel. Learn more: https://go.microsoft.com/fwlink/?linkid=870924
Comment:
    Nếu chĩ tạo ra 1 sp thì gán NBV =1</t>
      </text>
    </comment>
    <comment ref="BB237" authorId="4" shapeId="0" xr:uid="{E35E6E2C-7F5D-4315-8162-631466E0D1A9}">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tc={29864EA2-964D-4363-AF28-96016D8974CE}</author>
    <author>tc={3237BE16-5289-479B-B08D-272D9E9E05CC}</author>
    <author>tc={0DAFFAED-BD02-49D6-B993-AFDB0D57D1CF}</author>
    <author>tc={F6785D6C-B37F-45D5-8E7A-9DE24362549D}</author>
    <author>tc={206B1CCA-0348-4478-B46D-9EDAC8CE93D4}</author>
    <author>tc={8E0C2894-89FE-4DCA-B78F-554FBCC2E685}</author>
    <author>tc={80984C3F-DE23-4AC3-BD50-A280DAB4A358}</author>
    <author>tc={F1AB0345-3FCE-4BCD-8B94-CFD66B2D1D05}</author>
    <author>tc={06274102-4C9F-44BC-A03E-1725A919625F}</author>
    <author>tc={84CA91DE-484D-4CD7-94D3-CF1A0D50BAB3}</author>
    <author>tc={9D775091-5872-410D-93B1-C0D492ED8A0F}</author>
    <author>tc={3C977F00-FD30-4E6F-8462-C8C9AD265A75}</author>
    <author>tc={E599F224-C854-4D57-A02D-3DEFED07C03A}</author>
    <author>tc={7A22EE61-D2C1-4682-912B-F6CD7F242581}</author>
    <author>tc={707D2225-F01B-43F8-BD7A-2F662AE30DF4}</author>
  </authors>
  <commentList>
    <comment ref="EL4" authorId="0" shapeId="0" xr:uid="{29864EA2-964D-4363-AF28-96016D8974CE}">
      <text>
        <t>[Threaded comment]
Your version of Excel allows you to read this threaded comment; however, any edits to it will get removed if the file is opened in a newer version of Excel. Learn more: https://go.microsoft.com/fwlink/?linkid=870924
Comment:
    Theo dữ liệu tính GT KH _Ngành PET</t>
      </text>
    </comment>
    <comment ref="EL6" authorId="1" shapeId="0" xr:uid="{3237BE16-5289-479B-B08D-272D9E9E05CC}">
      <text>
        <t>[Threaded comment]
Your version of Excel allows you to read this threaded comment; however, any edits to it will get removed if the file is opened in a newer version of Excel. Learn more: https://go.microsoft.com/fwlink/?linkid=870924
Comment:
    Theo thống kê và báo cáo chi phí tấn thực tế-Cả 3 ngành</t>
      </text>
    </comment>
    <comment ref="BB15" authorId="2" shapeId="0" xr:uid="{0DAFFAED-BD02-49D6-B993-AFDB0D57D1CF}">
      <text>
        <t>[Threaded comment]
Your version of Excel allows you to read this threaded comment; however, any edits to it will get removed if the file is opened in a newer version of Excel. Learn more: https://go.microsoft.com/fwlink/?linkid=870924
Comment:
    Xem xét gán NBV như thế nào khi phát sinh hàng PL?</t>
      </text>
    </comment>
    <comment ref="DP43" authorId="3" shapeId="0" xr:uid="{F6785D6C-B37F-45D5-8E7A-9DE24362549D}">
      <text>
        <t>[Threaded comment]
Your version of Excel allows you to read this threaded comment; however, any edits to it will get removed if the file is opened in a newer version of Excel. Learn more: https://go.microsoft.com/fwlink/?linkid=870924
Comment:
    Chạy máy YPET</t>
      </text>
    </comment>
    <comment ref="BB211" authorId="4" shapeId="0" xr:uid="{206B1CCA-0348-4478-B46D-9EDAC8CE93D4}">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226" authorId="5" shapeId="0" xr:uid="{8E0C2894-89FE-4DCA-B78F-554FBCC2E685}">
      <text>
        <t>[Threaded comment]
Your version of Excel allows you to read this threaded comment; however, any edits to it will get removed if the file is opened in a newer version of Excel. Learn more: https://go.microsoft.com/fwlink/?linkid=870924
Comment:
    Nếu chĩ tạo ra 1 sp thì gán NBV =1</t>
      </text>
    </comment>
    <comment ref="BB242" authorId="6" shapeId="0" xr:uid="{80984C3F-DE23-4AC3-BD50-A280DAB4A358}">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258" authorId="7" shapeId="0" xr:uid="{F1AB0345-3FCE-4BCD-8B94-CFD66B2D1D05}">
      <text>
        <t>[Threaded comment]
Your version of Excel allows you to read this threaded comment; however, any edits to it will get removed if the file is opened in a newer version of Excel. Learn more: https://go.microsoft.com/fwlink/?linkid=870924
Comment:
    Nếu chĩ tạo ra 1 sp thì gán NBV =1</t>
      </text>
    </comment>
    <comment ref="BB275" authorId="8" shapeId="0" xr:uid="{06274102-4C9F-44BC-A03E-1725A919625F}">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06" authorId="9" shapeId="0" xr:uid="{84CA91DE-484D-4CD7-94D3-CF1A0D50BAB3}">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21" authorId="10" shapeId="0" xr:uid="{9D775091-5872-410D-93B1-C0D492ED8A0F}">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38" authorId="11" shapeId="0" xr:uid="{3C977F00-FD30-4E6F-8462-C8C9AD265A75}">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55" authorId="12" shapeId="0" xr:uid="{E599F224-C854-4D57-A02D-3DEFED07C03A}">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72" authorId="13" shapeId="0" xr:uid="{7A22EE61-D2C1-4682-912B-F6CD7F242581}">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88" authorId="14" shapeId="0" xr:uid="{707D2225-F01B-43F8-BD7A-2F662AE30DF4}">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tc={2351B217-16D6-458A-A3F1-D5A5C3699F68}</author>
    <author>tc={0F0D71B3-E502-4A1F-A7AA-9BE82400AE3D}</author>
    <author>tc={22A75346-901B-47DE-B494-684903A66BF5}</author>
    <author>tc={8B267FAD-B48F-41D1-9A82-729677361E5C}</author>
    <author>tc={827C0572-0322-4994-80FF-FF017C88DA5D}</author>
  </authors>
  <commentList>
    <comment ref="AN1" authorId="0" shapeId="0" xr:uid="{2351B217-16D6-458A-A3F1-D5A5C3699F68}">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S1" authorId="1" shapeId="0" xr:uid="{0F0D71B3-E502-4A1F-A7AA-9BE82400AE3D}">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AM2" authorId="2" shapeId="0" xr:uid="{22A75346-901B-47DE-B494-684903A66BF5}">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AN2" authorId="3" shapeId="0" xr:uid="{8B267FAD-B48F-41D1-9A82-729677361E5C}">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AN3" authorId="4" shapeId="0" xr:uid="{827C0572-0322-4994-80FF-FF017C88DA5D}">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tc={1493C8D0-A250-46C4-9457-4EA7145ABFE2}</author>
    <author>tc={458C66BD-50EC-47DE-8066-12A96B654326}</author>
    <author>tc={2800527E-DC1B-468C-A936-17AB9194AE63}</author>
    <author>tc={0B4A1F93-539A-41A0-A224-6ED109BF0B6B}</author>
    <author>tc={D17812C2-A378-4EE2-AF61-AB21C7203EFE}</author>
    <author>tc={91F8E64B-2205-4701-9785-22CA779F957E}</author>
    <author>tc={5453A160-B375-4183-BFEE-AB9DFBB4377C}</author>
    <author>tc={9C7C3CD2-BACD-472D-9D1F-837518BDE8E3}</author>
    <author>tc={ED591AF0-7D03-4A65-9157-9570A500D0BB}</author>
    <author>tc={86AC77DA-84D7-4B9A-9937-DF6B8D663730}</author>
    <author>tc={C3AAA03B-EA29-49AF-93B4-828D34704635}</author>
    <author>tc={48C32081-3A72-474D-B6BF-CF6EF74346FF}</author>
    <author>tc={297E2849-6910-492E-B6C4-88E62DFAAD8D}</author>
  </authors>
  <commentList>
    <comment ref="X1" authorId="0" shapeId="0" xr:uid="{1493C8D0-A250-46C4-9457-4EA7145ABFE2}">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458C66BD-50EC-47DE-8066-12A96B654326}">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2800527E-DC1B-468C-A936-17AB9194AE63}">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0B4A1F93-539A-41A0-A224-6ED109BF0B6B}">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BI2" authorId="4" shapeId="0" xr:uid="{D17812C2-A378-4EE2-AF61-AB21C7203EFE}">
      <text>
        <t>[Threaded comment]
Your version of Excel allows you to read this threaded comment; however, any edits to it will get removed if the file is opened in a newer version of Excel. Learn more: https://go.microsoft.com/fwlink/?linkid=870924
Comment:
    Giá tháng 5 :silde 1033</t>
      </text>
    </comment>
    <comment ref="CJ2" authorId="5" shapeId="0" xr:uid="{91F8E64B-2205-4701-9785-22CA779F957E}">
      <text>
        <t>[Threaded comment]
Your version of Excel allows you to read this threaded comment; however, any edits to it will get removed if the file is opened in a newer version of Excel. Learn more: https://go.microsoft.com/fwlink/?linkid=870924
Comment:
    Giá file KTQT</t>
      </text>
    </comment>
    <comment ref="X3" authorId="6" shapeId="0" xr:uid="{5453A160-B375-4183-BFEE-AB9DFBB4377C}">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BI4" authorId="7" shapeId="0" xr:uid="{9C7C3CD2-BACD-472D-9D1F-837518BDE8E3}">
      <text>
        <t>[Threaded comment]
Your version of Excel allows you to read this threaded comment; however, any edits to it will get removed if the file is opened in a newer version of Excel. Learn more: https://go.microsoft.com/fwlink/?linkid=870924
Comment:
    Giá tháng 5 : Slide 5: W01g 1012 diff 60</t>
      </text>
    </comment>
    <comment ref="BN5" authorId="8" shapeId="0" xr:uid="{ED591AF0-7D03-4A65-9157-9570A500D0BB}">
      <text>
        <t>[Threaded comment]
Your version of Excel allows you to read this threaded comment; however, any edits to it will get removed if the file is opened in a newer version of Excel. Learn more: https://go.microsoft.com/fwlink/?linkid=870924
Comment:
    IV 0.76</t>
      </text>
    </comment>
    <comment ref="AM10" authorId="9" shapeId="0" xr:uid="{86AC77DA-84D7-4B9A-9937-DF6B8D663730}">
      <text>
        <t>[Threaded comment]
Your version of Excel allows you to read this threaded comment; however, any edits to it will get removed if the file is opened in a newer version of Excel. Learn more: https://go.microsoft.com/fwlink/?linkid=870924
Comment:
    Hảo cần Check lại -BOM hiện đang dùng vảy Mix B6.2~89%, B5~11%
=&gt; Dư B6.2</t>
      </text>
    </comment>
    <comment ref="BZ10" authorId="10" shapeId="0" xr:uid="{C3AAA03B-EA29-49AF-93B4-828D34704635}">
      <text>
        <t>[Threaded comment]
Your version of Excel allows you to read this threaded comment; however, any edits to it will get removed if the file is opened in a newer version of Excel. Learn more: https://go.microsoft.com/fwlink/?linkid=870924
Comment:
    Check %LNST</t>
      </text>
    </comment>
    <comment ref="BI12" authorId="11" shapeId="0" xr:uid="{48C32081-3A72-474D-B6BF-CF6EF74346FF}">
      <text>
        <t>[Threaded comment]
Your version of Excel allows you to read this threaded comment; however, any edits to it will get removed if the file is opened in a newer version of Excel. Learn more: https://go.microsoft.com/fwlink/?linkid=870924
Comment:
    Báo cáo giá thành tháng 3, Tâm bq3 tháng ~998USD/tấn; CPQLBHTC~144USD/T</t>
      </text>
    </comment>
    <comment ref="BC37" authorId="12" shapeId="0" xr:uid="{297E2849-6910-492E-B6C4-88E62DFAAD8D}">
      <text>
        <t>[Threaded comment]
Your version of Excel allows you to read this threaded comment; however, any edits to it will get removed if the file is opened in a newer version of Excel. Learn more: https://go.microsoft.com/fwlink/?linkid=870924
Comment:
    Vảy nắp HD ép</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tc={8064FE97-EACF-4A1A-A887-8277724DDE80}</author>
    <author>tc={208E280E-34F7-4484-B208-96087272936A}</author>
    <author>tc={5E4BB06F-AD84-4B69-837E-2CCA1979EFBC}</author>
    <author>tc={B75802E9-32F9-46BC-9F43-2FE126EA830D}</author>
    <author>tc={B1143B78-52A1-4669-910E-53464A311404}</author>
    <author>tc={C42B29F1-E519-48BA-B032-CA74611B25CD}</author>
    <author>tc={08D87B1E-89B9-41EF-8622-A7AA2BCF630E}</author>
    <author>tc={3FC1D0C0-6DAD-467E-913A-CC340CDA1F46}</author>
    <author>tc={4417D15B-3C57-4530-B02F-907BE69A1C02}</author>
    <author>tc={92186AF8-2746-4175-A1A7-325336B5025E}</author>
    <author>tc={E95CB83B-3CCE-48CD-A68E-924378EC76D0}</author>
    <author>tc={D119A275-4B0D-48AD-93B3-B07A95724303}</author>
    <author>tc={F44EB845-9841-48D8-AD82-9EC37B8393C8}</author>
    <author>tc={072C248E-E00D-4648-9B53-C7DBA7D950B8}</author>
    <author>tc={E3F4553C-3D88-487A-9062-4FACD74E7DAE}</author>
    <author>tc={1D5958A4-8879-40CB-B7AC-5CBB2BBEACA0}</author>
  </authors>
  <commentList>
    <comment ref="X1" authorId="0" shapeId="0" xr:uid="{8064FE97-EACF-4A1A-A887-8277724DDE80}">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208E280E-34F7-4484-B208-96087272936A}">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AK1" authorId="2" shapeId="0" xr:uid="{5E4BB06F-AD84-4B69-837E-2CCA1979EFBC}">
      <text>
        <t>[Threaded comment]
Your version of Excel allows you to read this threaded comment; however, any edits to it will get removed if the file is opened in a newer version of Excel. Learn more: https://go.microsoft.com/fwlink/?linkid=870924
Comment:
    Nếu mua ngoài vậy cân bằng SL dư cảu B1 ? Hay dùng nhiều B1 làm giá thành tăng</t>
      </text>
    </comment>
    <comment ref="W2" authorId="3" shapeId="0" xr:uid="{B75802E9-32F9-46BC-9F43-2FE126EA830D}">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B1143B78-52A1-4669-910E-53464A311404}">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BI2" authorId="5" shapeId="0" xr:uid="{C42B29F1-E519-48BA-B032-CA74611B25CD}">
      <text>
        <t>[Threaded comment]
Your version of Excel allows you to read this threaded comment; however, any edits to it will get removed if the file is opened in a newer version of Excel. Learn more: https://go.microsoft.com/fwlink/?linkid=870924
Comment:
    Giá tháng 5 :silde 1033</t>
      </text>
    </comment>
    <comment ref="CN2" authorId="6" shapeId="0" xr:uid="{08D87B1E-89B9-41EF-8622-A7AA2BCF630E}">
      <text>
        <t>[Threaded comment]
Your version of Excel allows you to read this threaded comment; however, any edits to it will get removed if the file is opened in a newer version of Excel. Learn more: https://go.microsoft.com/fwlink/?linkid=870924
Comment:
    Giá file KTQT</t>
      </text>
    </comment>
    <comment ref="DL2" authorId="7" shapeId="0" xr:uid="{3FC1D0C0-6DAD-467E-913A-CC340CDA1F46}">
      <text>
        <t>[Threaded comment]
Your version of Excel allows you to read this threaded comment; however, any edits to it will get removed if the file is opened in a newer version of Excel. Learn more: https://go.microsoft.com/fwlink/?linkid=870924
Comment:
    Giá file KTQT</t>
      </text>
    </comment>
    <comment ref="X3" authorId="8" shapeId="0" xr:uid="{4417D15B-3C57-4530-B02F-907BE69A1C02}">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BI4" authorId="9" shapeId="0" xr:uid="{92186AF8-2746-4175-A1A7-325336B5025E}">
      <text>
        <t>[Threaded comment]
Your version of Excel allows you to read this threaded comment; however, any edits to it will get removed if the file is opened in a newer version of Excel. Learn more: https://go.microsoft.com/fwlink/?linkid=870924
Comment:
    Trình giá giá tháng 5 : Slide 7: W01g 1012 diff 17</t>
      </text>
    </comment>
    <comment ref="BN5" authorId="10" shapeId="0" xr:uid="{E95CB83B-3CCE-48CD-A68E-924378EC76D0}">
      <text>
        <t>[Threaded comment]
Your version of Excel allows you to read this threaded comment; however, any edits to it will get removed if the file is opened in a newer version of Excel. Learn more: https://go.microsoft.com/fwlink/?linkid=870924
Comment:
    IV 0.76</t>
      </text>
    </comment>
    <comment ref="CX5" authorId="11" shapeId="0" xr:uid="{D119A275-4B0D-48AD-93B3-B07A95724303}">
      <text>
        <t>[Threaded comment]
Your version of Excel allows you to read this threaded comment; however, any edits to it will get removed if the file is opened in a newer version of Excel. Learn more: https://go.microsoft.com/fwlink/?linkid=870924
Comment:
    IV 0.76</t>
      </text>
    </comment>
    <comment ref="AM10" authorId="12" shapeId="0" xr:uid="{F44EB845-9841-48D8-AD82-9EC37B8393C8}">
      <text>
        <t>[Threaded comment]
Your version of Excel allows you to read this threaded comment; however, any edits to it will get removed if the file is opened in a newer version of Excel. Learn more: https://go.microsoft.com/fwlink/?linkid=870924
Comment:
    Hảo cần Check lại -BOM hiện đang dùng vảy Mix B6.2~89%, B5~11%
=&gt; Dư B6.2</t>
      </text>
    </comment>
    <comment ref="CD10" authorId="13" shapeId="0" xr:uid="{072C248E-E00D-4648-9B53-C7DBA7D950B8}">
      <text>
        <t>[Threaded comment]
Your version of Excel allows you to read this threaded comment; however, any edits to it will get removed if the file is opened in a newer version of Excel. Learn more: https://go.microsoft.com/fwlink/?linkid=870924
Comment:
    Check %LNST</t>
      </text>
    </comment>
    <comment ref="BI12" authorId="14" shapeId="0" xr:uid="{E3F4553C-3D88-487A-9062-4FACD74E7DAE}">
      <text>
        <t>[Threaded comment]
Your version of Excel allows you to read this threaded comment; however, any edits to it will get removed if the file is opened in a newer version of Excel. Learn more: https://go.microsoft.com/fwlink/?linkid=870924
Comment:
    Báo cáo giá thành tháng 3, Tâm bq3 tháng ~998USD/tấn; CPQLBHTC~144USD/T</t>
      </text>
    </comment>
    <comment ref="BC37" authorId="15" shapeId="0" xr:uid="{1D5958A4-8879-40CB-B7AC-5CBB2BBEACA0}">
      <text>
        <t>[Threaded comment]
Your version of Excel allows you to read this threaded comment; however, any edits to it will get removed if the file is opened in a newer version of Excel. Learn more: https://go.microsoft.com/fwlink/?linkid=870924
Comment:
    Vảy nắp HD ép</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tc={AE6A4A60-B1AC-4B1D-A5F1-0BEFC4C578E1}</author>
    <author>tc={9624C44C-782C-4708-8BB1-6633AFA41D27}</author>
    <author>tc={CAA31876-D9DE-48C7-B2B0-A1A6DBD5584F}</author>
    <author>tc={F98FD181-F889-4732-8507-820D48CE45C8}</author>
    <author>tc={AFDE2B07-F916-4CAE-A7A0-70AC46F2DC9E}</author>
    <author>tc={1A75ECED-028A-41F7-B5F2-F79BFAFDA375}</author>
  </authors>
  <commentList>
    <comment ref="X1" authorId="0" shapeId="0" xr:uid="{AE6A4A60-B1AC-4B1D-A5F1-0BEFC4C578E1}">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9624C44C-782C-4708-8BB1-6633AFA41D27}">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CAA31876-D9DE-48C7-B2B0-A1A6DBD5584F}">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F98FD181-F889-4732-8507-820D48CE45C8}">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AFDE2B07-F916-4CAE-A7A0-70AC46F2DC9E}">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1A75ECED-028A-41F7-B5F2-F79BFAFDA375}">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tc={6D747270-A6D3-4D44-9D2A-0FEBCC1710EE}</author>
    <author>tc={1F72E1B9-880C-4BB6-9ACE-2A994A2A9502}</author>
    <author>tc={F38D2B84-1C08-467B-BB92-79696299D323}</author>
    <author>tc={A700A905-3CC6-4AA1-9D88-0BA452F916EB}</author>
    <author>tc={A4BC62AC-BCE4-484C-8046-6E25FF8EDA7A}</author>
    <author>tc={650D5BED-EF72-424C-B52C-2F2F835BE356}</author>
    <author>tc={9DBD5DE7-9D97-4A34-9944-3242BFF54357}</author>
  </authors>
  <commentList>
    <comment ref="X1" authorId="0" shapeId="0" xr:uid="{6D747270-A6D3-4D44-9D2A-0FEBCC1710EE}">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1F72E1B9-880C-4BB6-9ACE-2A994A2A9502}">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F38D2B84-1C08-467B-BB92-79696299D323}">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A700A905-3CC6-4AA1-9D88-0BA452F916EB}">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A4BC62AC-BCE4-484C-8046-6E25FF8EDA7A}">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650D5BED-EF72-424C-B52C-2F2F835BE356}">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N29" authorId="6" shapeId="0" xr:uid="{9DBD5DE7-9D97-4A34-9944-3242BFF54357}">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tc={BCE78AA8-2B36-47A7-88DF-304DC1231B1F}</author>
    <author>tc={FB6A854D-B904-40D5-ACD8-B441CA54058C}</author>
    <author>tc={2B11E8AF-31D8-4A4A-A68D-024CB50310F4}</author>
    <author>tc={B975E80B-7A29-4A50-93F4-DC685EA20A4D}</author>
    <author>tc={B3EBEE92-3645-4D55-93A1-A2C02699AA45}</author>
    <author>tc={E2D28AE4-F2C1-46E5-B9E1-D21CCF46DB11}</author>
    <author>tc={D0403DE0-E30D-49F6-90A0-D14CECFBBD01}</author>
    <author>tc={5AD5B935-BB63-4AF9-A579-89926C4F14A9}</author>
    <author>tc={B69830D4-8C16-4633-BD64-D0CBC85F9DEA}</author>
    <author>tc={CAB671AE-7334-48B0-B0A5-A46CD5D2E034}</author>
    <author>tc={3CF45EED-0570-464A-AEE3-156BA07C7996}</author>
  </authors>
  <commentList>
    <comment ref="X1" authorId="0" shapeId="0" xr:uid="{BCE78AA8-2B36-47A7-88DF-304DC1231B1F}">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FB6A854D-B904-40D5-ACD8-B441CA54058C}">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V2" authorId="2" shapeId="0" xr:uid="{2B11E8AF-31D8-4A4A-A68D-024CB50310F4}">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W2" authorId="3" shapeId="0" xr:uid="{B975E80B-7A29-4A50-93F4-DC685EA20A4D}">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B3EBEE92-3645-4D55-93A1-A2C02699AA45}">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5" shapeId="0" xr:uid="{E2D28AE4-F2C1-46E5-B9E1-D21CCF46DB11}">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6" shapeId="0" xr:uid="{D0403DE0-E30D-49F6-90A0-D14CECFBBD01}">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11" authorId="7" shapeId="0" xr:uid="{5AD5B935-BB63-4AF9-A579-89926C4F14A9}">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 ref="AQ29" authorId="8" shapeId="0" xr:uid="{B69830D4-8C16-4633-BD64-D0CBC85F9DEA}">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 ref="AL37" authorId="9" shapeId="0" xr:uid="{CAB671AE-7334-48B0-B0A5-A46CD5D2E034}">
      <text>
        <t>[Threaded comment]
Your version of Excel allows you to read this threaded comment; however, any edits to it will get removed if the file is opened in a newer version of Excel. Learn more: https://go.microsoft.com/fwlink/?linkid=870924
Comment:
    Lưu ý chi phí SX HDPE, PP khác</t>
      </text>
    </comment>
    <comment ref="AQ41" authorId="10" shapeId="0" xr:uid="{3CF45EED-0570-464A-AEE3-156BA07C7996}">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tc={91A61D56-8F9C-4CCE-9C5C-A233A17EFE85}</author>
    <author>tc={A632C9DD-4635-490E-BDAD-59B63016F44E}</author>
    <author>tc={15CB52BA-5143-4D2B-823F-69D91F18761B}</author>
    <author>tc={80EFA925-67C7-4549-B76F-FAA043D9BB02}</author>
    <author>tc={26005B0B-902E-4422-80ED-601364B8BECF}</author>
    <author>tc={6520395E-3BEB-43B5-BCA3-1E229F8DE29F}</author>
    <author>tc={BC979D25-39AC-4A2D-9B3D-3B7DC2581C04}</author>
    <author>tc={D5E5B7D7-1B24-44AB-94A1-ACBC62FD8FFA}</author>
  </authors>
  <commentList>
    <comment ref="X1" authorId="0" shapeId="0" xr:uid="{91A61D56-8F9C-4CCE-9C5C-A233A17EFE85}">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A632C9DD-4635-490E-BDAD-59B63016F44E}">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V2" authorId="2" shapeId="0" xr:uid="{15CB52BA-5143-4D2B-823F-69D91F18761B}">
      <text>
        <t>[Threaded comment]
Your version of Excel allows you to read this threaded comment; however, any edits to it will get removed if the file is opened in a newer version of Excel. Learn more: https://go.microsoft.com/fwlink/?linkid=870924
Comment:
    Vảy mua ngoài 18.300</t>
      </text>
    </comment>
    <comment ref="W2" authorId="3" shapeId="0" xr:uid="{80EFA925-67C7-4549-B76F-FAA043D9BB02}">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26005B0B-902E-4422-80ED-601364B8BECF}">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5" shapeId="0" xr:uid="{6520395E-3BEB-43B5-BCA3-1E229F8DE29F}">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6" shapeId="0" xr:uid="{BC979D25-39AC-4A2D-9B3D-3B7DC2581C04}">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29" authorId="7" shapeId="0" xr:uid="{D5E5B7D7-1B24-44AB-94A1-ACBC62FD8FFA}">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tc={2FAE976D-6DB0-45A5-8DA1-8DCB6FE9A821}</author>
    <author>tc={810296C4-2C9F-4C0B-955B-60E9E75CBCD9}</author>
    <author>tc={444D1E5E-A95F-4FA4-85E4-F4E3C82209F6}</author>
    <author>tc={33B2AD2C-DCFA-4C67-A9D7-76F836E6BD7A}</author>
    <author>tc={C68B0352-0531-44B5-AAAF-1723D00E5A53}</author>
    <author>tc={F488DC82-5A85-4177-A33D-85428B06154F}</author>
    <author>tc={3A01E4B6-D293-4BA9-BF75-39BD9A0DA5A9}</author>
    <author>tc={EC68B563-C70C-4DD9-AA88-CA8453F00717}</author>
  </authors>
  <commentList>
    <comment ref="X1" authorId="0" shapeId="0" xr:uid="{2FAE976D-6DB0-45A5-8DA1-8DCB6FE9A821}">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810296C4-2C9F-4C0B-955B-60E9E75CBCD9}">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V2" authorId="2" shapeId="0" xr:uid="{444D1E5E-A95F-4FA4-85E4-F4E3C82209F6}">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W2" authorId="3" shapeId="0" xr:uid="{33B2AD2C-DCFA-4C67-A9D7-76F836E6BD7A}">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C68B0352-0531-44B5-AAAF-1723D00E5A53}">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5" shapeId="0" xr:uid="{F488DC82-5A85-4177-A33D-85428B06154F}">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6" shapeId="0" xr:uid="{3A01E4B6-D293-4BA9-BF75-39BD9A0DA5A9}">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29" authorId="7" shapeId="0" xr:uid="{EC68B563-C70C-4DD9-AA88-CA8453F00717}">
      <text>
        <t>[Threaded comment]
Your version of Excel allows you to read this threaded comment; however, any edits to it will get removed if the file is opened in a newer version of Excel. Learn more: https://go.microsoft.com/fwlink/?linkid=870924
Comment:
    Outerrinho 1000 ton/thang, 720 trước t4</t>
      </text>
    </comment>
  </commentList>
</comments>
</file>

<file path=xl/sharedStrings.xml><?xml version="1.0" encoding="utf-8"?>
<sst xmlns="http://schemas.openxmlformats.org/spreadsheetml/2006/main" count="3019" uniqueCount="908">
  <si>
    <t>STT</t>
  </si>
  <si>
    <t>THỐNG KÊ NGUYÊN LIỆU ĐẦU VÀO</t>
  </si>
  <si>
    <t>Tên gọi</t>
  </si>
  <si>
    <t>Định nghĩa</t>
  </si>
  <si>
    <t>I</t>
  </si>
  <si>
    <t>II</t>
  </si>
  <si>
    <t>A</t>
  </si>
  <si>
    <t>PET</t>
  </si>
  <si>
    <t>Chai PET</t>
  </si>
  <si>
    <t>Vảy PET</t>
  </si>
  <si>
    <t>B</t>
  </si>
  <si>
    <t xml:space="preserve">HDPE </t>
  </si>
  <si>
    <t>HDPE ép</t>
  </si>
  <si>
    <t>C</t>
  </si>
  <si>
    <t>Chai B1</t>
  </si>
  <si>
    <t>Chai B1 không phân loại</t>
  </si>
  <si>
    <t>Ghi chú</t>
  </si>
  <si>
    <t>Chai xá tròn</t>
  </si>
  <si>
    <t>Chai xá kiện</t>
  </si>
  <si>
    <t>Chai PET B6.2</t>
  </si>
  <si>
    <t>150000003</t>
  </si>
  <si>
    <t>150000113</t>
  </si>
  <si>
    <t>Chai PET B2.2</t>
  </si>
  <si>
    <t>Chai PET B2.1</t>
  </si>
  <si>
    <t>150000050</t>
  </si>
  <si>
    <t>Chai PET B3</t>
  </si>
  <si>
    <t>150000014</t>
  </si>
  <si>
    <t>Chai PET B4</t>
  </si>
  <si>
    <t>150000015</t>
  </si>
  <si>
    <t>Chai PET B5</t>
  </si>
  <si>
    <t>Chai PET màu lơ</t>
  </si>
  <si>
    <t>150000016</t>
  </si>
  <si>
    <t>Chai PET B6.1</t>
  </si>
  <si>
    <t>150000114</t>
  </si>
  <si>
    <t>150000010</t>
  </si>
  <si>
    <t>Chai PET B7.1</t>
  </si>
  <si>
    <t>Lavie</t>
  </si>
  <si>
    <t>150000051</t>
  </si>
  <si>
    <t>Vảy PET B1_A5.1</t>
  </si>
  <si>
    <t>150000052</t>
  </si>
  <si>
    <t>150000053</t>
  </si>
  <si>
    <t>Vảy PET B1_A6</t>
  </si>
  <si>
    <t>150000018</t>
  </si>
  <si>
    <t>Vảy PET B3_A6</t>
  </si>
  <si>
    <t>150000061</t>
  </si>
  <si>
    <t>Vảy PET B6.2_A6</t>
  </si>
  <si>
    <t>PP</t>
  </si>
  <si>
    <t>B0</t>
  </si>
  <si>
    <t>B1.1</t>
  </si>
  <si>
    <t>150000187</t>
  </si>
  <si>
    <t>Chai PET B1.3</t>
  </si>
  <si>
    <t>B2.1</t>
  </si>
  <si>
    <t>B2.2</t>
  </si>
  <si>
    <t>B3</t>
  </si>
  <si>
    <t>B4</t>
  </si>
  <si>
    <t>B5</t>
  </si>
  <si>
    <t>B6.1</t>
  </si>
  <si>
    <t>B6.2</t>
  </si>
  <si>
    <t>B7.1</t>
  </si>
  <si>
    <t xml:space="preserve">Chai PET nước suối mỏng </t>
  </si>
  <si>
    <t>Chai PET nước tương, nước mắm, dầu ăn nhãn giấy có thương hiệu</t>
  </si>
  <si>
    <t>Nam Ngư, Chinsu, Tam Thái Tử</t>
  </si>
  <si>
    <t xml:space="preserve">Chai PET nước ngọt màu lá </t>
  </si>
  <si>
    <t>7 up, mirinda, fanta, sprite</t>
  </si>
  <si>
    <t>NCC ngoài</t>
  </si>
  <si>
    <t>Trạm + NCC ngoài</t>
  </si>
  <si>
    <t>Bình 5G-Lavie</t>
  </si>
  <si>
    <t>Vảy PET B1_A5.2_R2</t>
  </si>
  <si>
    <t>Vảy PET B1_A5.2_R1</t>
  </si>
  <si>
    <t>150000115</t>
  </si>
  <si>
    <t>Bình HD Thổi Trong HD-01.1</t>
  </si>
  <si>
    <t>Mã SAP</t>
  </si>
  <si>
    <t>Mã hàng hóa</t>
  </si>
  <si>
    <t>150000117</t>
  </si>
  <si>
    <t>Bình HD Thổi Trắng sữa HD-02.1</t>
  </si>
  <si>
    <t>150000119</t>
  </si>
  <si>
    <t>Bình HD Thổi Vàng Nhạt HD-03.1</t>
  </si>
  <si>
    <t>150000035</t>
  </si>
  <si>
    <t>Bình HD Thổi Xám HD-16.1</t>
  </si>
  <si>
    <t>150000072</t>
  </si>
  <si>
    <t>Nắp HD Ép Các Màu HDE-06</t>
  </si>
  <si>
    <t>150000185</t>
  </si>
  <si>
    <t>Nắp HD Ép Các Màu HDE-06 E</t>
  </si>
  <si>
    <t>150000066</t>
  </si>
  <si>
    <t>HD ép thô thử nghiệm dương</t>
  </si>
  <si>
    <t>150000097</t>
  </si>
  <si>
    <t>Thô HD ép dương đậm 2-3 RHT3DL2</t>
  </si>
  <si>
    <t>150000172</t>
  </si>
  <si>
    <t>Hỗn hợp B6.2 Vảy-Nắp</t>
  </si>
  <si>
    <t>150000008</t>
  </si>
  <si>
    <t>Vảy HD Thổi Trong HV-01.1</t>
  </si>
  <si>
    <t>150000106</t>
  </si>
  <si>
    <t>Vảy HD thổi trong L1 HV01.1_TM</t>
  </si>
  <si>
    <t>150000036</t>
  </si>
  <si>
    <t>Vảy HD Thổi Trong HV-01.2</t>
  </si>
  <si>
    <t>150000047</t>
  </si>
  <si>
    <t>Vảy HD Thổi Trong HV-01.3</t>
  </si>
  <si>
    <t>150000037</t>
  </si>
  <si>
    <t>Vảy HD Thổi Trắng Sữa  HV-02.1</t>
  </si>
  <si>
    <t>150000048</t>
  </si>
  <si>
    <t>Vảy HD Thổi Trắng Sữa  HV-02.2</t>
  </si>
  <si>
    <t>150000012</t>
  </si>
  <si>
    <t>Vảy HD Thổi Vàng HV-03.1</t>
  </si>
  <si>
    <t>150000179</t>
  </si>
  <si>
    <t>Vảy HD Thổi Vàng HV-03.1_TM</t>
  </si>
  <si>
    <t>150000038</t>
  </si>
  <si>
    <t>Vảy HD Thổi Vàng Nhạt HV-03.2</t>
  </si>
  <si>
    <t>150000105</t>
  </si>
  <si>
    <t>Vảy HD thổi trong L1 HV01.1_RL</t>
  </si>
  <si>
    <t>150000086</t>
  </si>
  <si>
    <t>Vảy HD Ép Dương Nhạt Pallet</t>
  </si>
  <si>
    <t>150000181</t>
  </si>
  <si>
    <t>Vảy HD Ép Dương Két Kiên Giang</t>
  </si>
  <si>
    <t>150000082</t>
  </si>
  <si>
    <t>Vảy HD ép dương đậm 1-3 RHV3DL1</t>
  </si>
  <si>
    <t>150000074</t>
  </si>
  <si>
    <t>Vảy HD Ép Dương Nắp</t>
  </si>
  <si>
    <t>150000188</t>
  </si>
  <si>
    <t>Vảy HD Ép Dương HVE-06_TM</t>
  </si>
  <si>
    <t>Bình màu trong</t>
  </si>
  <si>
    <t>Bình trắng sữa</t>
  </si>
  <si>
    <t>Bình vàng nhạt</t>
  </si>
  <si>
    <t>150000121</t>
  </si>
  <si>
    <t>Bình HD Thổi Vàng Đậm HD-04.1</t>
  </si>
  <si>
    <t>Bình vàng đậm</t>
  </si>
  <si>
    <t>150000123</t>
  </si>
  <si>
    <t>Bình HD Thổi Lá Nhạt HD-05.1</t>
  </si>
  <si>
    <t>Bình lá nhạt</t>
  </si>
  <si>
    <t>150000026</t>
  </si>
  <si>
    <t>Bình HD Thổi Lá Đậm HD-06.1</t>
  </si>
  <si>
    <t>Bình lá đậm</t>
  </si>
  <si>
    <t>150000126</t>
  </si>
  <si>
    <t>Bình HD Thổi Đỏ Nhạt HD-07.1</t>
  </si>
  <si>
    <t>150000128</t>
  </si>
  <si>
    <t>Bình HD Thổi Đỏ Đậm HD-08.1</t>
  </si>
  <si>
    <t>150000028</t>
  </si>
  <si>
    <t>Bình HD Thổi Đen HD-09.1</t>
  </si>
  <si>
    <t>150000131</t>
  </si>
  <si>
    <t>Bình HD Thổi Dương Đậm HD-10.1</t>
  </si>
  <si>
    <t>150000030</t>
  </si>
  <si>
    <t>Bình HD Thổi Dương Nhạt HD-11.1</t>
  </si>
  <si>
    <t>150000134</t>
  </si>
  <si>
    <t>Bình HD Thổi Xanh Ngọc HD-12.1</t>
  </si>
  <si>
    <t>150000136</t>
  </si>
  <si>
    <t>Bình HD Thổi Cam HD-13.1</t>
  </si>
  <si>
    <t>150000138</t>
  </si>
  <si>
    <t>Bình HD Thổi Tím HD-14.1</t>
  </si>
  <si>
    <t>HV-01.1</t>
  </si>
  <si>
    <t>HV01.1_TM</t>
  </si>
  <si>
    <t>HV-01.2</t>
  </si>
  <si>
    <t>HV-01.3</t>
  </si>
  <si>
    <t>HV-02.1</t>
  </si>
  <si>
    <t>HV-02.2</t>
  </si>
  <si>
    <t>HV-03.1</t>
  </si>
  <si>
    <t>HV-03.1_TM</t>
  </si>
  <si>
    <t>Vảy HD màu trong, rửa lạnh</t>
  </si>
  <si>
    <t>Chính sách giá</t>
  </si>
  <si>
    <t>150000076</t>
  </si>
  <si>
    <t>Vảy PP Trắng sữa PV-02</t>
  </si>
  <si>
    <t>150000063</t>
  </si>
  <si>
    <t>Vảy PP Trong PV-01</t>
  </si>
  <si>
    <t>150000110</t>
  </si>
  <si>
    <t>Vảy PP Môn PV-09</t>
  </si>
  <si>
    <t>150000054</t>
  </si>
  <si>
    <t>Vảy PP Đỏ Nhạt PV-10</t>
  </si>
  <si>
    <t>150000056</t>
  </si>
  <si>
    <t>Vảy PP Dương Nhạt PV-07</t>
  </si>
  <si>
    <t>150000111</t>
  </si>
  <si>
    <t>Vảy PP Dương Đậm PV-08</t>
  </si>
  <si>
    <t>150000107</t>
  </si>
  <si>
    <t>Vảy PP Lá Nhạt PV-05</t>
  </si>
  <si>
    <t>150000059</t>
  </si>
  <si>
    <t>Thô PP Dương PP-05</t>
  </si>
  <si>
    <t>150000057</t>
  </si>
  <si>
    <t>Thô PP Đỏ PP-06</t>
  </si>
  <si>
    <t>150000186</t>
  </si>
  <si>
    <t>Vảy PP Trắng Sữa PV-02_TM</t>
  </si>
  <si>
    <t>PV-02</t>
  </si>
  <si>
    <t>PV-01</t>
  </si>
  <si>
    <t>PV-09</t>
  </si>
  <si>
    <t>PV-10</t>
  </si>
  <si>
    <t>PV-07</t>
  </si>
  <si>
    <t>PV-08</t>
  </si>
  <si>
    <t>PV-05</t>
  </si>
  <si>
    <t>PP-05</t>
  </si>
  <si>
    <t>PP-06</t>
  </si>
  <si>
    <t>PV-02_TM</t>
  </si>
  <si>
    <t>Vảy PP trong</t>
  </si>
  <si>
    <t>Vảy PP màu trắng</t>
  </si>
  <si>
    <t>Vảy PP màu lá nhạt</t>
  </si>
  <si>
    <t>Vảy PP màu dương nhạt</t>
  </si>
  <si>
    <t>Vảy PP màu dương đậm</t>
  </si>
  <si>
    <t>Vảy PP màu đỏ nhạt</t>
  </si>
  <si>
    <t>Vảy PP màu môn</t>
  </si>
  <si>
    <t>Vảy PET tuyển mua ngoài đã được NCC xử lý rửa lạnh</t>
  </si>
  <si>
    <t>Vảy PET (sting/247) mua ngoài đã được NCC xử lý rửa lạnh</t>
  </si>
  <si>
    <t>Vảy PET thử nghiệm</t>
  </si>
  <si>
    <t>Vảy PP màu trắng, tách màu</t>
  </si>
  <si>
    <t>Kệ, rổ, sọt, thau, khay, ca màu xanh dương
Tủ, bàn, ghế màu xanh dương</t>
  </si>
  <si>
    <t>Kệ, rổ, sọt, thau, khay, ca màu đỏ
Tủ, bàn, ghế màu đỏ</t>
  </si>
  <si>
    <t>Bình rửa chén Sunlight, Lix, Mỹ Hảo màu vàng nhạt</t>
  </si>
  <si>
    <t>Bình đỏ nhạt</t>
  </si>
  <si>
    <t>Bình đỏ đậm</t>
  </si>
  <si>
    <t>Bình dương đậm</t>
  </si>
  <si>
    <t>Bình dương nhạt</t>
  </si>
  <si>
    <t>Bình đen</t>
  </si>
  <si>
    <t>Bình xanh ngọc</t>
  </si>
  <si>
    <t>Bình cam</t>
  </si>
  <si>
    <t>Bình tím</t>
  </si>
  <si>
    <t>Bình xám</t>
  </si>
  <si>
    <t>Bình nhớt</t>
  </si>
  <si>
    <t>Vảy BTP màu trong loại 1, sau rửa và tách màu</t>
  </si>
  <si>
    <t>Vảy BTP màu trong loại 1, sau rửa và tách màu (phó sản trả NCC)</t>
  </si>
  <si>
    <t>Vảy BTP màu trong loại 2, sau rửa và tách màu</t>
  </si>
  <si>
    <t>Vảy BTP màu trong, sau rửa và tách màu từ nguyên liệu vảy chai sửa (QMT)</t>
  </si>
  <si>
    <t>Vảy BTP trắng sữa, loại 1, sau rửa và tách màu</t>
  </si>
  <si>
    <t>Vảy BTP trắng sữa, loại 2, sau rửa và tách màu</t>
  </si>
  <si>
    <t>Vảy BTP màu vàng nhạt loại 1, sau rửa và tách màu</t>
  </si>
  <si>
    <t>Vảy BTP màu vàng nhạt, tách màu (phó sản trả NCC)</t>
  </si>
  <si>
    <t>Vảy BTP màu vàng nhạt loại 2, sau rửa và tách màu</t>
  </si>
  <si>
    <t>HV-03.2</t>
  </si>
  <si>
    <t>HV01.1_RL</t>
  </si>
  <si>
    <t>HD-16.1</t>
  </si>
  <si>
    <t>HD-01.1</t>
  </si>
  <si>
    <t>HD-02.1</t>
  </si>
  <si>
    <t>HD-03.1</t>
  </si>
  <si>
    <t>HD-04.1</t>
  </si>
  <si>
    <t>HD-05.1</t>
  </si>
  <si>
    <t>HD-06.1</t>
  </si>
  <si>
    <t>HD-07.1</t>
  </si>
  <si>
    <t>HD-08.1</t>
  </si>
  <si>
    <t>HD-09.1</t>
  </si>
  <si>
    <t>HD-10.1</t>
  </si>
  <si>
    <t>HD-11.1</t>
  </si>
  <si>
    <t>HD-12.1</t>
  </si>
  <si>
    <t>HD-13.1</t>
  </si>
  <si>
    <t>HD-14.1</t>
  </si>
  <si>
    <t>A5.1</t>
  </si>
  <si>
    <t>A5.2_R1</t>
  </si>
  <si>
    <t>A5.2_R2</t>
  </si>
  <si>
    <t>B1_A6</t>
  </si>
  <si>
    <t>PET B3_A6</t>
  </si>
  <si>
    <t>B6.2_A6</t>
  </si>
  <si>
    <t>Vảy HDPE Ép Hỗn Hợp Nắp</t>
  </si>
  <si>
    <t>Vảy HD Ép Dương Nắp Hỗn Hợp</t>
  </si>
  <si>
    <t>Nhập gia công từ Đại Lộc, giải quyết tồn kho trạm</t>
  </si>
  <si>
    <t>Giá A5.1 trừ đi 500đ</t>
  </si>
  <si>
    <t xml:space="preserve">DTR không cần rửa nóng lại vì vảy đã sạch -&gt; tiết kiệm hóa chất </t>
  </si>
  <si>
    <t>Vảy PET tuyển mua ngoài loại 1 đã được NCC xử lý rửa nóng</t>
  </si>
  <si>
    <t>Giá A5.2 trừ đi 500đ</t>
  </si>
  <si>
    <t>Từ T1.2024 tới nay chưa mua lại mã này</t>
  </si>
  <si>
    <t>Giá duyệt theo tháng</t>
  </si>
  <si>
    <t>Khi có đơn hàng mới mua</t>
  </si>
  <si>
    <t>BÌNH HDPE Thổi</t>
  </si>
  <si>
    <t>VẢY HDPE Thổi</t>
  </si>
  <si>
    <t>III</t>
  </si>
  <si>
    <t>Nhà cung cấp cho DTR</t>
  </si>
  <si>
    <t>247, sting, coca (Chai CSD)</t>
  </si>
  <si>
    <t xml:space="preserve">Cập nhật ngày:  </t>
  </si>
  <si>
    <t>Lavie, Vĩnh Hảo (Viva)</t>
  </si>
  <si>
    <t>B7.2</t>
  </si>
  <si>
    <t>Chai PET B7.2</t>
  </si>
  <si>
    <t>Bình nước suối 21L</t>
  </si>
  <si>
    <t>Tuyển rặc</t>
  </si>
  <si>
    <t>Ký hiệu</t>
  </si>
  <si>
    <t>CHAI PET</t>
  </si>
  <si>
    <t>B0-Chai xá chưa tách nhãn</t>
  </si>
  <si>
    <t>B1</t>
  </si>
  <si>
    <t>Chai màu xanh lá</t>
  </si>
  <si>
    <t>Chai màu xanh lơ</t>
  </si>
  <si>
    <t>B6</t>
  </si>
  <si>
    <t>Nước tương, mắm, dầu ăn</t>
  </si>
  <si>
    <t>Bình 5G - Lavie</t>
  </si>
  <si>
    <t>Bình 5G - khác</t>
  </si>
  <si>
    <t>B7.3</t>
  </si>
  <si>
    <t>Bình 5G - Lá</t>
  </si>
  <si>
    <t>B8</t>
  </si>
  <si>
    <t>Chai dơ các loại (phó sản)</t>
  </si>
  <si>
    <t>Chai PET B1.4</t>
  </si>
  <si>
    <t>Đầu vào 3 trạm</t>
  </si>
  <si>
    <t>Tỷ lệ chai B1+B3 chiếm 90%</t>
  </si>
  <si>
    <t>Chai B1, B3: Chai PET tuyển
Chai B2.2, B6.1: Chai PET có thương hiệu/nhãn giấy
Chai B2.2, B4., B5, B6.2: Chai PET hàng cơ sở (không thương hiệu)</t>
  </si>
  <si>
    <r>
      <t xml:space="preserve">B1.2
</t>
    </r>
    <r>
      <rPr>
        <b/>
        <sz val="12"/>
        <color rgb="FF0000FF"/>
        <rFont val="Aptos Narrow"/>
        <family val="2"/>
        <scheme val="minor"/>
      </rPr>
      <t>(Tuyển xô)</t>
    </r>
  </si>
  <si>
    <r>
      <t xml:space="preserve">B1.4
</t>
    </r>
    <r>
      <rPr>
        <b/>
        <sz val="12"/>
        <color rgb="FF0000FF"/>
        <rFont val="Aptos Narrow"/>
        <family val="2"/>
        <scheme val="minor"/>
      </rPr>
      <t>(Tuyển xô)</t>
    </r>
  </si>
  <si>
    <r>
      <t xml:space="preserve">Vảy PET tuyển mua ngoài loại 2 đã được NCC xử lý rửa nóng vảy đã sạch -&gt; </t>
    </r>
    <r>
      <rPr>
        <b/>
        <sz val="12"/>
        <color rgb="FF0000FF"/>
        <rFont val="Aptos Narrow"/>
        <family val="2"/>
        <scheme val="minor"/>
      </rPr>
      <t>DTR rửa lạnh lại</t>
    </r>
  </si>
  <si>
    <r>
      <t xml:space="preserve">Vảy PET tuyển mua ngoài loại 2 đã được NCC xử lý rửa nóng, vảy chưa sạch -&gt; </t>
    </r>
    <r>
      <rPr>
        <b/>
        <sz val="12"/>
        <color rgb="FF0000FF"/>
        <rFont val="Aptos Narrow"/>
        <family val="2"/>
        <scheme val="minor"/>
      </rPr>
      <t>DTR rửa nóng lại</t>
    </r>
  </si>
  <si>
    <r>
      <t xml:space="preserve">B1.3
</t>
    </r>
    <r>
      <rPr>
        <b/>
        <sz val="12"/>
        <color rgb="FF0000FF"/>
        <rFont val="Aptos Narrow"/>
        <family val="2"/>
        <scheme val="minor"/>
      </rPr>
      <t>(Tuyển xô)</t>
    </r>
  </si>
  <si>
    <t>Hỗn hợp chai PET trừ B4, B5
Trong đó, tỷ lệ chai không đạt: &lt;= 5%</t>
  </si>
  <si>
    <t>Trong đó, tỷ lệ chai không đạt: 
+ B1.1 (Loại A): &lt;= 5%
+ B1.1 (Loại B): &gt; 5% và &lt;= 10%
+ B1.1 (Loại C): &gt; 10% và &lt;= 15%</t>
  </si>
  <si>
    <t>Trong đó, tỷ lệ chai không đạt: 
+ B1.4 (Loại A): &lt;= 5%
+ B1.4 (Loại B): &gt; 5% và &lt;= 10%
+ B1.4 (Loại C): &gt; 10% và &lt;= 15%</t>
  </si>
  <si>
    <r>
      <t xml:space="preserve">Gồm hỗn hợp chai PET chưa phân loại
</t>
    </r>
    <r>
      <rPr>
        <b/>
        <sz val="12"/>
        <color rgb="FFFF0000"/>
        <rFont val="Aptos Narrow"/>
        <family val="2"/>
        <scheme val="minor"/>
      </rPr>
      <t>+ B0 (loại A): B1+B3 &gt;= 45%
+ B0 (loại B): 30% &lt;= B1+B3 &lt; 45%
+ B0 (loại C): 20% &lt;= B1+B3 &lt; 30%
Trong đó, tỷ lệ B2.2+B4+B5+B6.2 &lt;=30%</t>
    </r>
  </si>
  <si>
    <r>
      <t xml:space="preserve">Gồm hỗn hợp chai PET chưa phân loại đã ép kiện
</t>
    </r>
    <r>
      <rPr>
        <b/>
        <sz val="12"/>
        <color rgb="FFFF0000"/>
        <rFont val="Aptos Narrow"/>
        <family val="2"/>
        <scheme val="minor"/>
      </rPr>
      <t>+ B0 (loại A): B1+B3 &gt;= 45%
+ B0 (loại B): 30% &lt;= B1+B3 &lt; 45%
+ B0 (loại C): 20% &lt;= B1+B3 &lt; 30%
Trong đó, tỷ lệ B2.2+B4+B5+B6.2 &lt;=30%</t>
    </r>
  </si>
  <si>
    <t>Chai PET nước suối có thương hiệu đã tách nhãn và ép kiện</t>
  </si>
  <si>
    <t>Trạm</t>
  </si>
  <si>
    <t>Chủ yếu từ trạm</t>
  </si>
  <si>
    <t>Trạm Đại Lộc</t>
  </si>
  <si>
    <t>Giải quyết hàng tồn cho trạm
Bình nước suối 21L màu xanh đậm, đã ép kiện, không cắt đôi</t>
  </si>
  <si>
    <r>
      <t xml:space="preserve">Chai PET-B1.4 tuyển xô
Bao gồm các loại B1, B2.1, B2.2, B3, B6.1, B6.2
</t>
    </r>
    <r>
      <rPr>
        <b/>
        <sz val="12"/>
        <color rgb="FFFF0000"/>
        <rFont val="Aptos Narrow"/>
        <family val="2"/>
        <scheme val="minor"/>
      </rPr>
      <t xml:space="preserve">+ B1.4 (Loại A): B1+B3 = 50% </t>
    </r>
    <r>
      <rPr>
        <b/>
        <sz val="12"/>
        <color rgb="FFFF0000"/>
        <rFont val="Aptos Narrow"/>
        <family val="2"/>
      </rPr>
      <t>± 5%, B2.2+B6.2 &lt;= 20%
+ B1.4 (Loại B): 40% &lt;= B1+B3 &lt; 45%, 25% &lt;= B2.2+B6.2 &lt;= 30%
+ B1.4 (Loại C): 35 % &lt;= B1+B3 &lt; 40%, B2.2+B6.2 &gt;= 30%
Trong đó, tỷ lệ B2.1+B6.1 &lt;= 30%</t>
    </r>
  </si>
  <si>
    <r>
      <t xml:space="preserve">Chai PET tuyển dày đã tách nhãn và ép kiện
Bao gồm chai B1, B2.1, B3 lựa theo brand đáp ứng dòng sản phẩm hotfill (loại chai number one, 247)
Tỷ lệ: </t>
    </r>
    <r>
      <rPr>
        <b/>
        <sz val="12"/>
        <color rgb="FFFF0000"/>
        <rFont val="Aptos Narrow"/>
        <family val="2"/>
        <scheme val="minor"/>
      </rPr>
      <t>B1+B3 &gt;= 70%, B2.1 &lt;= 30%</t>
    </r>
  </si>
  <si>
    <t>Dr Thanh, Trà xanh 0 độ, nước ép đóng chai, C2, Nutri boost</t>
  </si>
  <si>
    <r>
      <t>Chai PET tuyển dày đã tách nhãn, xá tròn hoặc ép kiện
Bao gồm các loại chai B1, B2.1, B2.2, B3, B6.1, B6.2</t>
    </r>
    <r>
      <rPr>
        <b/>
        <sz val="12"/>
        <color rgb="FFFF0000"/>
        <rFont val="Aptos Narrow"/>
        <family val="2"/>
        <scheme val="minor"/>
      </rPr>
      <t xml:space="preserve">
</t>
    </r>
    <r>
      <rPr>
        <b/>
        <sz val="12"/>
        <color rgb="FF0000FF"/>
        <rFont val="Aptos Narrow"/>
        <family val="2"/>
        <scheme val="minor"/>
      </rPr>
      <t xml:space="preserve">B1.2 (Loại A): </t>
    </r>
    <r>
      <rPr>
        <b/>
        <sz val="12"/>
        <color rgb="FFFF0000"/>
        <rFont val="Aptos Narrow"/>
        <family val="2"/>
        <scheme val="minor"/>
      </rPr>
      <t xml:space="preserve">
B1+B3 ≥ 50%, B2.1 + B6.1 ≤ 30%, B2.2+B6.2 ≤ 15, Thành phần không đạt ≤ 5%
</t>
    </r>
    <r>
      <rPr>
        <b/>
        <sz val="12"/>
        <color rgb="FF0000FF"/>
        <rFont val="Aptos Narrow"/>
        <family val="2"/>
        <scheme val="minor"/>
      </rPr>
      <t xml:space="preserve">B1.2 (Loại B): </t>
    </r>
    <r>
      <rPr>
        <b/>
        <sz val="12"/>
        <color rgb="FFFF0000"/>
        <rFont val="Aptos Narrow"/>
        <family val="2"/>
        <scheme val="minor"/>
      </rPr>
      <t xml:space="preserve">
B1+B3 ≥ 45%, B2.2+B6.2 ≤  25%
</t>
    </r>
    <r>
      <rPr>
        <b/>
        <sz val="12"/>
        <color rgb="FF0000FF"/>
        <rFont val="Aptos Narrow"/>
        <family val="2"/>
        <scheme val="minor"/>
      </rPr>
      <t>B1.2 (Loại C):</t>
    </r>
    <r>
      <rPr>
        <b/>
        <sz val="12"/>
        <color rgb="FFFF0000"/>
        <rFont val="Aptos Narrow"/>
        <family val="2"/>
        <scheme val="minor"/>
      </rPr>
      <t xml:space="preserve"> 
B1+B3 ≥ 40%, B2.2+B6.2 ≤  30%</t>
    </r>
  </si>
  <si>
    <t>Nguyên liệu HDPE ép màu dương (sóng, thùng, khay, các sản phẩm ép, nắp)</t>
  </si>
  <si>
    <t xml:space="preserve">Thành phẩm sau khi trạm Đại Lộc băm chai B6.2 </t>
  </si>
  <si>
    <t>Nắp rời từ các chai B1.1, B1.2, B2.2, B4, B5 chủ yếu từ trạm Đồng Lâm, Khánh Nga</t>
  </si>
  <si>
    <t>Nước suối có thương hiệu (lavie, aqua)</t>
  </si>
  <si>
    <t>Nước suối mỏng</t>
  </si>
  <si>
    <r>
      <t>Chai PET tuyển dày đã tách nhãn và ép kiện (chai sữa, nước ngọt</t>
    </r>
    <r>
      <rPr>
        <b/>
        <sz val="12"/>
        <color rgb="FF0000FF"/>
        <rFont val="Aptos Narrow"/>
        <family val="2"/>
        <scheme val="minor"/>
      </rPr>
      <t xml:space="preserve"> không có ga</t>
    </r>
    <r>
      <rPr>
        <sz val="12"/>
        <color rgb="FF0000FF"/>
        <rFont val="Aptos Narrow"/>
        <family val="2"/>
        <scheme val="minor"/>
      </rPr>
      <t xml:space="preserve">)
Bao gồm chai B1, B2.1, B3
Tỷ lệ: 
</t>
    </r>
    <r>
      <rPr>
        <b/>
        <sz val="12"/>
        <color rgb="FFFF0000"/>
        <rFont val="Aptos Narrow"/>
        <family val="2"/>
        <scheme val="minor"/>
      </rPr>
      <t xml:space="preserve">B1+B3 </t>
    </r>
    <r>
      <rPr>
        <b/>
        <sz val="12"/>
        <color rgb="FFFF0000"/>
        <rFont val="Aptos Narrow"/>
        <family val="2"/>
      </rPr>
      <t>≥</t>
    </r>
    <r>
      <rPr>
        <b/>
        <sz val="12"/>
        <color rgb="FFFF0000"/>
        <rFont val="Aptos Narrow"/>
        <family val="2"/>
        <scheme val="minor"/>
      </rPr>
      <t xml:space="preserve"> 70%, B2.1 ≤ 30%, Thành phần không đạt ≤ 5%</t>
    </r>
  </si>
  <si>
    <t>Nước ngọt không có ga</t>
  </si>
  <si>
    <t>Nước ngọt có ga (Sting, 247)</t>
  </si>
  <si>
    <r>
      <t xml:space="preserve">Chai nước ngọt </t>
    </r>
    <r>
      <rPr>
        <b/>
        <sz val="12"/>
        <color rgb="FF0000FF"/>
        <rFont val="Aptos Narrow"/>
        <family val="2"/>
        <scheme val="minor"/>
      </rPr>
      <t>có ga</t>
    </r>
    <r>
      <rPr>
        <sz val="12"/>
        <color rgb="FF0000FF"/>
        <rFont val="Aptos Narrow"/>
        <family val="2"/>
        <scheme val="minor"/>
      </rPr>
      <t xml:space="preserve"> (247, sting, coca)</t>
    </r>
  </si>
  <si>
    <t>GĐTC duyệt giá
Giá duyệt T11.2025: 16.500đ/kg</t>
  </si>
  <si>
    <t>GĐTC duyệt giá
Giá duyệt T11.2025: 9.000đ/kg</t>
  </si>
  <si>
    <t>- Giá cố định theo PLHĐ đã ký: 5.500đ/cái ~ 7.971đ/kg 
(Quy cách: 0.69kg/cái)</t>
  </si>
  <si>
    <t>Hiện tại đã ngưng mua mã này</t>
  </si>
  <si>
    <t>- Đầu tháng: TGĐ duyệt giá đầu tháng
- Giá tuần: GĐ Cung Ứng có thẩm quyền điều chỉnh tăng tối đa 200đ/lần, tối đa 2 lần/tháng</t>
  </si>
  <si>
    <t>GĐĐH duyệt giá</t>
  </si>
  <si>
    <t xml:space="preserve"> Giá Trạm: GĐTC tính toán -&gt; GĐĐH ký duyệt</t>
  </si>
  <si>
    <t>- Đầu tháng: TGĐ duyệt đầu tháng
- Giá tuần: GĐĐH được điều chỉnh tăng tối đa 500đ/lần, tối đa 2 lần/tháng</t>
  </si>
  <si>
    <t>Đã ngưng mua mã này</t>
  </si>
  <si>
    <t>Giá Trạm: GĐTC tính toán -&gt; GĐĐH ký duyệt</t>
  </si>
  <si>
    <t>Chai PET nước tương, nước mắm, dầu ăn khác, hủ PET, chai rửa chén, chai viền nhôm, chai còn quai</t>
  </si>
  <si>
    <t>Đồng Lâm</t>
  </si>
  <si>
    <t>Khánh Nga</t>
  </si>
  <si>
    <t>Đại Lộc</t>
  </si>
  <si>
    <t>DTR</t>
  </si>
  <si>
    <t>B1.2</t>
  </si>
  <si>
    <t>&lt;=</t>
  </si>
  <si>
    <t>Nhóm hàng</t>
  </si>
  <si>
    <t xml:space="preserve">Loại </t>
  </si>
  <si>
    <t>Vảy mua ngoài</t>
  </si>
  <si>
    <t>B1.1 :</t>
  </si>
  <si>
    <t xml:space="preserve">B1 </t>
  </si>
  <si>
    <t>TPCĐ</t>
  </si>
  <si>
    <t>=</t>
  </si>
  <si>
    <t>+</t>
  </si>
  <si>
    <t>=&gt;</t>
  </si>
  <si>
    <t>Đối tượng khách hàng</t>
  </si>
  <si>
    <t>Cao cấp</t>
  </si>
  <si>
    <t>Coca</t>
  </si>
  <si>
    <t>SPVB</t>
  </si>
  <si>
    <t>Cấp trung</t>
  </si>
  <si>
    <t>XK</t>
  </si>
  <si>
    <t>Unilever</t>
  </si>
  <si>
    <t>B1.2 :</t>
  </si>
  <si>
    <t>B1 +B3</t>
  </si>
  <si>
    <t xml:space="preserve">B2.1 </t>
  </si>
  <si>
    <t>B2.2 +B6</t>
  </si>
  <si>
    <t>&lt;= 15%</t>
  </si>
  <si>
    <t>Còn lại</t>
  </si>
  <si>
    <t>&gt;= 45%</t>
  </si>
  <si>
    <t xml:space="preserve">Chai các loại không phải là B1;B3;B2.1 và phó sản </t>
  </si>
  <si>
    <r>
      <t xml:space="preserve">TPCĐ: </t>
    </r>
    <r>
      <rPr>
        <b/>
        <sz val="11"/>
        <color rgb="FFFFFF00"/>
        <rFont val="Aptos Narrow"/>
        <family val="2"/>
        <scheme val="minor"/>
      </rPr>
      <t xml:space="preserve">bao gồm </t>
    </r>
  </si>
  <si>
    <t>Nước tương, mắm, dầu ăn -Có thương hiệu</t>
  </si>
  <si>
    <t>Nước tương, mắm, dầu ăn -Ko.Có thương hiệu</t>
  </si>
  <si>
    <t>B1.3  tỷ lệ hao hụt cao hơn B1.1 vì phải loại thêm một số loại đặc biệt
Trong đó, tỷ lệ chai không đạt: 
+ B1.3 (Loại A): &lt;= 5%
+ B1.3 (Loại B): &gt; 5% và &lt;= 10%
+ B1.3 (Loại C): &gt; 10% và &lt;= 15%</t>
  </si>
  <si>
    <t>CSD</t>
  </si>
  <si>
    <t>Nước ngọt không có gas</t>
  </si>
  <si>
    <t>X_ Tỷ lệ % không đạt)</t>
  </si>
  <si>
    <r>
      <t xml:space="preserve">- Giá NCC ngoài: TGĐ duyệt đầu tháng và GĐĐH được điều chỉnh tăng tối đa 500đ/lần, tối đa 2 lần/tháng
</t>
    </r>
    <r>
      <rPr>
        <sz val="12"/>
        <color rgb="FFFF0000"/>
        <rFont val="Aptos Narrow"/>
        <family val="2"/>
        <scheme val="minor"/>
      </rPr>
      <t>- Giá Trạm: GĐTC tính toán -&gt; GĐĐH ký duyệt</t>
    </r>
  </si>
  <si>
    <r>
      <t xml:space="preserve">- Giá NCC ngoài: TGĐ duyệt đầu tháng và GĐĐH được điều chỉnh tăng tối đa 500đ/lần, tối đa 2 lần/tháng (Hiện tại đang ngưng mua B1.2 từ NCC ngoài)
</t>
    </r>
    <r>
      <rPr>
        <sz val="12"/>
        <color rgb="FFFF0000"/>
        <rFont val="Aptos Narrow"/>
        <family val="2"/>
        <scheme val="minor"/>
      </rPr>
      <t>- Giá Trạm: GĐTC tính toán -&gt; GĐĐH ký duyệt</t>
    </r>
  </si>
  <si>
    <t>s</t>
  </si>
  <si>
    <t>Gram</t>
  </si>
  <si>
    <t>BO</t>
  </si>
  <si>
    <t>VảY</t>
  </si>
  <si>
    <t>Sơ đồ khối dòng nguyên liệu-sản phẩm hiện tại của DTR.</t>
  </si>
  <si>
    <t>Với phân bố và định hướng sản phẩm như hiện nay, một số nguyên liệu đầu vào (B2.2/B4/B5) đang gặp khó khăn về giá, do gánh chung dòng chảy với chỉ khoảng 53% nguyên liệu chính B1.1.</t>
  </si>
  <si>
    <t>Tên TP</t>
  </si>
  <si>
    <t>Loại vảy 1</t>
  </si>
  <si>
    <t>Hạt WSS01G-Nia</t>
  </si>
  <si>
    <t>Hạt iSS01G-Out</t>
  </si>
  <si>
    <t>Hạt WSS03G-PW</t>
  </si>
  <si>
    <t>Hạt WSS05SB (sợi ngắn)</t>
  </si>
  <si>
    <t>VND</t>
  </si>
  <si>
    <t>Vảy FPET201-Out</t>
  </si>
  <si>
    <t>Loại vảy 2</t>
  </si>
  <si>
    <t>Loại vảy 3</t>
  </si>
  <si>
    <t>Cộng</t>
  </si>
  <si>
    <t>Hạt WSS01G</t>
  </si>
  <si>
    <t>Hạt iSS01G</t>
  </si>
  <si>
    <t>Hạt iSS01084G</t>
  </si>
  <si>
    <t>Hạt WSS03G</t>
  </si>
  <si>
    <t>Dây Đai</t>
  </si>
  <si>
    <t>Loại vảy 4</t>
  </si>
  <si>
    <t>B7</t>
  </si>
  <si>
    <t>Loại vảy 5</t>
  </si>
  <si>
    <t>Loại vảy 6</t>
  </si>
  <si>
    <t>Hạt WSS01S</t>
  </si>
  <si>
    <t>Chai B1.1</t>
  </si>
  <si>
    <t>Chai B2.2 +B5</t>
  </si>
  <si>
    <t>Chai B4</t>
  </si>
  <si>
    <t>Chai B6.2</t>
  </si>
  <si>
    <t>Giá bán Hạt</t>
  </si>
  <si>
    <t>USD</t>
  </si>
  <si>
    <t>Exw</t>
  </si>
  <si>
    <t>Giá thành vảy (SX) =&gt;</t>
  </si>
  <si>
    <t>Giá chai</t>
  </si>
  <si>
    <t>Giá chai B0</t>
  </si>
  <si>
    <t>Chi phí phân loại</t>
  </si>
  <si>
    <t>Tỷ lệ hao hụt thực tế</t>
  </si>
  <si>
    <t>Tổng chi phí</t>
  </si>
  <si>
    <t>Chi phí hao hụt</t>
  </si>
  <si>
    <t>Giá bán hòa vốn đơn vị</t>
  </si>
  <si>
    <t>So giá mua BO</t>
  </si>
  <si>
    <t>Chai</t>
  </si>
  <si>
    <t>Check với SAP</t>
  </si>
  <si>
    <t>TT</t>
  </si>
  <si>
    <t>BOM</t>
  </si>
  <si>
    <t>Tên vật tư</t>
  </si>
  <si>
    <t>Cơ cấu thành phẩm theo BOM</t>
  </si>
  <si>
    <t>Giá bán chai 3 trạm về DTR</t>
  </si>
  <si>
    <t>Cơ cấu nguyên vật liệu BOM (gram)</t>
  </si>
  <si>
    <t>Cơ cấu thành phẩm thực tế</t>
  </si>
  <si>
    <t>Tỷ trọng giá trị</t>
  </si>
  <si>
    <t>Phân bổ giá B0</t>
  </si>
  <si>
    <t>Phân bổ chi phí phân loại</t>
  </si>
  <si>
    <t>Chi phí sau phân loại</t>
  </si>
  <si>
    <t>Doanh thu đơn vị</t>
  </si>
  <si>
    <t>Lợi nhuận đơn vị</t>
  </si>
  <si>
    <t>Giá thành 1kg sau phân loại</t>
  </si>
  <si>
    <t>Diff</t>
  </si>
  <si>
    <t>Giá BO sau phân loại</t>
  </si>
  <si>
    <t>BOM SAP</t>
  </si>
  <si>
    <t>%Diff</t>
  </si>
  <si>
    <t>Tỷ 3 cấp chất lượng</t>
  </si>
  <si>
    <t>Cơ cấu giá trừ chất lượng</t>
  </si>
  <si>
    <t>GAP so BO</t>
  </si>
  <si>
    <t>Giá mua theo phân loại</t>
  </si>
  <si>
    <t>Chi phí Băm Vảy</t>
  </si>
  <si>
    <t>Vảy</t>
  </si>
  <si>
    <t>Chai PET B1</t>
  </si>
  <si>
    <t>Nắp HD ép, cổ chai</t>
  </si>
  <si>
    <t>Thành phẩm thu được sau lựa</t>
  </si>
  <si>
    <t>Hao hụt (%)</t>
  </si>
  <si>
    <t>Hao hụt (gram_BOM)</t>
  </si>
  <si>
    <t>Giá chai BX mix sau phân loại</t>
  </si>
  <si>
    <t>Giá bán thành chai trước băm</t>
  </si>
  <si>
    <t xml:space="preserve">Phân bổ giá chai băm </t>
  </si>
  <si>
    <t>Chi phí băm</t>
  </si>
  <si>
    <t>Giá thành sau băm</t>
  </si>
  <si>
    <t>Giá thành 1kg sau Băm</t>
  </si>
  <si>
    <t>Giá bán vảy 3 trạm về DTR</t>
  </si>
  <si>
    <t>Vảy_ Chai PET B1</t>
  </si>
  <si>
    <t>Vảy_Chai PET B2.2</t>
  </si>
  <si>
    <t>Vảy_Chai PET B4</t>
  </si>
  <si>
    <t>Vảy_Chai PET B5</t>
  </si>
  <si>
    <t>Vảy_Chai PET B6.2</t>
  </si>
  <si>
    <t>Vảy_Nắp HD ép, cổ chai</t>
  </si>
  <si>
    <t>Giá chai mua vào</t>
  </si>
  <si>
    <t>Giá thành vảy sạch  =&gt; từ chai</t>
  </si>
  <si>
    <t>Giá thành vảy sạch</t>
  </si>
  <si>
    <t>Chi phi tạo hạt</t>
  </si>
  <si>
    <t>Chi phí nâng IV (8 tiếng)</t>
  </si>
  <si>
    <t>Chi phí nâng IV (10 tiếng)</t>
  </si>
  <si>
    <t>Giá thành hạt (IV8)</t>
  </si>
  <si>
    <t>LG</t>
  </si>
  <si>
    <t>%</t>
  </si>
  <si>
    <t>0.7-0.74</t>
  </si>
  <si>
    <t>1000 tấn</t>
  </si>
  <si>
    <t>Quý 3,4</t>
  </si>
  <si>
    <t>Quan chí Bảo</t>
  </si>
  <si>
    <t xml:space="preserve">605 USD/tấn </t>
  </si>
  <si>
    <t>SX từ vày B6.2</t>
  </si>
  <si>
    <t>Giá bán vảy</t>
  </si>
  <si>
    <t>Làm màng</t>
  </si>
  <si>
    <t>Uy kiệt sx màng</t>
  </si>
  <si>
    <t>Chi phí quản lý</t>
  </si>
  <si>
    <t>Tổng hợp Các loại chai</t>
  </si>
  <si>
    <t>Chi phí Băm</t>
  </si>
  <si>
    <t>Chi phí rữa từ chai</t>
  </si>
  <si>
    <t>Chi phí rữa từ  vảy mua ngoài</t>
  </si>
  <si>
    <t>Tỷ Chai/Vảy</t>
  </si>
  <si>
    <t>Giá thành chai chưa băm</t>
  </si>
  <si>
    <t>Mix</t>
  </si>
  <si>
    <t>Vảy -MN</t>
  </si>
  <si>
    <t>Giá thành</t>
  </si>
  <si>
    <t>rHDPE ép</t>
  </si>
  <si>
    <t>SX dây đai</t>
  </si>
  <si>
    <t>BẢNG TÍNH GIÁ MUA CHAI, VẢY TỪ CÁC TRẠM</t>
  </si>
  <si>
    <t>Giá B0</t>
  </si>
  <si>
    <t>ĐVT: đồng/ký</t>
  </si>
  <si>
    <t>Nhóm chai PET</t>
  </si>
  <si>
    <t>Thành phần chai PET sau phân loại</t>
  </si>
  <si>
    <t>Hao hụt</t>
  </si>
  <si>
    <t>Gap (đảm bảo chi phí và lợi nhuận)</t>
  </si>
  <si>
    <t>Giá mua theo công thức</t>
  </si>
  <si>
    <t>Giá mua đề xuất</t>
  </si>
  <si>
    <t>Tỷ lệ</t>
  </si>
  <si>
    <t>Quy ra tiền</t>
  </si>
  <si>
    <t>A. Giá mua Chai</t>
  </si>
  <si>
    <t>Chai PET nhóm 1</t>
  </si>
  <si>
    <t>B1.1 + B1.2 + B1.3 + B2.1 + B3 + B6.1</t>
  </si>
  <si>
    <t>Chai PET nhóm 2</t>
  </si>
  <si>
    <t>B4 + B5</t>
  </si>
  <si>
    <t>Chai PET nhóm 3</t>
  </si>
  <si>
    <t>B2.2 + B6.2</t>
  </si>
  <si>
    <t>Chai PET nhóm 4</t>
  </si>
  <si>
    <t>Nắp HD Ép, cổ chai, PP (quai)</t>
  </si>
  <si>
    <t>B. Giá mua Vảy</t>
  </si>
  <si>
    <t>Nhóm 1</t>
  </si>
  <si>
    <t>Vảy B6.2</t>
  </si>
  <si>
    <t>BẢNG COPY QUA TỜ TRÌNH DUYỆT</t>
  </si>
  <si>
    <t>Tên Chai</t>
  </si>
  <si>
    <t>Giá đề xuất</t>
  </si>
  <si>
    <t>Chai PET B1.1</t>
  </si>
  <si>
    <t>Chai PET B1 KPL (B1.2)</t>
  </si>
  <si>
    <t>Nắp HD Ép, cổ chai</t>
  </si>
  <si>
    <t>PP (quai)</t>
  </si>
  <si>
    <t>CPC</t>
  </si>
  <si>
    <t>Cty</t>
  </si>
  <si>
    <t xml:space="preserve">Cty </t>
  </si>
  <si>
    <t>Far Eastern</t>
  </si>
  <si>
    <t>Nhóm Trung Quốc</t>
  </si>
  <si>
    <t>CL Chai &lt;=&gt; Vảy MN</t>
  </si>
  <si>
    <t>Mix 50%C-50%VMN</t>
  </si>
  <si>
    <t>Chi phí vảy rữa từ chai</t>
  </si>
  <si>
    <t>GT Chai vs Vảy MN</t>
  </si>
  <si>
    <t>SL NL</t>
  </si>
  <si>
    <t>Tỷ  thực tế</t>
  </si>
  <si>
    <t>SL Thực tế</t>
  </si>
  <si>
    <t>Giá bán chai 4 trạm về DTR</t>
  </si>
  <si>
    <t>Vảy sau rửa</t>
  </si>
  <si>
    <t>Vảy sạch</t>
  </si>
  <si>
    <t>Tomra</t>
  </si>
  <si>
    <t>Bụi sàn rung</t>
  </si>
  <si>
    <t>Bụi băm</t>
  </si>
  <si>
    <t>Loại vảy sau rửa</t>
  </si>
  <si>
    <t>B6.2_A0</t>
  </si>
  <si>
    <t>Loại vảy chưa rửa</t>
  </si>
  <si>
    <t>Vảy chưa rửa</t>
  </si>
  <si>
    <t>Olefin</t>
  </si>
  <si>
    <t>Bụi cám</t>
  </si>
  <si>
    <t>Phó sản khác</t>
  </si>
  <si>
    <t>Loại chai sau phân loại</t>
  </si>
  <si>
    <t>B1.1_A0</t>
  </si>
  <si>
    <t>B4_A0</t>
  </si>
  <si>
    <t>B2.2/B5_A0</t>
  </si>
  <si>
    <t>B2.2/B5</t>
  </si>
  <si>
    <t>BO quy đổi cần</t>
  </si>
  <si>
    <t>Hệ số BOM</t>
  </si>
  <si>
    <t>Bq /T 53</t>
  </si>
  <si>
    <t>Bq /T 100</t>
  </si>
  <si>
    <t>NBV</t>
  </si>
  <si>
    <t>B2.2 + B5</t>
  </si>
  <si>
    <t>Giá EXW T2</t>
  </si>
  <si>
    <t>Tỷ Chai/Vảy =&gt;</t>
  </si>
  <si>
    <t>Hạt WSS03NC</t>
  </si>
  <si>
    <t>Hạt WSS04NC</t>
  </si>
  <si>
    <t>C:\Data\GĐ Tài chính\Cost Controlling\Costing Flow Chart\Hảo\WF all.xlsx</t>
  </si>
  <si>
    <t>Chai B0</t>
  </si>
  <si>
    <t>Phân loại</t>
  </si>
  <si>
    <t>Chai B1.1 Sau phân loại</t>
  </si>
  <si>
    <t>Băm</t>
  </si>
  <si>
    <t xml:space="preserve"> Chai 1.1 chưa rửa 1</t>
  </si>
  <si>
    <t>Vảy B1_A1 DT</t>
  </si>
  <si>
    <t>Tạo mẫu</t>
  </si>
  <si>
    <t>Thành phẩm</t>
  </si>
  <si>
    <t>Hạt rPET iSS01084G</t>
  </si>
  <si>
    <t>Rửa</t>
  </si>
  <si>
    <t xml:space="preserve"> Chai 1.1 chưa rửa 2</t>
  </si>
  <si>
    <t>Vảy B1_A2.1 DT</t>
  </si>
  <si>
    <t>Hạt rPET iSS01G</t>
  </si>
  <si>
    <t>Vảy B1_A2.2 DT</t>
  </si>
  <si>
    <t>Tạo hạt iSS01084G</t>
  </si>
  <si>
    <t>100%B1.A1,A2</t>
  </si>
  <si>
    <t>Hạt rPET WSS01G</t>
  </si>
  <si>
    <t>PET B1/B8 Vảy-Nắp</t>
  </si>
  <si>
    <t>Vảy B1_A3 DT</t>
  </si>
  <si>
    <t>Hạt rPET WSS03G</t>
  </si>
  <si>
    <t>Phó Sản PET Tromel</t>
  </si>
  <si>
    <t>Vảy B1_A3 PL</t>
  </si>
  <si>
    <t xml:space="preserve"> Hạt rPET iSS01G 1 PL</t>
  </si>
  <si>
    <t>Phó Sản PET Bụi Tank A</t>
  </si>
  <si>
    <t>Phó Sản B1/B8 Nắp Chưa Băm</t>
  </si>
  <si>
    <t>Phó Sản PET Hạt Chưa Kết Tinh</t>
  </si>
  <si>
    <t>Nhãn, PVC, OPP…</t>
  </si>
  <si>
    <t>Phó Sản PET Tomra Cổng 3</t>
  </si>
  <si>
    <t>Phó Sản PET HAD</t>
  </si>
  <si>
    <t>Phế khác (dây, bao, kẽm..)</t>
  </si>
  <si>
    <t>Phó Sản PET Tuyển nổi 2</t>
  </si>
  <si>
    <t>Phó Sản PET Đầu Keo</t>
  </si>
  <si>
    <t>Hao hụt khác</t>
  </si>
  <si>
    <t>Phó Sản PET Bụi Tank B</t>
  </si>
  <si>
    <t>Hạt nhựa rPET iSS01G 2</t>
  </si>
  <si>
    <t>Phó Sản PET Bụi Tank D</t>
  </si>
  <si>
    <t xml:space="preserve">Tạo hạt iSS01G </t>
  </si>
  <si>
    <t>70% B1-A3 DT/MN + 25% B6.2-A3.1/Nạp Star + 5% Hạt WSS03G PL</t>
  </si>
  <si>
    <t>Hạt Nhựa rPET iSS01G 2 PL</t>
  </si>
  <si>
    <t>Phó Sản PET Zigzag</t>
  </si>
  <si>
    <t>Hạt nhựa rPET WSS01G 2</t>
  </si>
  <si>
    <t>Phó Sản PET Zigzag sau lựa</t>
  </si>
  <si>
    <t>Hạt nhựa rPET WSS03G</t>
  </si>
  <si>
    <t>Phó sản PET bụi cám sau sàn rung</t>
  </si>
  <si>
    <t>Vảy B2.2/B5_A1 DT</t>
  </si>
  <si>
    <t>Vảy B2.2/B5_A2 DT</t>
  </si>
  <si>
    <t>Vảy B2.2/B5_A3 DT</t>
  </si>
  <si>
    <t>Hạt nhựa rPET iSS01G 1</t>
  </si>
  <si>
    <t>85.5% B1-A1/A2 MN + 9.5% B2.2-A1/A2 + 5% Hạt WSS03G PL</t>
  </si>
  <si>
    <t>Hạt nhựa rPET WSS01G 1</t>
  </si>
  <si>
    <t>Chai PET B4/B5/B6 sau phân loại</t>
  </si>
  <si>
    <t>Phó Sản PET Bụi Cám Sau Sàn Rung</t>
  </si>
  <si>
    <t>Hạt Nhựa rPET iSS01G 1 PL</t>
  </si>
  <si>
    <t>Phó Sản PET Zigzag Sau Lựa</t>
  </si>
  <si>
    <t>Phó Sản PET Bụi LB</t>
  </si>
  <si>
    <t>Phó Sản Hạt PET Quét Nền</t>
  </si>
  <si>
    <t xml:space="preserve"> Chai 4 chưa rửa 1</t>
  </si>
  <si>
    <t>Gia công</t>
  </si>
  <si>
    <t xml:space="preserve">Tạo hạt WSS01G </t>
  </si>
  <si>
    <t>100% B1.2_A2 DT (STAR 1)</t>
  </si>
  <si>
    <t>Hạt Nhựa rPET WSS01G 1 PL</t>
  </si>
  <si>
    <t>Chai B6.2 sau phân loại</t>
  </si>
  <si>
    <t xml:space="preserve"> Chai 6.2 chưa rửa 1</t>
  </si>
  <si>
    <t>Vảy B6.2_A1</t>
  </si>
  <si>
    <t xml:space="preserve"> Chai 6.2 chưa rửa 2</t>
  </si>
  <si>
    <t>Vảy B6.2_A2</t>
  </si>
  <si>
    <t>Vảy B6.2_Nạp Star</t>
  </si>
  <si>
    <t>Vảy B6.2_A3</t>
  </si>
  <si>
    <t>100% B1.2_A2 DT (STAR 2)</t>
  </si>
  <si>
    <t>Chai PET B4/B5/B6 Sau phân loại</t>
  </si>
  <si>
    <t>Phó Sản PET B6.2 Vảy-Nắp</t>
  </si>
  <si>
    <t>PP Vàng Quai-Nắp</t>
  </si>
  <si>
    <t>Phó Sản B6.2 Nắp Chưa Băm</t>
  </si>
  <si>
    <t>Phó Sản Hạt rPET WSS01G Lẫn Kim Loại</t>
  </si>
  <si>
    <t>Phó Sản PET Bụi Tank C</t>
  </si>
  <si>
    <t>95% B1-A1/A2.1 MN + 5% Hạt WSS03G PL</t>
  </si>
  <si>
    <t>85.5% B1-A2.2 DT/MN + 9.5% B6.2-A1/A2 + 5% Hạt WSS03G PL</t>
  </si>
  <si>
    <t xml:space="preserve">Tạo hạt WSS03G </t>
  </si>
  <si>
    <t>Hạt nhựa rPET WSS03G PL</t>
  </si>
  <si>
    <t>30% Vảy PET Mix  B2-B3-B7 + 70% Vảy PET B6.2_A3.1</t>
  </si>
  <si>
    <t xml:space="preserve"> </t>
  </si>
  <si>
    <t>HS TH Vảy</t>
  </si>
  <si>
    <t>HS TH Hạt</t>
  </si>
  <si>
    <t xml:space="preserve">Giá thành nhựa_chai </t>
  </si>
  <si>
    <t xml:space="preserve">Giá thành nhựa_Vảy MN </t>
  </si>
  <si>
    <t>Giá thành nhựa_Chai &amp;Vảy</t>
  </si>
  <si>
    <t xml:space="preserve">HSTH </t>
  </si>
  <si>
    <t>GHV</t>
  </si>
  <si>
    <t>Giá thành nhựa_vảy sạch</t>
  </si>
  <si>
    <t>Chi phí SX Từ chai</t>
  </si>
  <si>
    <t>Chi phí SX từ vảy mua ngoài</t>
  </si>
  <si>
    <t xml:space="preserve">HSTH  Vảy_Tất cả </t>
  </si>
  <si>
    <t>TPMT</t>
  </si>
  <si>
    <t>TP1</t>
  </si>
  <si>
    <t>TP1PL</t>
  </si>
  <si>
    <t>TP2PL</t>
  </si>
  <si>
    <t>Cho c thức Vảy Mix</t>
  </si>
  <si>
    <t>Vảy B2/B3/B7_A1 DT</t>
  </si>
  <si>
    <t>Chai B2 +B3+ B7</t>
  </si>
  <si>
    <t xml:space="preserve"> Chai B2/B3/B7 chưa rửa</t>
  </si>
  <si>
    <t>Bq /Tháng</t>
  </si>
  <si>
    <t>Giá Mua</t>
  </si>
  <si>
    <t>CF PL</t>
  </si>
  <si>
    <t>Tỷ lệ HH</t>
  </si>
  <si>
    <t>Tỷ lệ BOM</t>
  </si>
  <si>
    <t>CF</t>
  </si>
  <si>
    <t>Giá B1</t>
  </si>
  <si>
    <t>CF sau PB</t>
  </si>
  <si>
    <t>Check từ B0</t>
  </si>
  <si>
    <r>
      <t>30%  B1-A3/A2.2 MN + 15% B2.2-A3/A2 + 55% B6.2 Nạp Star/A2 +</t>
    </r>
    <r>
      <rPr>
        <b/>
        <sz val="12"/>
        <color rgb="FFFF0000"/>
        <rFont val="Times New Roman"/>
        <family val="1"/>
      </rPr>
      <t xml:space="preserve"> 5%</t>
    </r>
    <r>
      <rPr>
        <b/>
        <sz val="12"/>
        <color rgb="FF000000"/>
        <rFont val="Times New Roman"/>
        <family val="1"/>
      </rPr>
      <t xml:space="preserve"> Hạt WSS03G PL</t>
    </r>
  </si>
  <si>
    <t>Chai Sau PL</t>
  </si>
  <si>
    <t>CF Băm</t>
  </si>
  <si>
    <t>CF Rữa</t>
  </si>
  <si>
    <t xml:space="preserve">GT Vảy </t>
  </si>
  <si>
    <t>CF nhựa_ Vảy</t>
  </si>
  <si>
    <t>CF nhựa_ Hạt</t>
  </si>
  <si>
    <t>Pro.Order</t>
  </si>
  <si>
    <t>CF Tạo Hạt</t>
  </si>
  <si>
    <t>CF Nâng IV</t>
  </si>
  <si>
    <t>GT Hạt</t>
  </si>
  <si>
    <t>8h</t>
  </si>
  <si>
    <t>CF BH</t>
  </si>
  <si>
    <t>CFQL</t>
  </si>
  <si>
    <t>CF TC</t>
  </si>
  <si>
    <t>TC</t>
  </si>
  <si>
    <t>GBHV</t>
  </si>
  <si>
    <t>Check NBV</t>
  </si>
  <si>
    <t>Gía bán theo giá trị</t>
  </si>
  <si>
    <t xml:space="preserve">CF </t>
  </si>
  <si>
    <t>LN MM</t>
  </si>
  <si>
    <t>Vảy FPET 201</t>
  </si>
  <si>
    <t>15% B1-A2.2 DT/MN + 65% B6.2-A1/A2 + 20% B5</t>
  </si>
  <si>
    <t>95% B6.2 + 5% B4</t>
  </si>
  <si>
    <t>Cao hơn(+) /Thấp hơn (-)</t>
  </si>
  <si>
    <t>Hạt WSS03SB</t>
  </si>
  <si>
    <t>Hạt WSS04SB</t>
  </si>
  <si>
    <t>Hyoshung</t>
  </si>
  <si>
    <t>Hạt nhựa rPET WSS04SB</t>
  </si>
  <si>
    <t>Chi phí rữa</t>
  </si>
  <si>
    <t>C:\Data\GĐ Tài chính\Cost Controlling\Costing Flow Chart\Báo CT _Model\PET_FULL_CFO_OPTIMIZATION.xlsx</t>
  </si>
  <si>
    <t>Từ B0</t>
  </si>
  <si>
    <t>Từ Vảy</t>
  </si>
  <si>
    <t>LG cũ</t>
  </si>
  <si>
    <t>% LG cũ</t>
  </si>
  <si>
    <t>LNST</t>
  </si>
  <si>
    <t>% LG  mới</t>
  </si>
  <si>
    <t>Giá trình (KTQT)</t>
  </si>
  <si>
    <t>RANK</t>
  </si>
  <si>
    <t>Product</t>
  </si>
  <si>
    <t>PET B4 Vảy-Nắp</t>
  </si>
  <si>
    <t>Phó Sản PET Zigzag_sau lựa</t>
  </si>
  <si>
    <t>Phế khác</t>
  </si>
  <si>
    <t>100%</t>
  </si>
  <si>
    <t>80%</t>
  </si>
  <si>
    <t>60%</t>
  </si>
  <si>
    <t>50%</t>
  </si>
  <si>
    <t>Rework</t>
  </si>
  <si>
    <t>Phó Sản PET Zigzag_Sau lựa</t>
  </si>
  <si>
    <t>Hạt WSS01_Lavie</t>
  </si>
  <si>
    <t>Hạt iSS01084G_SPVB</t>
  </si>
  <si>
    <t>Hạt iSS01084G_Coca Cola</t>
  </si>
  <si>
    <t>Hạt WSS01G_Niagara</t>
  </si>
  <si>
    <t>Hạt iSS01G_Outerinho</t>
  </si>
  <si>
    <t>Rank theo CF Vận hành</t>
  </si>
  <si>
    <t>NRV</t>
  </si>
  <si>
    <t>90%B1.A1,A2 +10% B6.2-A1/A2</t>
  </si>
  <si>
    <t>Niagara</t>
  </si>
  <si>
    <t>89% B6.2 + 11% B4</t>
  </si>
  <si>
    <t>Hyosung</t>
  </si>
  <si>
    <t>Hạt</t>
  </si>
  <si>
    <t>HSTH</t>
  </si>
  <si>
    <t>Chai PET B6 Sau Phân Loại</t>
  </si>
  <si>
    <t>Chai PET B5 Sau Phân Loại</t>
  </si>
  <si>
    <t>Chai PET B4 Sau Phân Loại</t>
  </si>
  <si>
    <t>Vảy B4_A3 DT</t>
  </si>
  <si>
    <t>Vảy B4_A1/A2 DT</t>
  </si>
  <si>
    <t>Giá B4</t>
  </si>
  <si>
    <t xml:space="preserve">Giá B2.2 </t>
  </si>
  <si>
    <t xml:space="preserve">Chai B2.2 </t>
  </si>
  <si>
    <t>Giá B6.2</t>
  </si>
  <si>
    <t>Chai B5</t>
  </si>
  <si>
    <t>Giá B5</t>
  </si>
  <si>
    <t xml:space="preserve"> Chai 2.2 chưa rửa</t>
  </si>
  <si>
    <t>Phó Sản PET B2 Vảy-Nắp</t>
  </si>
  <si>
    <t>Phó Sản PET B5 Vảy-Nắp</t>
  </si>
  <si>
    <t xml:space="preserve"> Chai B5 chưa rửa 1</t>
  </si>
  <si>
    <t xml:space="preserve"> Chai B5 chưa rửa 2</t>
  </si>
  <si>
    <t>Vảy B5_A1 DT</t>
  </si>
  <si>
    <t>Vảy B5_A2 DT</t>
  </si>
  <si>
    <t>Vảy B5_A3 DT</t>
  </si>
  <si>
    <t>Phó Sản PET tuyển nổi 2</t>
  </si>
  <si>
    <t xml:space="preserve">Hao hụt </t>
  </si>
  <si>
    <t>% LG  mới-PS-KTQT</t>
  </si>
  <si>
    <t>ĐG</t>
  </si>
  <si>
    <t>SL</t>
  </si>
  <si>
    <t>TH SL</t>
  </si>
  <si>
    <t xml:space="preserve">GT </t>
  </si>
  <si>
    <t xml:space="preserve">Cơ cấu thành phẩm thực tế </t>
  </si>
  <si>
    <t>Giá bán 3 trạm về DTR</t>
  </si>
  <si>
    <t>Phó sản</t>
  </si>
  <si>
    <t>Tháng 1</t>
  </si>
  <si>
    <t>Tháng 2</t>
  </si>
  <si>
    <t>Tháng 3</t>
  </si>
  <si>
    <t>CL</t>
  </si>
  <si>
    <t>Tháng 4</t>
  </si>
  <si>
    <t>NRV_IN</t>
  </si>
  <si>
    <t>BẢNG TÍNH SETTLEMENT RULE BOM - ROUTING (co-product)</t>
  </si>
  <si>
    <t>Hide</t>
  </si>
  <si>
    <t xml:space="preserve">I. </t>
  </si>
  <si>
    <t>CÔNG ĐOẠN PHÂN LOẠI CHAI</t>
  </si>
  <si>
    <t>BOM - KẾ HOẠCH</t>
  </si>
  <si>
    <t>Sản lượng thành phẩm thực tế</t>
  </si>
  <si>
    <t>Hệ số quy đổi</t>
  </si>
  <si>
    <t>Sản lượng thành phẩm quy đổi</t>
  </si>
  <si>
    <t>Giá trị nguyên liệu phân bổ cho thành phẩm quy đổi</t>
  </si>
  <si>
    <t>Settlement rule - BOM</t>
  </si>
  <si>
    <t>Settlement rule - ROUTING</t>
  </si>
  <si>
    <t>Giá bán hiện tại</t>
  </si>
  <si>
    <t>Hệ số quy đổi giá bán</t>
  </si>
  <si>
    <t>GT NVL</t>
  </si>
  <si>
    <t>CFSX</t>
  </si>
  <si>
    <t>GT SP Trạm</t>
  </si>
  <si>
    <t>Số lượng</t>
  </si>
  <si>
    <t>(1)</t>
  </si>
  <si>
    <t>(2)</t>
  </si>
  <si>
    <t>(3)= (1)*(2)</t>
  </si>
  <si>
    <t>(4)</t>
  </si>
  <si>
    <t>150000001</t>
  </si>
  <si>
    <t>Chai PET xá</t>
  </si>
  <si>
    <t>160000001</t>
  </si>
  <si>
    <t>(4) = Tổng giá trị NVL /(Tổng số lượng TP quy đổi) * Sl Tp quy đổi.
(5) = Giá trị nguyên liệu phân bổ cho thành phẩm quy đổi / Tổng giá trị nguyên liệu phân bổ cho thành phẩm quy đổi</t>
  </si>
  <si>
    <t>160000081</t>
  </si>
  <si>
    <t>160000002</t>
  </si>
  <si>
    <t>160000063</t>
  </si>
  <si>
    <t>160000004</t>
  </si>
  <si>
    <t>160000005</t>
  </si>
  <si>
    <t>160000007</t>
  </si>
  <si>
    <t>160000084</t>
  </si>
  <si>
    <t>160000062</t>
  </si>
  <si>
    <t>Cổ Chai PET</t>
  </si>
  <si>
    <t>160000006</t>
  </si>
  <si>
    <t>Hao Hụt - Tạp chất</t>
  </si>
  <si>
    <t>800000006</t>
  </si>
  <si>
    <t>Hao hụt - nhãn chai PET</t>
  </si>
  <si>
    <t>Hao hụt vô hình</t>
  </si>
  <si>
    <t>TỔNG</t>
  </si>
  <si>
    <t>II.</t>
  </si>
  <si>
    <t>CÔNG ĐOẠN BĂM CHAI B6.2</t>
  </si>
  <si>
    <t>160000027</t>
  </si>
  <si>
    <t>160000059</t>
  </si>
  <si>
    <t xml:space="preserve">Vảy nắp hỗn hợp B6.2 </t>
  </si>
  <si>
    <t>Phó sản bụi cám</t>
  </si>
  <si>
    <t xml:space="preserve">Giá BO sau Phân loại </t>
  </si>
  <si>
    <t>Đlộc</t>
  </si>
  <si>
    <t>KN</t>
  </si>
  <si>
    <t>ĐLâm</t>
  </si>
  <si>
    <t>Giá thị trường</t>
  </si>
  <si>
    <t xml:space="preserve">Vảy PET_A5.1 mua ngoài </t>
  </si>
  <si>
    <t>Chai B 1</t>
  </si>
  <si>
    <t>Giá mua chai B0</t>
  </si>
  <si>
    <t>Tỷ lệ HH Mua B0</t>
  </si>
  <si>
    <t>40%</t>
  </si>
  <si>
    <t xml:space="preserve">Vảy B2.2 </t>
  </si>
  <si>
    <t>Vảy B4</t>
  </si>
  <si>
    <t>Vảy B5</t>
  </si>
  <si>
    <t>Công thức sản xuất</t>
  </si>
  <si>
    <t>Vảy B 1_A1/A2</t>
  </si>
  <si>
    <t>Vảy chưa rữa  (HSTH và  GT)-Băm</t>
  </si>
  <si>
    <t>Vảy sau rữa (HSTH và  GT) -Rữa</t>
  </si>
  <si>
    <t>Vảy B2.2_A1 DT</t>
  </si>
  <si>
    <t>Vảy B2.2_A2 DT</t>
  </si>
  <si>
    <t>Vảy B2.2_A3 DT</t>
  </si>
  <si>
    <t>85.5% B1-A1/A2 DT/MN + 9.5% B7-A1 + 5% Hạt WSS03G PL</t>
  </si>
  <si>
    <t>85.5% B1.2-A1/A2 DT + 9.5% B2.2-A1/A2 + 5% Hạt WSS03G PL</t>
  </si>
  <si>
    <t>15% B3-A5.2_A3  + 60% B1-A1/A2 MN/DT+ 25% B6.2-A3.1/Nạp Star + 5% Hạt WSS03G PL</t>
  </si>
  <si>
    <t>Vảy B1 MN (50%)</t>
  </si>
  <si>
    <t xml:space="preserve"> 90% Vảy PET B6.2_A3.1/A2 +10% B5-A3/A2</t>
  </si>
  <si>
    <t>Phó Sản Hạt rPET WSS03G Lẫn Kim Loại</t>
  </si>
  <si>
    <t>Tạo hạt WSS04NC</t>
  </si>
  <si>
    <t>Tạo hạt WSS04SB</t>
  </si>
  <si>
    <t>Tạo hạt WSS05SB</t>
  </si>
  <si>
    <t>100% Vảy PET HAD_A3</t>
  </si>
  <si>
    <t>100% Vảy PET Tomra_A3</t>
  </si>
  <si>
    <t xml:space="preserve">100%  B1.1-A2.2 DT </t>
  </si>
  <si>
    <t>70%  B1-A3 DT/MN +30% B6.2-A2/A3.1</t>
  </si>
  <si>
    <t>100%  B1.1-A2.2 DT + 5% B5-A2</t>
  </si>
  <si>
    <t>70% Vảy PET HAD_A3+ 30% Vảy PET Zigzar_A3</t>
  </si>
  <si>
    <t>70% Vảy PET HAD_A3+ 30% Vảy PET Tuyển nổi_A3</t>
  </si>
  <si>
    <t>Hạt nhựa rPET WSS05SB</t>
  </si>
  <si>
    <t>Hạt nhựa rPET WSS005SB PL</t>
  </si>
  <si>
    <t>Hạt nhựa rPET WSS004SB PL</t>
  </si>
  <si>
    <t>Room</t>
  </si>
  <si>
    <t>Giá chai mua vào sau lựa =&gt;</t>
  </si>
  <si>
    <t>Tạo hạt_CF Nhựa</t>
  </si>
  <si>
    <t xml:space="preserve">HSTH  Hạt_Tất cả </t>
  </si>
  <si>
    <t>LNST (VND)</t>
  </si>
  <si>
    <t>LNST (USD)</t>
  </si>
  <si>
    <t xml:space="preserve">Chi phí SX </t>
  </si>
  <si>
    <t>Gíá V HB</t>
  </si>
  <si>
    <t>Tỷ lệ hao hụt</t>
  </si>
  <si>
    <t>Chai sau PL</t>
  </si>
  <si>
    <t>CF nhựa_ chai B0 sau phân loại</t>
  </si>
  <si>
    <t>Tỷ lệ chai sau PL</t>
  </si>
  <si>
    <t>Hao hụt công đoạn phân loại B0</t>
  </si>
  <si>
    <t>Cphi phí sx</t>
  </si>
  <si>
    <t>Chi phi phí sau phân loại</t>
  </si>
  <si>
    <t>Nhựa /1kg</t>
  </si>
  <si>
    <t>CF nhựa_ Vảy A1_DT</t>
  </si>
  <si>
    <t>CF SX</t>
  </si>
  <si>
    <t>HH B0</t>
  </si>
  <si>
    <t>PB giá trị B0 =&gt; B1</t>
  </si>
  <si>
    <t>HH B0 =&gt; B1</t>
  </si>
  <si>
    <t xml:space="preserve">CFPL </t>
  </si>
  <si>
    <t>Check</t>
  </si>
  <si>
    <t>PB giá trị B1=&gt;A0_DT</t>
  </si>
  <si>
    <t>HH B1=&gt;A0_DT</t>
  </si>
  <si>
    <t>CFPL B1=&gt;A0_DT</t>
  </si>
  <si>
    <t xml:space="preserve">HSTH  Vảy A0_Tất cả </t>
  </si>
  <si>
    <t xml:space="preserve">HSTH  Vảy A1 DT_Tất cả </t>
  </si>
  <si>
    <t>Vảy A0</t>
  </si>
  <si>
    <t>HH  Vảy A1_DT =&gt;  Hạt</t>
  </si>
  <si>
    <t>Vảy A1</t>
  </si>
  <si>
    <t xml:space="preserve">Gía thành Vảy A0 </t>
  </si>
  <si>
    <t>% thu hồi</t>
  </si>
  <si>
    <t xml:space="preserve">Min </t>
  </si>
  <si>
    <t>Max</t>
  </si>
  <si>
    <t>Giá thành Vảy_A1 DT</t>
  </si>
  <si>
    <t xml:space="preserve">Hạt </t>
  </si>
  <si>
    <t>CF Nâng IV (8h)</t>
  </si>
  <si>
    <t>Giá thành Hạt</t>
  </si>
  <si>
    <t>%LNST</t>
  </si>
  <si>
    <t>Phó sản -CĐ Băm</t>
  </si>
  <si>
    <t>CFPL B0 tớí Vảy A0</t>
  </si>
  <si>
    <t>CFPL B0</t>
  </si>
  <si>
    <t>CFPL B0 tớí Vảy A1_DT</t>
  </si>
  <si>
    <t>CFPL B0 tớí Hạt</t>
  </si>
  <si>
    <t>Phó sản CĐ Rữa</t>
  </si>
  <si>
    <t>Phó sản CĐ tạo hạt</t>
  </si>
  <si>
    <t>PB giá trị B1 =&gt; Vảy A0</t>
  </si>
  <si>
    <t>HH B1 =&gt; Vảy A0_Băm</t>
  </si>
  <si>
    <t>PB giá trị B1 =&gt; A1_DT</t>
  </si>
  <si>
    <t>HH A0 =&gt;A1_DT</t>
  </si>
  <si>
    <t>PB giá trị B1 =&gt;Hạt</t>
  </si>
  <si>
    <t>Giá trị</t>
  </si>
  <si>
    <t>Chi phí NVL</t>
  </si>
  <si>
    <t>Chi phí sản xuất</t>
  </si>
  <si>
    <t>Hao hụt về tiền</t>
  </si>
  <si>
    <t>CP QL + bán hàng + lãi vay</t>
  </si>
  <si>
    <t>Thuế TNDN</t>
  </si>
  <si>
    <t>Lợi nhuận sau thuế</t>
  </si>
  <si>
    <t>Lợi nhuận MM</t>
  </si>
  <si>
    <t>Giá bán</t>
  </si>
  <si>
    <t>CP quản lý, bán hàng, lãi vay</t>
  </si>
  <si>
    <t>Điểm hòa vốn (D+E) _USD</t>
  </si>
  <si>
    <t>Điểm hòa vốn (D+E) _VND</t>
  </si>
  <si>
    <t>Gíá bán theo giá trị</t>
  </si>
  <si>
    <t>% LNST</t>
  </si>
  <si>
    <t>KTQT</t>
  </si>
  <si>
    <t>LG  mới-PS-KTQT</t>
  </si>
  <si>
    <t>CF Nâng IV (10h)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</si>
</sst>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_(* #,##0_);_(* \(#,##0\);_(* &quot;-&quot;??_);_(@_)"/>
    <numFmt numFmtId="166" formatCode="0%;[Red]\-0%;_(* &quot;&quot;??_)"/>
    <numFmt numFmtId="167" formatCode="_(* #,##0.0000_);_(* \(#,##0.0000\);_(* &quot;-&quot;??_);_(@_)"/>
    <numFmt numFmtId="168" formatCode="_(* #,##0_);_(* \(#,##0\);_(* &quot;-&quot;?_);_(@_)"/>
    <numFmt numFmtId="169" formatCode="_(* #,##0.0_);_(* \(#,##0.0\);_(* &quot;-&quot;??_);_(@_)"/>
    <numFmt numFmtId="170" formatCode="_(* #,##0.00000_);_(* \(#,##0.00000\);_(* &quot;-&quot;??_);_(@_)"/>
    <numFmt numFmtId="171" formatCode="0.0%;[Red]\-0.0%;_(* &quot;&quot;??_)"/>
    <numFmt numFmtId="172" formatCode="0.0000"/>
    <numFmt numFmtId="173" formatCode="_(* #,##0.000_);_(* \(#,##0.000\);_(* &quot;-&quot;??_);_(@_)"/>
  </numFmts>
  <fonts count="79" x14ac:knownFonts="1">
    <font>
      <sz val="11"/>
      <color theme="1"/>
      <name val="Aptos Narrow"/>
      <family val="2"/>
      <scheme val="minor"/>
    </font>
    <font>
      <b/>
      <sz val="11"/>
      <color theme="1"/>
      <name val="Aptos Narrow"/>
      <family val="2"/>
      <scheme val="minor"/>
    </font>
    <font>
      <b/>
      <sz val="12"/>
      <color theme="0"/>
      <name val="Aptos Narrow"/>
      <family val="2"/>
      <scheme val="minor"/>
    </font>
    <font>
      <b/>
      <sz val="16"/>
      <color rgb="FF0000FF"/>
      <name val="Aptos Narrow"/>
      <family val="2"/>
      <scheme val="minor"/>
    </font>
    <font>
      <b/>
      <sz val="12"/>
      <color rgb="FF0033CC"/>
      <name val="Aptos Narrow"/>
      <family val="2"/>
      <scheme val="minor"/>
    </font>
    <font>
      <sz val="11"/>
      <color rgb="FFFF0000"/>
      <name val="Aptos Narrow"/>
      <family val="2"/>
      <scheme val="minor"/>
    </font>
    <font>
      <b/>
      <sz val="12"/>
      <color rgb="FFFF0000"/>
      <name val="Aptos Narrow"/>
      <family val="2"/>
      <scheme val="minor"/>
    </font>
    <font>
      <u/>
      <sz val="11"/>
      <color theme="10"/>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
      <sz val="12"/>
      <color rgb="FFFF0000"/>
      <name val="Aptos Narrow"/>
      <family val="2"/>
      <scheme val="minor"/>
    </font>
    <font>
      <sz val="12"/>
      <color rgb="FF0000FF"/>
      <name val="Aptos Narrow"/>
      <family val="2"/>
      <scheme val="minor"/>
    </font>
    <font>
      <sz val="11"/>
      <color rgb="FF0000FF"/>
      <name val="Aptos Narrow"/>
      <family val="2"/>
      <scheme val="minor"/>
    </font>
    <font>
      <b/>
      <sz val="12"/>
      <color rgb="FF0000FF"/>
      <name val="Aptos Narrow"/>
      <family val="2"/>
      <scheme val="minor"/>
    </font>
    <font>
      <b/>
      <sz val="11"/>
      <color rgb="FF0000FF"/>
      <name val="Aptos Narrow"/>
      <family val="2"/>
      <scheme val="minor"/>
    </font>
    <font>
      <b/>
      <sz val="12"/>
      <color rgb="FFFF0000"/>
      <name val="Aptos Narrow"/>
      <family val="2"/>
    </font>
    <font>
      <b/>
      <u/>
      <sz val="12"/>
      <color rgb="FFC00000"/>
      <name val="Aptos Narrow"/>
      <family val="2"/>
      <scheme val="minor"/>
    </font>
    <font>
      <u/>
      <sz val="12"/>
      <color rgb="FF0000FF"/>
      <name val="Aptos Narrow"/>
      <family val="2"/>
      <scheme val="minor"/>
    </font>
    <font>
      <sz val="16"/>
      <color theme="1"/>
      <name val="Aptos Narrow"/>
      <family val="2"/>
      <scheme val="minor"/>
    </font>
    <font>
      <u/>
      <sz val="12"/>
      <color theme="10"/>
      <name val="Aptos Narrow"/>
      <family val="2"/>
      <scheme val="minor"/>
    </font>
    <font>
      <b/>
      <sz val="12"/>
      <color rgb="FF92D050"/>
      <name val="Aptos Narrow"/>
      <family val="2"/>
      <scheme val="minor"/>
    </font>
    <font>
      <sz val="12"/>
      <color rgb="FF92D050"/>
      <name val="Aptos Narrow"/>
      <family val="2"/>
      <scheme val="minor"/>
    </font>
    <font>
      <b/>
      <sz val="11"/>
      <color rgb="FFFF0000"/>
      <name val="Aptos Narrow"/>
      <family val="2"/>
      <scheme val="minor"/>
    </font>
    <font>
      <b/>
      <sz val="11"/>
      <color rgb="FF00B0F0"/>
      <name val="Aptos Narrow"/>
      <family val="2"/>
      <scheme val="minor"/>
    </font>
    <font>
      <b/>
      <sz val="11"/>
      <color rgb="FFFFFF00"/>
      <name val="Aptos Narrow"/>
      <family val="2"/>
      <scheme val="minor"/>
    </font>
    <font>
      <b/>
      <sz val="12"/>
      <color rgb="FFC00000"/>
      <name val="Aptos Narrow"/>
      <family val="2"/>
      <scheme val="minor"/>
    </font>
    <font>
      <sz val="12"/>
      <color rgb="FFC00000"/>
      <name val="Aptos Narrow"/>
      <family val="2"/>
      <scheme val="minor"/>
    </font>
    <font>
      <b/>
      <sz val="12"/>
      <color rgb="FF00B0F0"/>
      <name val="Aptos Narrow"/>
      <family val="2"/>
      <scheme val="minor"/>
    </font>
    <font>
      <sz val="12"/>
      <color rgb="FF00B0F0"/>
      <name val="Aptos Narrow"/>
      <family val="2"/>
      <scheme val="minor"/>
    </font>
    <font>
      <sz val="11"/>
      <color rgb="FF00B0F0"/>
      <name val="Aptos Narrow"/>
      <family val="2"/>
      <scheme val="minor"/>
    </font>
    <font>
      <b/>
      <sz val="11"/>
      <color rgb="FFC00000"/>
      <name val="Aptos Narrow"/>
      <family val="2"/>
      <scheme val="minor"/>
    </font>
    <font>
      <b/>
      <sz val="11"/>
      <color rgb="FF0070C0"/>
      <name val="Aptos Narrow"/>
      <family val="2"/>
      <scheme val="minor"/>
    </font>
    <font>
      <sz val="12"/>
      <color rgb="FF0070C0"/>
      <name val="Aptos Narrow"/>
      <family val="2"/>
      <scheme val="minor"/>
    </font>
    <font>
      <b/>
      <sz val="11"/>
      <color theme="0"/>
      <name val="Aptos Narrow"/>
      <family val="2"/>
      <scheme val="minor"/>
    </font>
    <font>
      <sz val="12"/>
      <color rgb="FFFF0000"/>
      <name val="Times New Roman"/>
      <family val="1"/>
    </font>
    <font>
      <sz val="12"/>
      <color rgb="FF0000FF"/>
      <name val="Times New Roman"/>
      <family val="1"/>
    </font>
    <font>
      <sz val="11"/>
      <color theme="0"/>
      <name val="Aptos Narrow"/>
      <family val="2"/>
      <scheme val="minor"/>
    </font>
    <font>
      <sz val="11"/>
      <color rgb="FF3366FF"/>
      <name val="Aptos Narrow"/>
      <family val="2"/>
      <scheme val="minor"/>
    </font>
    <font>
      <sz val="11"/>
      <color rgb="FF0066FF"/>
      <name val="Aptos Narrow"/>
      <family val="2"/>
      <scheme val="minor"/>
    </font>
    <font>
      <b/>
      <sz val="16"/>
      <color rgb="FF0066FF"/>
      <name val="Aptos Narrow"/>
      <family val="2"/>
      <scheme val="minor"/>
    </font>
    <font>
      <b/>
      <sz val="12"/>
      <color rgb="FF0066FF"/>
      <name val="Aptos Narrow"/>
      <family val="2"/>
      <scheme val="minor"/>
    </font>
    <font>
      <b/>
      <sz val="11"/>
      <color rgb="FF0066FF"/>
      <name val="Aptos Narrow"/>
      <family val="2"/>
      <scheme val="minor"/>
    </font>
    <font>
      <b/>
      <sz val="12"/>
      <color rgb="FF0066FF"/>
      <name val="Aptos Display"/>
      <family val="1"/>
      <scheme val="major"/>
    </font>
    <font>
      <sz val="12"/>
      <color rgb="FF0066FF"/>
      <name val="Aptos Display"/>
      <family val="1"/>
      <scheme val="major"/>
    </font>
    <font>
      <sz val="10"/>
      <color rgb="FF0066FF"/>
      <name val="Arial"/>
      <family val="2"/>
    </font>
    <font>
      <b/>
      <sz val="11"/>
      <color rgb="FF0066FF"/>
      <name val="Arial"/>
      <family val="2"/>
    </font>
    <font>
      <sz val="11"/>
      <color rgb="FF0066FF"/>
      <name val="Arial"/>
      <family val="2"/>
    </font>
    <font>
      <sz val="11"/>
      <name val="Aptos Narrow"/>
      <family val="2"/>
      <scheme val="minor"/>
    </font>
    <font>
      <b/>
      <sz val="11"/>
      <name val="Aptos Narrow"/>
      <family val="2"/>
      <scheme val="minor"/>
    </font>
    <font>
      <sz val="11"/>
      <color rgb="FF00B050"/>
      <name val="Aptos Narrow"/>
      <family val="2"/>
      <scheme val="minor"/>
    </font>
    <font>
      <sz val="11"/>
      <color rgb="FFFFC000"/>
      <name val="Aptos Narrow"/>
      <family val="2"/>
      <scheme val="minor"/>
    </font>
    <font>
      <b/>
      <sz val="12"/>
      <color theme="1"/>
      <name val="Times New Roman"/>
      <family val="1"/>
    </font>
    <font>
      <b/>
      <sz val="12"/>
      <color rgb="FFFF0000"/>
      <name val="Times New Roman"/>
      <family val="1"/>
    </font>
    <font>
      <b/>
      <sz val="12"/>
      <color rgb="FF0000FF"/>
      <name val="Times New Roman"/>
      <family val="1"/>
    </font>
    <font>
      <b/>
      <sz val="12"/>
      <color rgb="FF000000"/>
      <name val="Times New Roman"/>
      <family val="1"/>
    </font>
    <font>
      <b/>
      <sz val="10"/>
      <color rgb="FF000000"/>
      <name val="Times New Roman"/>
      <family val="1"/>
    </font>
    <font>
      <b/>
      <sz val="11"/>
      <color theme="1"/>
      <name val="Times New Roman"/>
      <family val="1"/>
    </font>
    <font>
      <b/>
      <sz val="14"/>
      <color rgb="FFFF0000"/>
      <name val="Times New Roman"/>
      <family val="1"/>
    </font>
    <font>
      <b/>
      <sz val="12"/>
      <name val="Times New Roman"/>
      <family val="1"/>
    </font>
    <font>
      <b/>
      <sz val="12"/>
      <color rgb="FFC00000"/>
      <name val="Times New Roman"/>
      <family val="1"/>
    </font>
    <font>
      <b/>
      <sz val="12"/>
      <color rgb="FF00B0F0"/>
      <name val="Times New Roman"/>
      <family val="1"/>
    </font>
    <font>
      <b/>
      <sz val="12"/>
      <color rgb="FF00B050"/>
      <name val="Times New Roman"/>
      <family val="1"/>
    </font>
    <font>
      <b/>
      <sz val="12"/>
      <color rgb="FF7030A0"/>
      <name val="Times New Roman"/>
      <family val="1"/>
    </font>
    <font>
      <b/>
      <sz val="12"/>
      <color rgb="FF0066FF"/>
      <name val="Times New Roman"/>
      <family val="1"/>
    </font>
    <font>
      <sz val="10"/>
      <name val="Arial"/>
      <family val="2"/>
    </font>
    <font>
      <b/>
      <sz val="16"/>
      <name val="Arial"/>
      <family val="2"/>
    </font>
    <font>
      <b/>
      <sz val="10"/>
      <color rgb="FF0070C0"/>
      <name val="Arial"/>
      <family val="2"/>
    </font>
    <font>
      <b/>
      <sz val="10"/>
      <color rgb="FFFF0000"/>
      <name val="Arial"/>
      <family val="2"/>
    </font>
    <font>
      <b/>
      <sz val="10"/>
      <color theme="9" tint="-0.249977111117893"/>
      <name val="Arial"/>
      <family val="2"/>
    </font>
    <font>
      <b/>
      <sz val="10"/>
      <color rgb="FFFF0000"/>
      <name val="Aptos Narrow"/>
      <family val="2"/>
      <scheme val="minor"/>
    </font>
    <font>
      <b/>
      <sz val="10"/>
      <color rgb="FF0070C0"/>
      <name val="Aptos Narrow"/>
      <family val="2"/>
      <scheme val="minor"/>
    </font>
    <font>
      <sz val="10"/>
      <color theme="1"/>
      <name val="Arial"/>
      <family val="2"/>
    </font>
    <font>
      <b/>
      <sz val="10"/>
      <name val="Arial"/>
      <family val="2"/>
    </font>
    <font>
      <b/>
      <sz val="9"/>
      <color indexed="81"/>
      <name val="Tahoma"/>
      <family val="2"/>
    </font>
    <font>
      <sz val="10"/>
      <color rgb="FFFF0000"/>
      <name val="Arial"/>
      <family val="2"/>
    </font>
    <font>
      <b/>
      <sz val="9"/>
      <color rgb="FF0000FF"/>
      <name val="Segoe UI"/>
      <family val="2"/>
    </font>
    <font>
      <sz val="11"/>
      <color rgb="FFC00000"/>
      <name val="Aptos Narrow"/>
      <family val="2"/>
      <scheme val="minor"/>
    </font>
    <font>
      <b/>
      <sz val="11"/>
      <color rgb="FF00B050"/>
      <name val="Aptos Narrow"/>
      <family val="2"/>
      <scheme val="minor"/>
    </font>
  </fonts>
  <fills count="26">
    <fill>
      <patternFill patternType="none"/>
    </fill>
    <fill>
      <patternFill patternType="gray125"/>
    </fill>
    <fill>
      <patternFill patternType="solid">
        <fgColor rgb="FF0000FF"/>
        <bgColor indexed="64"/>
      </patternFill>
    </fill>
    <fill>
      <patternFill patternType="solid">
        <fgColor rgb="FF00B050"/>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70C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4472C4"/>
        <bgColor theme="8"/>
      </patternFill>
    </fill>
    <fill>
      <patternFill patternType="solid">
        <fgColor rgb="FFFFFF00"/>
        <bgColor theme="8"/>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theme="6" tint="0.39997558519241921"/>
        <bgColor indexed="64"/>
      </patternFill>
    </fill>
    <fill>
      <patternFill patternType="solid">
        <fgColor rgb="FFFFFFCC"/>
        <bgColor indexed="64"/>
      </patternFill>
    </fill>
    <fill>
      <patternFill patternType="solid">
        <fgColor theme="3" tint="0.89999084444715716"/>
        <bgColor indexed="64"/>
      </patternFill>
    </fill>
  </fills>
  <borders count="58">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right/>
      <top style="thin">
        <color theme="8"/>
      </top>
      <bottom style="thin">
        <color theme="8"/>
      </bottom>
      <diagonal/>
    </border>
    <border>
      <left/>
      <right style="thin">
        <color theme="8"/>
      </right>
      <top style="thin">
        <color theme="8"/>
      </top>
      <bottom style="thin">
        <color theme="8"/>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rgb="FFFFC000"/>
      </right>
      <top style="thin">
        <color auto="1"/>
      </top>
      <bottom/>
      <diagonal/>
    </border>
    <border>
      <left style="medium">
        <color rgb="FFFFC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rgb="FFFFC000"/>
      </right>
      <top/>
      <bottom style="thin">
        <color indexed="64"/>
      </bottom>
      <diagonal/>
    </border>
    <border>
      <left style="medium">
        <color rgb="FFFFC000"/>
      </left>
      <right style="thin">
        <color auto="1"/>
      </right>
      <top/>
      <bottom/>
      <diagonal/>
    </border>
    <border>
      <left style="thin">
        <color auto="1"/>
      </left>
      <right style="medium">
        <color rgb="FFFFC000"/>
      </right>
      <top/>
      <bottom/>
      <diagonal/>
    </border>
    <border>
      <left style="medium">
        <color rgb="FFFFC000"/>
      </left>
      <right style="thin">
        <color indexed="64"/>
      </right>
      <top style="thin">
        <color indexed="64"/>
      </top>
      <bottom style="hair">
        <color indexed="64"/>
      </bottom>
      <diagonal/>
    </border>
    <border>
      <left style="thin">
        <color indexed="64"/>
      </left>
      <right style="medium">
        <color rgb="FFFFC000"/>
      </right>
      <top style="thin">
        <color indexed="64"/>
      </top>
      <bottom style="hair">
        <color indexed="64"/>
      </bottom>
      <diagonal/>
    </border>
    <border>
      <left style="medium">
        <color rgb="FFFFC000"/>
      </left>
      <right style="thin">
        <color indexed="64"/>
      </right>
      <top style="hair">
        <color indexed="64"/>
      </top>
      <bottom style="hair">
        <color indexed="64"/>
      </bottom>
      <diagonal/>
    </border>
    <border>
      <left style="thin">
        <color indexed="64"/>
      </left>
      <right style="medium">
        <color rgb="FFFFC000"/>
      </right>
      <top style="hair">
        <color indexed="64"/>
      </top>
      <bottom style="hair">
        <color indexed="64"/>
      </bottom>
      <diagonal/>
    </border>
    <border>
      <left style="medium">
        <color rgb="FFFFC000"/>
      </left>
      <right style="thin">
        <color indexed="64"/>
      </right>
      <top style="hair">
        <color indexed="64"/>
      </top>
      <bottom style="thin">
        <color indexed="64"/>
      </bottom>
      <diagonal/>
    </border>
    <border>
      <left style="thin">
        <color indexed="64"/>
      </left>
      <right style="medium">
        <color rgb="FFFFC000"/>
      </right>
      <top style="hair">
        <color indexed="64"/>
      </top>
      <bottom style="thin">
        <color indexed="64"/>
      </bottom>
      <diagonal/>
    </border>
    <border>
      <left style="medium">
        <color rgb="FFFFC000"/>
      </left>
      <right style="thin">
        <color indexed="64"/>
      </right>
      <top style="hair">
        <color indexed="64"/>
      </top>
      <bottom style="medium">
        <color rgb="FFFFC000"/>
      </bottom>
      <diagonal/>
    </border>
    <border>
      <left style="thin">
        <color indexed="64"/>
      </left>
      <right style="thin">
        <color indexed="64"/>
      </right>
      <top style="hair">
        <color indexed="64"/>
      </top>
      <bottom style="medium">
        <color rgb="FFFFC000"/>
      </bottom>
      <diagonal/>
    </border>
    <border>
      <left style="thin">
        <color indexed="64"/>
      </left>
      <right style="medium">
        <color rgb="FFFFC000"/>
      </right>
      <top style="hair">
        <color indexed="64"/>
      </top>
      <bottom style="medium">
        <color rgb="FFFFC000"/>
      </bottom>
      <diagonal/>
    </border>
    <border>
      <left/>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theme="8"/>
      </left>
      <right/>
      <top/>
      <bottom/>
      <diagonal/>
    </border>
    <border>
      <left style="thin">
        <color indexed="64"/>
      </left>
      <right style="thin">
        <color indexed="64"/>
      </right>
      <top style="thin">
        <color indexed="64"/>
      </top>
      <bottom style="hair">
        <color theme="0" tint="-0.499984740745262"/>
      </bottom>
      <diagonal/>
    </border>
    <border>
      <left style="thin">
        <color indexed="64"/>
      </left>
      <right style="thin">
        <color indexed="64"/>
      </right>
      <top style="hair">
        <color theme="0" tint="-0.499984740745262"/>
      </top>
      <bottom style="hair">
        <color theme="0" tint="-0.499984740745262"/>
      </bottom>
      <diagonal/>
    </border>
    <border>
      <left style="thin">
        <color indexed="64"/>
      </left>
      <right style="thin">
        <color indexed="64"/>
      </right>
      <top style="hair">
        <color theme="0" tint="-0.499984740745262"/>
      </top>
      <bottom/>
      <diagonal/>
    </border>
    <border>
      <left style="thin">
        <color indexed="64"/>
      </left>
      <right style="thin">
        <color indexed="64"/>
      </right>
      <top/>
      <bottom style="hair">
        <color theme="0" tint="-0.499984740745262"/>
      </bottom>
      <diagonal/>
    </border>
    <border>
      <left style="thin">
        <color indexed="64"/>
      </left>
      <right style="thin">
        <color indexed="64"/>
      </right>
      <top style="hair">
        <color theme="0" tint="-0.499984740745262"/>
      </top>
      <bottom style="thin">
        <color indexed="64"/>
      </bottom>
      <diagonal/>
    </border>
    <border>
      <left style="thin">
        <color auto="1"/>
      </left>
      <right/>
      <top/>
      <bottom/>
      <diagonal/>
    </border>
    <border>
      <left style="thin">
        <color auto="1"/>
      </left>
      <right/>
      <top/>
      <bottom style="thin">
        <color rgb="FF000000"/>
      </bottom>
      <diagonal/>
    </border>
  </borders>
  <cellStyleXfs count="7">
    <xf numFmtId="0" fontId="0" fillId="0" borderId="0"/>
    <xf numFmtId="0" fontId="7" fillId="0" borderId="0" applyNumberFormat="0" applyFill="0" applyBorder="0" applyAlignment="0" applyProtection="0"/>
    <xf numFmtId="0" fontId="8" fillId="0" borderId="0"/>
    <xf numFmtId="9" fontId="8" fillId="0" borderId="0" applyFont="0" applyFill="0" applyBorder="0" applyAlignment="0" applyProtection="0"/>
    <xf numFmtId="43" fontId="8" fillId="0" borderId="0" applyFont="0" applyFill="0" applyBorder="0" applyAlignment="0" applyProtection="0"/>
    <xf numFmtId="0" fontId="8" fillId="0" borderId="0"/>
    <xf numFmtId="0" fontId="65" fillId="0" borderId="0"/>
  </cellStyleXfs>
  <cellXfs count="950">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5" fillId="0" borderId="0" xfId="0" applyFont="1" applyAlignment="1">
      <alignment vertical="center" wrapText="1"/>
    </xf>
    <xf numFmtId="0" fontId="2" fillId="2" borderId="0" xfId="2" applyFont="1" applyFill="1" applyAlignment="1">
      <alignment horizontal="center"/>
    </xf>
    <xf numFmtId="0" fontId="2" fillId="2" borderId="0" xfId="2" applyFont="1" applyFill="1"/>
    <xf numFmtId="0" fontId="9" fillId="0" borderId="2" xfId="2" applyFont="1" applyBorder="1" applyAlignment="1">
      <alignment vertical="top"/>
    </xf>
    <xf numFmtId="0" fontId="10" fillId="0" borderId="2" xfId="2" applyFont="1" applyBorder="1" applyAlignment="1">
      <alignment vertical="top"/>
    </xf>
    <xf numFmtId="0" fontId="9" fillId="0" borderId="3" xfId="2" applyFont="1" applyBorder="1" applyAlignment="1">
      <alignment vertical="top"/>
    </xf>
    <xf numFmtId="0" fontId="10" fillId="0" borderId="3" xfId="2" applyFont="1" applyBorder="1" applyAlignment="1">
      <alignment vertical="top"/>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4" fillId="5" borderId="2" xfId="0" applyFont="1" applyFill="1" applyBorder="1" applyAlignment="1">
      <alignment horizontal="center" vertical="center"/>
    </xf>
    <xf numFmtId="0" fontId="4" fillId="5" borderId="2" xfId="0" applyFont="1" applyFill="1" applyBorder="1" applyAlignment="1">
      <alignment vertical="center" wrapText="1"/>
    </xf>
    <xf numFmtId="0" fontId="4" fillId="5" borderId="2" xfId="0" applyFont="1" applyFill="1" applyBorder="1" applyAlignment="1">
      <alignment horizontal="left" vertical="center"/>
    </xf>
    <xf numFmtId="0" fontId="4" fillId="5" borderId="2" xfId="0" applyFont="1" applyFill="1" applyBorder="1" applyAlignment="1">
      <alignment vertical="center"/>
    </xf>
    <xf numFmtId="0" fontId="12" fillId="0" borderId="2" xfId="0" applyFont="1" applyBorder="1" applyAlignment="1">
      <alignment horizontal="left" vertical="center" wrapText="1"/>
    </xf>
    <xf numFmtId="0" fontId="12" fillId="0" borderId="2" xfId="0" applyFont="1" applyBorder="1" applyAlignment="1">
      <alignment horizontal="right" vertical="center"/>
    </xf>
    <xf numFmtId="0" fontId="12" fillId="0" borderId="2" xfId="0" applyFont="1" applyBorder="1" applyAlignment="1">
      <alignment horizontal="center" vertical="center"/>
    </xf>
    <xf numFmtId="0" fontId="12" fillId="0" borderId="2" xfId="0" applyFont="1" applyBorder="1" applyAlignment="1">
      <alignment vertical="center" wrapText="1"/>
    </xf>
    <xf numFmtId="0" fontId="12" fillId="0" borderId="2" xfId="0" applyFont="1" applyBorder="1" applyAlignment="1">
      <alignment vertical="center"/>
    </xf>
    <xf numFmtId="0" fontId="13" fillId="0" borderId="0" xfId="0" applyFont="1" applyAlignment="1">
      <alignment vertical="center"/>
    </xf>
    <xf numFmtId="0" fontId="12" fillId="0" borderId="2" xfId="0" applyFont="1" applyBorder="1" applyAlignment="1">
      <alignment horizontal="left" vertical="center"/>
    </xf>
    <xf numFmtId="0" fontId="12" fillId="0" borderId="2" xfId="0" quotePrefix="1" applyFont="1" applyBorder="1" applyAlignment="1">
      <alignment vertical="center" wrapText="1"/>
    </xf>
    <xf numFmtId="0" fontId="12" fillId="0" borderId="2" xfId="0" applyFont="1" applyBorder="1" applyAlignment="1">
      <alignment horizontal="center" vertical="center" wrapText="1"/>
    </xf>
    <xf numFmtId="0" fontId="14" fillId="0" borderId="2" xfId="0" applyFont="1" applyBorder="1" applyAlignment="1">
      <alignment vertical="center"/>
    </xf>
    <xf numFmtId="0" fontId="15" fillId="0" borderId="0" xfId="0" applyFont="1" applyAlignment="1">
      <alignment vertical="center"/>
    </xf>
    <xf numFmtId="0" fontId="12" fillId="0" borderId="5" xfId="0" applyFont="1" applyBorder="1" applyAlignment="1">
      <alignment horizontal="right" vertical="center"/>
    </xf>
    <xf numFmtId="0" fontId="12" fillId="0" borderId="5" xfId="0" applyFont="1" applyBorder="1" applyAlignment="1">
      <alignment horizontal="center" vertical="center"/>
    </xf>
    <xf numFmtId="0" fontId="12" fillId="0" borderId="5" xfId="0" applyFont="1" applyBorder="1" applyAlignment="1">
      <alignment vertical="center" wrapText="1"/>
    </xf>
    <xf numFmtId="0" fontId="12" fillId="0" borderId="5" xfId="0" applyFont="1" applyBorder="1" applyAlignment="1">
      <alignment horizontal="left" vertical="center"/>
    </xf>
    <xf numFmtId="0" fontId="12" fillId="0" borderId="5" xfId="0" applyFont="1" applyBorder="1" applyAlignment="1">
      <alignment vertical="center"/>
    </xf>
    <xf numFmtId="0" fontId="12" fillId="0" borderId="4" xfId="0" applyFont="1" applyBorder="1" applyAlignment="1">
      <alignment horizontal="right" vertical="center"/>
    </xf>
    <xf numFmtId="0" fontId="12" fillId="0" borderId="4" xfId="0" applyFont="1" applyBorder="1" applyAlignment="1">
      <alignment horizontal="center" vertical="center"/>
    </xf>
    <xf numFmtId="0" fontId="12" fillId="0" borderId="4" xfId="0" applyFont="1" applyBorder="1" applyAlignment="1">
      <alignment vertical="center" wrapText="1"/>
    </xf>
    <xf numFmtId="0" fontId="12" fillId="0" borderId="4" xfId="0" applyFont="1" applyBorder="1" applyAlignment="1">
      <alignment horizontal="left" vertical="center"/>
    </xf>
    <xf numFmtId="0" fontId="12" fillId="0" borderId="4" xfId="0" applyFont="1" applyBorder="1" applyAlignment="1">
      <alignment vertical="center"/>
    </xf>
    <xf numFmtId="0" fontId="12" fillId="0" borderId="3" xfId="0" applyFont="1" applyBorder="1" applyAlignment="1">
      <alignment horizontal="center" vertical="center"/>
    </xf>
    <xf numFmtId="0" fontId="12" fillId="0" borderId="3" xfId="0" applyFont="1" applyBorder="1" applyAlignment="1">
      <alignment vertical="center" wrapText="1"/>
    </xf>
    <xf numFmtId="0" fontId="12" fillId="0" borderId="3" xfId="0" applyFont="1" applyBorder="1" applyAlignment="1">
      <alignment horizontal="left" vertical="center"/>
    </xf>
    <xf numFmtId="0" fontId="12" fillId="0" borderId="3" xfId="0" applyFont="1" applyBorder="1" applyAlignment="1">
      <alignment vertical="center"/>
    </xf>
    <xf numFmtId="0" fontId="10" fillId="0" borderId="0" xfId="0" applyFont="1" applyAlignment="1">
      <alignment vertical="center"/>
    </xf>
    <xf numFmtId="14" fontId="17" fillId="0" borderId="0" xfId="0" applyNumberFormat="1" applyFont="1" applyAlignment="1">
      <alignment horizontal="left"/>
    </xf>
    <xf numFmtId="0" fontId="2" fillId="4" borderId="2" xfId="0" applyFont="1" applyFill="1" applyBorder="1" applyAlignment="1">
      <alignment vertical="center" wrapText="1"/>
    </xf>
    <xf numFmtId="0" fontId="18" fillId="0" borderId="2" xfId="1" applyFont="1" applyBorder="1" applyAlignment="1">
      <alignment vertical="center" wrapText="1"/>
    </xf>
    <xf numFmtId="0" fontId="10" fillId="0" borderId="0" xfId="0" applyFont="1" applyAlignment="1">
      <alignment horizontal="center" vertical="center"/>
    </xf>
    <xf numFmtId="0" fontId="17" fillId="0" borderId="0" xfId="0" applyFont="1" applyAlignment="1">
      <alignment horizontal="right"/>
    </xf>
    <xf numFmtId="0" fontId="2" fillId="4" borderId="2" xfId="0" applyFont="1" applyFill="1" applyBorder="1" applyAlignment="1">
      <alignment horizontal="center" vertical="center"/>
    </xf>
    <xf numFmtId="0" fontId="10" fillId="0" borderId="0" xfId="0" applyFont="1" applyAlignment="1">
      <alignment horizontal="left" vertical="center"/>
    </xf>
    <xf numFmtId="0" fontId="11" fillId="0" borderId="0" xfId="0" applyFont="1" applyAlignment="1">
      <alignment vertical="center"/>
    </xf>
    <xf numFmtId="0" fontId="2" fillId="4" borderId="2" xfId="0" applyFont="1" applyFill="1" applyBorder="1" applyAlignment="1">
      <alignment horizontal="left" vertical="center"/>
    </xf>
    <xf numFmtId="16" fontId="2" fillId="4" borderId="2" xfId="0" quotePrefix="1" applyNumberFormat="1" applyFont="1" applyFill="1" applyBorder="1" applyAlignment="1">
      <alignment vertical="center"/>
    </xf>
    <xf numFmtId="0" fontId="19" fillId="0" borderId="0" xfId="0" applyFont="1" applyAlignment="1">
      <alignment horizontal="left" vertical="center"/>
    </xf>
    <xf numFmtId="0" fontId="3" fillId="0" borderId="0" xfId="0" applyFont="1" applyAlignment="1">
      <alignment horizontal="left" vertical="center"/>
    </xf>
    <xf numFmtId="0" fontId="20" fillId="0" borderId="2" xfId="1" applyFont="1" applyBorder="1" applyAlignment="1">
      <alignment vertical="center" wrapText="1"/>
    </xf>
    <xf numFmtId="0" fontId="9" fillId="6" borderId="2" xfId="2" applyFont="1" applyFill="1" applyBorder="1" applyAlignment="1">
      <alignment vertical="top"/>
    </xf>
    <xf numFmtId="0" fontId="10" fillId="6" borderId="2" xfId="2" applyFont="1" applyFill="1" applyBorder="1" applyAlignment="1">
      <alignment vertical="top"/>
    </xf>
    <xf numFmtId="0" fontId="14" fillId="0" borderId="2" xfId="2" applyFont="1" applyBorder="1" applyAlignment="1">
      <alignment vertical="top"/>
    </xf>
    <xf numFmtId="0" fontId="12" fillId="0" borderId="2" xfId="2" applyFont="1" applyBorder="1" applyAlignment="1">
      <alignment vertical="top"/>
    </xf>
    <xf numFmtId="0" fontId="21" fillId="0" borderId="2" xfId="2" applyFont="1" applyBorder="1" applyAlignment="1">
      <alignment vertical="top"/>
    </xf>
    <xf numFmtId="0" fontId="22" fillId="0" borderId="2" xfId="2" applyFont="1" applyBorder="1" applyAlignment="1">
      <alignment vertical="top"/>
    </xf>
    <xf numFmtId="0" fontId="0" fillId="0" borderId="0" xfId="0" applyAlignment="1">
      <alignment horizontal="center"/>
    </xf>
    <xf numFmtId="0" fontId="23" fillId="6" borderId="0" xfId="0" applyFont="1" applyFill="1" applyAlignment="1">
      <alignment horizontal="center"/>
    </xf>
    <xf numFmtId="0" fontId="1" fillId="7" borderId="0" xfId="0" applyFont="1" applyFill="1" applyAlignment="1">
      <alignment horizontal="center"/>
    </xf>
    <xf numFmtId="0" fontId="24" fillId="6" borderId="0" xfId="0" applyFont="1" applyFill="1" applyAlignment="1">
      <alignment horizontal="center"/>
    </xf>
    <xf numFmtId="9" fontId="0" fillId="0" borderId="0" xfId="0" applyNumberFormat="1"/>
    <xf numFmtId="0" fontId="10" fillId="0" borderId="0" xfId="2" applyFont="1" applyAlignment="1">
      <alignment vertical="top"/>
    </xf>
    <xf numFmtId="0" fontId="22" fillId="0" borderId="0" xfId="2" applyFont="1" applyAlignment="1">
      <alignment vertical="top"/>
    </xf>
    <xf numFmtId="0" fontId="12" fillId="0" borderId="0" xfId="2" applyFont="1" applyAlignment="1">
      <alignment vertical="top"/>
    </xf>
    <xf numFmtId="0" fontId="0" fillId="0" borderId="0" xfId="0" quotePrefix="1" applyAlignment="1">
      <alignment horizontal="right"/>
    </xf>
    <xf numFmtId="0" fontId="0" fillId="0" borderId="0" xfId="0" applyAlignment="1">
      <alignment wrapText="1"/>
    </xf>
    <xf numFmtId="0" fontId="1" fillId="0" borderId="0" xfId="0" applyFont="1"/>
    <xf numFmtId="0" fontId="15" fillId="8" borderId="0" xfId="0" applyFont="1" applyFill="1"/>
    <xf numFmtId="0" fontId="23" fillId="7" borderId="0" xfId="0" applyFont="1" applyFill="1"/>
    <xf numFmtId="9" fontId="1" fillId="0" borderId="0" xfId="0" applyNumberFormat="1" applyFont="1"/>
    <xf numFmtId="9" fontId="23" fillId="6" borderId="0" xfId="0" applyNumberFormat="1" applyFont="1" applyFill="1" applyAlignment="1">
      <alignment horizontal="center"/>
    </xf>
    <xf numFmtId="0" fontId="23" fillId="6" borderId="0" xfId="0" applyFont="1" applyFill="1"/>
    <xf numFmtId="0" fontId="25" fillId="9" borderId="0" xfId="0" applyFont="1" applyFill="1"/>
    <xf numFmtId="0" fontId="1" fillId="10" borderId="0" xfId="0" applyFont="1" applyFill="1"/>
    <xf numFmtId="0" fontId="23" fillId="9" borderId="0" xfId="0" applyFont="1" applyFill="1"/>
    <xf numFmtId="0" fontId="14" fillId="6" borderId="2" xfId="2" applyFont="1" applyFill="1" applyBorder="1" applyAlignment="1">
      <alignment vertical="top"/>
    </xf>
    <xf numFmtId="0" fontId="28" fillId="6" borderId="2" xfId="2" applyFont="1" applyFill="1" applyBorder="1" applyAlignment="1">
      <alignment vertical="top"/>
    </xf>
    <xf numFmtId="0" fontId="29" fillId="6" borderId="2" xfId="2" applyFont="1" applyFill="1" applyBorder="1" applyAlignment="1">
      <alignment vertical="top"/>
    </xf>
    <xf numFmtId="0" fontId="26" fillId="6" borderId="2" xfId="2" applyFont="1" applyFill="1" applyBorder="1" applyAlignment="1">
      <alignment vertical="top"/>
    </xf>
    <xf numFmtId="0" fontId="27" fillId="6" borderId="2" xfId="2" applyFont="1" applyFill="1" applyBorder="1" applyAlignment="1">
      <alignment vertical="top"/>
    </xf>
    <xf numFmtId="0" fontId="6" fillId="0" borderId="1" xfId="2" applyFont="1" applyBorder="1" applyAlignment="1">
      <alignment vertical="top"/>
    </xf>
    <xf numFmtId="0" fontId="11" fillId="0" borderId="1" xfId="2" applyFont="1" applyBorder="1" applyAlignment="1">
      <alignment vertical="top"/>
    </xf>
    <xf numFmtId="0" fontId="6" fillId="6" borderId="2" xfId="2" applyFont="1" applyFill="1" applyBorder="1" applyAlignment="1">
      <alignment horizontal="left" vertical="top"/>
    </xf>
    <xf numFmtId="0" fontId="11" fillId="6" borderId="2" xfId="2" applyFont="1" applyFill="1" applyBorder="1" applyAlignment="1">
      <alignment horizontal="left" vertical="top"/>
    </xf>
    <xf numFmtId="0" fontId="30" fillId="0" borderId="0" xfId="0" applyFont="1" applyAlignment="1">
      <alignment wrapText="1"/>
    </xf>
    <xf numFmtId="0" fontId="31" fillId="0" borderId="0" xfId="0" applyFont="1" applyAlignment="1">
      <alignment horizontal="left"/>
    </xf>
    <xf numFmtId="0" fontId="32" fillId="0" borderId="0" xfId="0" applyFont="1" applyAlignment="1">
      <alignment wrapText="1"/>
    </xf>
    <xf numFmtId="0" fontId="33" fillId="6" borderId="2" xfId="2" applyFont="1" applyFill="1" applyBorder="1" applyAlignment="1">
      <alignment vertical="top"/>
    </xf>
    <xf numFmtId="0" fontId="9" fillId="11" borderId="2" xfId="2" applyFont="1" applyFill="1" applyBorder="1" applyAlignment="1">
      <alignment vertical="top"/>
    </xf>
    <xf numFmtId="0" fontId="10" fillId="11" borderId="2" xfId="2" applyFont="1" applyFill="1" applyBorder="1" applyAlignment="1">
      <alignment vertical="top"/>
    </xf>
    <xf numFmtId="0" fontId="11" fillId="0" borderId="2" xfId="0" applyFont="1" applyBorder="1" applyAlignment="1">
      <alignment vertical="center"/>
    </xf>
    <xf numFmtId="0" fontId="11" fillId="0" borderId="2" xfId="0" quotePrefix="1" applyFont="1" applyBorder="1" applyAlignment="1">
      <alignment vertical="center" wrapText="1"/>
    </xf>
    <xf numFmtId="0" fontId="12" fillId="6" borderId="2" xfId="0" applyFont="1" applyFill="1" applyBorder="1" applyAlignment="1">
      <alignment horizontal="center" vertical="center"/>
    </xf>
    <xf numFmtId="0" fontId="6" fillId="6" borderId="2" xfId="0" applyFont="1" applyFill="1" applyBorder="1" applyAlignment="1">
      <alignment horizontal="center" vertical="center"/>
    </xf>
    <xf numFmtId="0" fontId="12" fillId="6" borderId="2" xfId="0" applyFont="1" applyFill="1" applyBorder="1" applyAlignment="1">
      <alignment vertical="center" wrapText="1"/>
    </xf>
    <xf numFmtId="0" fontId="12" fillId="6" borderId="2" xfId="0" applyFont="1" applyFill="1" applyBorder="1" applyAlignment="1">
      <alignment horizontal="left" vertical="center"/>
    </xf>
    <xf numFmtId="0" fontId="12" fillId="6" borderId="2" xfId="0" applyFont="1" applyFill="1" applyBorder="1" applyAlignment="1">
      <alignment vertical="center"/>
    </xf>
    <xf numFmtId="0" fontId="11" fillId="6" borderId="2" xfId="0" quotePrefix="1" applyFont="1" applyFill="1" applyBorder="1" applyAlignment="1">
      <alignment vertical="center" wrapText="1"/>
    </xf>
    <xf numFmtId="164" fontId="23" fillId="6" borderId="0" xfId="3" applyNumberFormat="1" applyFont="1" applyFill="1" applyAlignment="1">
      <alignment vertical="top"/>
    </xf>
    <xf numFmtId="0" fontId="6" fillId="0" borderId="0" xfId="2" applyFont="1"/>
    <xf numFmtId="165" fontId="0" fillId="0" borderId="0" xfId="4" applyNumberFormat="1" applyFont="1"/>
    <xf numFmtId="9" fontId="0" fillId="0" borderId="0" xfId="3" applyFont="1"/>
    <xf numFmtId="0" fontId="0" fillId="6" borderId="0" xfId="0" applyFill="1"/>
    <xf numFmtId="0" fontId="0" fillId="8" borderId="0" xfId="0" applyFill="1"/>
    <xf numFmtId="0" fontId="35" fillId="0" borderId="0" xfId="0" applyFont="1" applyAlignment="1">
      <alignment vertical="center"/>
    </xf>
    <xf numFmtId="0" fontId="36" fillId="0" borderId="0" xfId="0" applyFont="1" applyAlignment="1">
      <alignment vertical="center"/>
    </xf>
    <xf numFmtId="0" fontId="0" fillId="9" borderId="0" xfId="0" applyFill="1"/>
    <xf numFmtId="0" fontId="5" fillId="6" borderId="0" xfId="0" applyFont="1" applyFill="1" applyAlignment="1">
      <alignment horizontal="center"/>
    </xf>
    <xf numFmtId="0" fontId="0" fillId="0" borderId="6" xfId="0" applyBorder="1"/>
    <xf numFmtId="9" fontId="0" fillId="0" borderId="6" xfId="0" applyNumberFormat="1" applyBorder="1"/>
    <xf numFmtId="0" fontId="34" fillId="2" borderId="0" xfId="0" applyFont="1" applyFill="1"/>
    <xf numFmtId="0" fontId="15" fillId="6" borderId="0" xfId="0" applyFont="1" applyFill="1"/>
    <xf numFmtId="0" fontId="15" fillId="0" borderId="0" xfId="0" applyFont="1"/>
    <xf numFmtId="9" fontId="15" fillId="0" borderId="6" xfId="3" applyFont="1" applyBorder="1"/>
    <xf numFmtId="0" fontId="15" fillId="0" borderId="0" xfId="0" applyFont="1" applyAlignment="1">
      <alignment horizontal="center"/>
    </xf>
    <xf numFmtId="9" fontId="23" fillId="6" borderId="6" xfId="3" applyFont="1" applyFill="1" applyBorder="1"/>
    <xf numFmtId="9" fontId="5" fillId="0" borderId="6" xfId="0" applyNumberFormat="1" applyFont="1" applyBorder="1"/>
    <xf numFmtId="9" fontId="0" fillId="9" borderId="0" xfId="0" applyNumberFormat="1" applyFill="1"/>
    <xf numFmtId="0" fontId="15" fillId="9" borderId="0" xfId="0" applyFont="1" applyFill="1"/>
    <xf numFmtId="9" fontId="37" fillId="9" borderId="0" xfId="0" applyNumberFormat="1" applyFont="1" applyFill="1"/>
    <xf numFmtId="165" fontId="13" fillId="6" borderId="0" xfId="4" applyNumberFormat="1" applyFont="1" applyFill="1"/>
    <xf numFmtId="165" fontId="0" fillId="0" borderId="0" xfId="0" applyNumberFormat="1"/>
    <xf numFmtId="37" fontId="34" fillId="12" borderId="0" xfId="0" applyNumberFormat="1" applyFont="1" applyFill="1"/>
    <xf numFmtId="37" fontId="0" fillId="0" borderId="0" xfId="0" applyNumberFormat="1"/>
    <xf numFmtId="0" fontId="23" fillId="0" borderId="0" xfId="0" applyFont="1"/>
    <xf numFmtId="165" fontId="0" fillId="0" borderId="6" xfId="4" applyNumberFormat="1" applyFont="1" applyBorder="1"/>
    <xf numFmtId="0" fontId="0" fillId="13" borderId="0" xfId="0" applyFill="1"/>
    <xf numFmtId="165" fontId="0" fillId="13" borderId="6" xfId="4" applyNumberFormat="1" applyFont="1" applyFill="1" applyBorder="1"/>
    <xf numFmtId="165" fontId="23" fillId="7" borderId="6" xfId="4" applyNumberFormat="1" applyFont="1" applyFill="1" applyBorder="1"/>
    <xf numFmtId="9" fontId="0" fillId="13" borderId="6" xfId="0" applyNumberFormat="1" applyFill="1" applyBorder="1"/>
    <xf numFmtId="165" fontId="0" fillId="14" borderId="6" xfId="4" applyNumberFormat="1" applyFont="1" applyFill="1" applyBorder="1"/>
    <xf numFmtId="0" fontId="0" fillId="0" borderId="5" xfId="0" applyBorder="1"/>
    <xf numFmtId="49" fontId="2" fillId="15" borderId="7" xfId="0" applyNumberFormat="1" applyFont="1" applyFill="1" applyBorder="1" applyAlignment="1">
      <alignment horizontal="center" vertical="center" wrapText="1"/>
    </xf>
    <xf numFmtId="49" fontId="6" fillId="16" borderId="0" xfId="0" applyNumberFormat="1" applyFont="1" applyFill="1" applyAlignment="1">
      <alignment horizontal="center" vertical="center" wrapText="1"/>
    </xf>
    <xf numFmtId="49" fontId="2" fillId="15" borderId="0" xfId="0" applyNumberFormat="1" applyFont="1" applyFill="1" applyAlignment="1">
      <alignment horizontal="center" vertical="center" wrapText="1"/>
    </xf>
    <xf numFmtId="49" fontId="1" fillId="0" borderId="8" xfId="0" applyNumberFormat="1" applyFont="1" applyBorder="1"/>
    <xf numFmtId="0" fontId="1" fillId="0" borderId="9" xfId="0" applyFont="1" applyBorder="1"/>
    <xf numFmtId="166" fontId="1" fillId="0" borderId="10" xfId="3" applyNumberFormat="1" applyFont="1" applyFill="1" applyBorder="1"/>
    <xf numFmtId="165" fontId="5" fillId="0" borderId="0" xfId="4" applyNumberFormat="1" applyFont="1"/>
    <xf numFmtId="165" fontId="0" fillId="14" borderId="0" xfId="4" applyNumberFormat="1" applyFont="1" applyFill="1"/>
    <xf numFmtId="9" fontId="0" fillId="14" borderId="0" xfId="3" applyFont="1" applyFill="1"/>
    <xf numFmtId="165" fontId="0" fillId="14" borderId="0" xfId="0" applyNumberFormat="1" applyFill="1"/>
    <xf numFmtId="10" fontId="0" fillId="0" borderId="0" xfId="3" applyNumberFormat="1" applyFont="1"/>
    <xf numFmtId="165" fontId="5" fillId="7" borderId="0" xfId="4" applyNumberFormat="1" applyFont="1" applyFill="1"/>
    <xf numFmtId="164" fontId="0" fillId="0" borderId="0" xfId="3" applyNumberFormat="1" applyFont="1"/>
    <xf numFmtId="164" fontId="38" fillId="0" borderId="0" xfId="3" applyNumberFormat="1" applyFont="1"/>
    <xf numFmtId="166" fontId="1" fillId="0" borderId="10" xfId="3" applyNumberFormat="1" applyFont="1" applyBorder="1"/>
    <xf numFmtId="164" fontId="5" fillId="7" borderId="0" xfId="3" applyNumberFormat="1" applyFont="1" applyFill="1"/>
    <xf numFmtId="164" fontId="5" fillId="0" borderId="0" xfId="3" applyNumberFormat="1" applyFont="1"/>
    <xf numFmtId="0" fontId="1" fillId="0" borderId="11" xfId="0" applyFont="1" applyBorder="1"/>
    <xf numFmtId="166" fontId="1" fillId="0" borderId="12" xfId="3" applyNumberFormat="1" applyFont="1" applyBorder="1"/>
    <xf numFmtId="165" fontId="37" fillId="0" borderId="0" xfId="0" applyNumberFormat="1" applyFont="1"/>
    <xf numFmtId="10" fontId="37" fillId="0" borderId="0" xfId="3" applyNumberFormat="1" applyFont="1"/>
    <xf numFmtId="0" fontId="23" fillId="0" borderId="0" xfId="0" applyFont="1" applyAlignment="1">
      <alignment wrapText="1"/>
    </xf>
    <xf numFmtId="166" fontId="1" fillId="0" borderId="0" xfId="0" applyNumberFormat="1" applyFont="1"/>
    <xf numFmtId="165" fontId="1" fillId="0" borderId="0" xfId="4" applyNumberFormat="1" applyFont="1" applyFill="1"/>
    <xf numFmtId="165" fontId="1" fillId="6" borderId="0" xfId="4" applyNumberFormat="1" applyFont="1" applyFill="1"/>
    <xf numFmtId="9" fontId="0" fillId="6" borderId="0" xfId="3" applyFont="1" applyFill="1"/>
    <xf numFmtId="165" fontId="15" fillId="0" borderId="6" xfId="4" applyNumberFormat="1" applyFont="1" applyBorder="1"/>
    <xf numFmtId="165" fontId="5" fillId="17" borderId="0" xfId="4" applyNumberFormat="1" applyFont="1" applyFill="1"/>
    <xf numFmtId="165" fontId="0" fillId="7" borderId="0" xfId="0" applyNumberFormat="1" applyFill="1"/>
    <xf numFmtId="37" fontId="23" fillId="6" borderId="0" xfId="0" applyNumberFormat="1" applyFont="1" applyFill="1"/>
    <xf numFmtId="1" fontId="0" fillId="0" borderId="0" xfId="0" applyNumberFormat="1"/>
    <xf numFmtId="165" fontId="15" fillId="0" borderId="0" xfId="4" applyNumberFormat="1" applyFont="1" applyBorder="1"/>
    <xf numFmtId="0" fontId="15" fillId="0" borderId="0" xfId="0" applyFont="1" applyAlignment="1">
      <alignment wrapText="1"/>
    </xf>
    <xf numFmtId="0" fontId="23" fillId="0" borderId="0" xfId="0" applyFont="1" applyAlignment="1">
      <alignment horizontal="center"/>
    </xf>
    <xf numFmtId="165" fontId="23" fillId="0" borderId="0" xfId="4" applyNumberFormat="1" applyFont="1" applyBorder="1"/>
    <xf numFmtId="37" fontId="15" fillId="6" borderId="0" xfId="0" applyNumberFormat="1" applyFont="1" applyFill="1"/>
    <xf numFmtId="165" fontId="23" fillId="0" borderId="6" xfId="4" applyNumberFormat="1" applyFont="1" applyBorder="1"/>
    <xf numFmtId="9" fontId="0" fillId="0" borderId="6" xfId="3" applyFont="1" applyBorder="1"/>
    <xf numFmtId="0" fontId="5" fillId="6" borderId="0" xfId="0" applyFont="1" applyFill="1"/>
    <xf numFmtId="0" fontId="5" fillId="0" borderId="6" xfId="0" applyFont="1" applyBorder="1"/>
    <xf numFmtId="0" fontId="5" fillId="0" borderId="0" xfId="0" applyFont="1"/>
    <xf numFmtId="165" fontId="5" fillId="6" borderId="0" xfId="4" applyNumberFormat="1" applyFont="1" applyFill="1"/>
    <xf numFmtId="165" fontId="5" fillId="0" borderId="0" xfId="0" applyNumberFormat="1" applyFont="1"/>
    <xf numFmtId="1" fontId="0" fillId="6" borderId="0" xfId="0" applyNumberFormat="1" applyFill="1"/>
    <xf numFmtId="164" fontId="23" fillId="6" borderId="0" xfId="3" applyNumberFormat="1" applyFont="1" applyFill="1"/>
    <xf numFmtId="10" fontId="5" fillId="0" borderId="0" xfId="3" applyNumberFormat="1" applyFont="1"/>
    <xf numFmtId="9" fontId="15" fillId="6" borderId="0" xfId="3" applyFont="1" applyFill="1"/>
    <xf numFmtId="9" fontId="15" fillId="0" borderId="0" xfId="0" applyNumberFormat="1" applyFont="1"/>
    <xf numFmtId="0" fontId="15" fillId="6" borderId="0" xfId="0" applyFont="1" applyFill="1" applyAlignment="1">
      <alignment horizontal="right"/>
    </xf>
    <xf numFmtId="0" fontId="24" fillId="0" borderId="0" xfId="0" applyFont="1" applyAlignment="1">
      <alignment horizontal="center" wrapText="1"/>
    </xf>
    <xf numFmtId="0" fontId="24" fillId="0" borderId="0" xfId="0" applyFont="1"/>
    <xf numFmtId="0" fontId="24" fillId="0" borderId="0" xfId="0" applyFont="1" applyAlignment="1">
      <alignment horizontal="center"/>
    </xf>
    <xf numFmtId="37" fontId="24" fillId="6" borderId="0" xfId="0" applyNumberFormat="1" applyFont="1" applyFill="1"/>
    <xf numFmtId="165" fontId="24" fillId="0" borderId="0" xfId="4" applyNumberFormat="1" applyFont="1" applyBorder="1"/>
    <xf numFmtId="165" fontId="23" fillId="0" borderId="0" xfId="4" applyNumberFormat="1" applyFont="1"/>
    <xf numFmtId="165" fontId="15" fillId="0" borderId="0" xfId="0" applyNumberFormat="1" applyFont="1"/>
    <xf numFmtId="0" fontId="5" fillId="6" borderId="0" xfId="0" applyFont="1" applyFill="1" applyAlignment="1">
      <alignment horizontal="right" vertical="center"/>
    </xf>
    <xf numFmtId="165" fontId="30" fillId="0" borderId="0" xfId="4" applyNumberFormat="1" applyFont="1"/>
    <xf numFmtId="165" fontId="13" fillId="0" borderId="0" xfId="4" applyNumberFormat="1" applyFont="1"/>
    <xf numFmtId="165" fontId="1" fillId="0" borderId="0" xfId="4" applyNumberFormat="1" applyFont="1"/>
    <xf numFmtId="165" fontId="0" fillId="0" borderId="0" xfId="0" applyNumberFormat="1" applyAlignment="1">
      <alignment horizontal="center" vertical="center"/>
    </xf>
    <xf numFmtId="164" fontId="0" fillId="0" borderId="0" xfId="3" applyNumberFormat="1" applyFont="1" applyAlignment="1">
      <alignment horizontal="center" vertical="center"/>
    </xf>
    <xf numFmtId="0" fontId="1" fillId="0" borderId="0" xfId="0" applyFont="1" applyAlignment="1">
      <alignment horizontal="center" vertical="center"/>
    </xf>
    <xf numFmtId="9" fontId="23" fillId="17" borderId="0" xfId="0" applyNumberFormat="1" applyFont="1" applyFill="1"/>
    <xf numFmtId="165" fontId="23" fillId="0" borderId="0" xfId="0" applyNumberFormat="1" applyFont="1"/>
    <xf numFmtId="0" fontId="1" fillId="17" borderId="0" xfId="0" applyFont="1" applyFill="1" applyAlignment="1">
      <alignment horizontal="center" vertical="center"/>
    </xf>
    <xf numFmtId="0" fontId="23" fillId="0" borderId="0" xfId="0" applyFont="1" applyAlignment="1">
      <alignment horizontal="center" vertical="center"/>
    </xf>
    <xf numFmtId="9" fontId="15" fillId="0" borderId="0" xfId="3" applyFont="1" applyBorder="1"/>
    <xf numFmtId="9" fontId="23" fillId="0" borderId="0" xfId="3" applyFont="1" applyBorder="1"/>
    <xf numFmtId="0" fontId="5" fillId="6" borderId="0" xfId="0" applyFont="1" applyFill="1" applyAlignment="1">
      <alignment vertical="center"/>
    </xf>
    <xf numFmtId="0" fontId="39" fillId="0" borderId="0" xfId="0" applyFont="1" applyAlignment="1">
      <alignment vertical="center"/>
    </xf>
    <xf numFmtId="0" fontId="42" fillId="0" borderId="16" xfId="0" applyFont="1" applyBorder="1" applyAlignment="1">
      <alignment vertical="center"/>
    </xf>
    <xf numFmtId="0" fontId="42" fillId="0" borderId="17" xfId="0" applyFont="1" applyBorder="1" applyAlignment="1">
      <alignment horizontal="right" vertical="center"/>
    </xf>
    <xf numFmtId="165" fontId="39" fillId="0" borderId="0" xfId="4" applyNumberFormat="1" applyFont="1" applyAlignment="1">
      <alignment vertical="center"/>
    </xf>
    <xf numFmtId="0" fontId="43" fillId="5" borderId="7" xfId="5" applyFont="1" applyFill="1" applyBorder="1" applyAlignment="1">
      <alignment horizontal="center" vertical="center" wrapText="1"/>
    </xf>
    <xf numFmtId="0" fontId="43" fillId="18" borderId="25" xfId="5" applyFont="1" applyFill="1" applyBorder="1" applyAlignment="1">
      <alignment horizontal="center" vertical="center" wrapText="1"/>
    </xf>
    <xf numFmtId="0" fontId="43" fillId="18" borderId="5" xfId="5" applyFont="1" applyFill="1" applyBorder="1" applyAlignment="1">
      <alignment horizontal="center" vertical="center" wrapText="1"/>
    </xf>
    <xf numFmtId="0" fontId="43" fillId="18" borderId="7" xfId="5" applyFont="1" applyFill="1" applyBorder="1" applyAlignment="1">
      <alignment horizontal="center" vertical="center" wrapText="1"/>
    </xf>
    <xf numFmtId="0" fontId="43" fillId="18" borderId="5" xfId="0" applyFont="1" applyFill="1" applyBorder="1" applyAlignment="1">
      <alignment horizontal="center" vertical="center" wrapText="1"/>
    </xf>
    <xf numFmtId="0" fontId="43" fillId="18" borderId="26" xfId="0" applyFont="1" applyFill="1" applyBorder="1" applyAlignment="1">
      <alignment horizontal="center" vertical="center" wrapText="1"/>
    </xf>
    <xf numFmtId="0" fontId="44" fillId="19" borderId="27" xfId="5" applyFont="1" applyFill="1" applyBorder="1" applyAlignment="1">
      <alignment horizontal="left" vertical="center" wrapText="1"/>
    </xf>
    <xf numFmtId="0" fontId="44" fillId="19" borderId="1" xfId="5" applyFont="1" applyFill="1" applyBorder="1" applyAlignment="1">
      <alignment horizontal="left" vertical="center" wrapText="1"/>
    </xf>
    <xf numFmtId="165" fontId="44" fillId="19" borderId="1" xfId="4" applyNumberFormat="1" applyFont="1" applyFill="1" applyBorder="1" applyAlignment="1">
      <alignment horizontal="left" vertical="center" wrapText="1"/>
    </xf>
    <xf numFmtId="9" fontId="44" fillId="19" borderId="1" xfId="5" applyNumberFormat="1" applyFont="1" applyFill="1" applyBorder="1" applyAlignment="1">
      <alignment horizontal="center" vertical="center" wrapText="1"/>
    </xf>
    <xf numFmtId="165" fontId="44" fillId="19" borderId="1" xfId="4" applyNumberFormat="1" applyFont="1" applyFill="1" applyBorder="1" applyAlignment="1">
      <alignment horizontal="center" vertical="center" wrapText="1"/>
    </xf>
    <xf numFmtId="165" fontId="45" fillId="19" borderId="1" xfId="4" quotePrefix="1" applyNumberFormat="1" applyFont="1" applyFill="1" applyBorder="1" applyAlignment="1">
      <alignment horizontal="center" vertical="center" wrapText="1"/>
    </xf>
    <xf numFmtId="165" fontId="45" fillId="19" borderId="28" xfId="4" quotePrefix="1" applyNumberFormat="1" applyFont="1" applyFill="1" applyBorder="1" applyAlignment="1">
      <alignment horizontal="center" vertical="center" wrapText="1"/>
    </xf>
    <xf numFmtId="165" fontId="39" fillId="0" borderId="0" xfId="0" applyNumberFormat="1" applyFont="1" applyAlignment="1">
      <alignment vertical="center"/>
    </xf>
    <xf numFmtId="0" fontId="44" fillId="19" borderId="29" xfId="5" applyFont="1" applyFill="1" applyBorder="1" applyAlignment="1">
      <alignment horizontal="left" vertical="center" wrapText="1"/>
    </xf>
    <xf numFmtId="0" fontId="44" fillId="19" borderId="2" xfId="5" applyFont="1" applyFill="1" applyBorder="1" applyAlignment="1">
      <alignment horizontal="left" vertical="center" wrapText="1"/>
    </xf>
    <xf numFmtId="165" fontId="44" fillId="19" borderId="2" xfId="4" applyNumberFormat="1" applyFont="1" applyFill="1" applyBorder="1" applyAlignment="1">
      <alignment horizontal="center" vertical="center" wrapText="1"/>
    </xf>
    <xf numFmtId="165" fontId="44" fillId="19" borderId="2" xfId="4" applyNumberFormat="1" applyFont="1" applyFill="1" applyBorder="1" applyAlignment="1">
      <alignment horizontal="left" vertical="center" wrapText="1"/>
    </xf>
    <xf numFmtId="165" fontId="45" fillId="19" borderId="2" xfId="4" quotePrefix="1" applyNumberFormat="1" applyFont="1" applyFill="1" applyBorder="1" applyAlignment="1">
      <alignment horizontal="center" vertical="center" wrapText="1"/>
    </xf>
    <xf numFmtId="165" fontId="45" fillId="19" borderId="30" xfId="4" quotePrefix="1" applyNumberFormat="1" applyFont="1" applyFill="1" applyBorder="1" applyAlignment="1">
      <alignment horizontal="center" vertical="center" wrapText="1"/>
    </xf>
    <xf numFmtId="0" fontId="44" fillId="19" borderId="31" xfId="5" applyFont="1" applyFill="1" applyBorder="1" applyAlignment="1">
      <alignment horizontal="left" vertical="center" wrapText="1"/>
    </xf>
    <xf numFmtId="0" fontId="44" fillId="19" borderId="3" xfId="5" applyFont="1" applyFill="1" applyBorder="1" applyAlignment="1">
      <alignment horizontal="left" vertical="center" wrapText="1"/>
    </xf>
    <xf numFmtId="165" fontId="44" fillId="19" borderId="3" xfId="4" applyNumberFormat="1" applyFont="1" applyFill="1" applyBorder="1" applyAlignment="1">
      <alignment horizontal="center" vertical="center" wrapText="1"/>
    </xf>
    <xf numFmtId="165" fontId="44" fillId="19" borderId="3" xfId="4" applyNumberFormat="1" applyFont="1" applyFill="1" applyBorder="1" applyAlignment="1">
      <alignment horizontal="left" vertical="center" wrapText="1"/>
    </xf>
    <xf numFmtId="165" fontId="45" fillId="19" borderId="3" xfId="4" quotePrefix="1" applyNumberFormat="1" applyFont="1" applyFill="1" applyBorder="1" applyAlignment="1">
      <alignment horizontal="center" vertical="center" wrapText="1"/>
    </xf>
    <xf numFmtId="165" fontId="45" fillId="19" borderId="32" xfId="4" quotePrefix="1" applyNumberFormat="1" applyFont="1" applyFill="1" applyBorder="1" applyAlignment="1">
      <alignment horizontal="center" vertical="center" wrapText="1"/>
    </xf>
    <xf numFmtId="0" fontId="44" fillId="19" borderId="33" xfId="5" applyFont="1" applyFill="1" applyBorder="1" applyAlignment="1">
      <alignment horizontal="left" vertical="center" wrapText="1"/>
    </xf>
    <xf numFmtId="0" fontId="44" fillId="19" borderId="34" xfId="5" applyFont="1" applyFill="1" applyBorder="1" applyAlignment="1">
      <alignment horizontal="left" vertical="center" wrapText="1"/>
    </xf>
    <xf numFmtId="165" fontId="44" fillId="19" borderId="34" xfId="4" applyNumberFormat="1" applyFont="1" applyFill="1" applyBorder="1" applyAlignment="1">
      <alignment horizontal="left" vertical="center" wrapText="1"/>
    </xf>
    <xf numFmtId="9" fontId="44" fillId="19" borderId="34" xfId="5" applyNumberFormat="1" applyFont="1" applyFill="1" applyBorder="1" applyAlignment="1">
      <alignment horizontal="center" vertical="center" wrapText="1"/>
    </xf>
    <xf numFmtId="165" fontId="44" fillId="19" borderId="34" xfId="4" applyNumberFormat="1" applyFont="1" applyFill="1" applyBorder="1" applyAlignment="1">
      <alignment horizontal="center" vertical="center" wrapText="1"/>
    </xf>
    <xf numFmtId="165" fontId="45" fillId="19" borderId="34" xfId="4" quotePrefix="1" applyNumberFormat="1" applyFont="1" applyFill="1" applyBorder="1" applyAlignment="1">
      <alignment horizontal="center" vertical="center" wrapText="1"/>
    </xf>
    <xf numFmtId="165" fontId="45" fillId="19" borderId="35" xfId="4" quotePrefix="1" applyNumberFormat="1" applyFont="1" applyFill="1" applyBorder="1" applyAlignment="1">
      <alignment horizontal="center" vertical="center" wrapText="1"/>
    </xf>
    <xf numFmtId="0" fontId="46" fillId="5" borderId="6" xfId="0" applyFont="1" applyFill="1" applyBorder="1" applyAlignment="1">
      <alignment horizontal="center" vertical="center"/>
    </xf>
    <xf numFmtId="0" fontId="46" fillId="5" borderId="6" xfId="0" applyFont="1" applyFill="1" applyBorder="1" applyAlignment="1">
      <alignment vertical="center"/>
    </xf>
    <xf numFmtId="0" fontId="47" fillId="19" borderId="6" xfId="5" applyFont="1" applyFill="1" applyBorder="1" applyAlignment="1">
      <alignment horizontal="center" vertical="center" wrapText="1"/>
    </xf>
    <xf numFmtId="0" fontId="47" fillId="19" borderId="6" xfId="5" applyFont="1" applyFill="1" applyBorder="1" applyAlignment="1">
      <alignment horizontal="left" vertical="center" wrapText="1"/>
    </xf>
    <xf numFmtId="165" fontId="47" fillId="19" borderId="6" xfId="4" quotePrefix="1" applyNumberFormat="1" applyFont="1" applyFill="1" applyBorder="1" applyAlignment="1">
      <alignment horizontal="right" vertical="center" wrapText="1"/>
    </xf>
    <xf numFmtId="165" fontId="47" fillId="6" borderId="6" xfId="4" quotePrefix="1" applyNumberFormat="1" applyFont="1" applyFill="1" applyBorder="1" applyAlignment="1">
      <alignment horizontal="right" vertical="center" wrapText="1"/>
    </xf>
    <xf numFmtId="0" fontId="42" fillId="0" borderId="0" xfId="0" applyFont="1" applyAlignment="1">
      <alignment vertical="center"/>
    </xf>
    <xf numFmtId="0" fontId="47" fillId="19" borderId="6" xfId="0" applyFont="1" applyFill="1" applyBorder="1" applyAlignment="1">
      <alignment horizontal="center" vertical="center" wrapText="1"/>
    </xf>
    <xf numFmtId="0" fontId="47" fillId="19" borderId="6" xfId="0" applyFont="1" applyFill="1" applyBorder="1" applyAlignment="1">
      <alignment horizontal="left" vertical="center" wrapText="1" indent="1"/>
    </xf>
    <xf numFmtId="165" fontId="47" fillId="19" borderId="6" xfId="0" applyNumberFormat="1" applyFont="1" applyFill="1" applyBorder="1" applyAlignment="1">
      <alignment horizontal="right" vertical="center"/>
    </xf>
    <xf numFmtId="9" fontId="23" fillId="20" borderId="0" xfId="0" applyNumberFormat="1" applyFont="1" applyFill="1"/>
    <xf numFmtId="0" fontId="24" fillId="20" borderId="0" xfId="0" applyFont="1" applyFill="1" applyAlignment="1">
      <alignment horizontal="center" wrapText="1"/>
    </xf>
    <xf numFmtId="0" fontId="24" fillId="17" borderId="0" xfId="0" applyFont="1" applyFill="1" applyAlignment="1">
      <alignment horizontal="center" wrapText="1"/>
    </xf>
    <xf numFmtId="9" fontId="0" fillId="7" borderId="6" xfId="0" applyNumberFormat="1" applyFill="1" applyBorder="1"/>
    <xf numFmtId="165" fontId="0" fillId="7" borderId="6" xfId="0" applyNumberFormat="1" applyFill="1" applyBorder="1"/>
    <xf numFmtId="165" fontId="0" fillId="7" borderId="6" xfId="4" applyNumberFormat="1" applyFont="1" applyFill="1" applyBorder="1"/>
    <xf numFmtId="165" fontId="24" fillId="6" borderId="0" xfId="4" applyNumberFormat="1" applyFont="1" applyFill="1" applyBorder="1"/>
    <xf numFmtId="165" fontId="24" fillId="6" borderId="0" xfId="0" applyNumberFormat="1" applyFont="1" applyFill="1"/>
    <xf numFmtId="164" fontId="23" fillId="0" borderId="0" xfId="3" applyNumberFormat="1" applyFont="1"/>
    <xf numFmtId="165" fontId="5" fillId="6" borderId="0" xfId="4" applyNumberFormat="1" applyFont="1" applyFill="1" applyAlignment="1">
      <alignment horizontal="right"/>
    </xf>
    <xf numFmtId="165" fontId="5" fillId="6" borderId="0" xfId="0" applyNumberFormat="1" applyFont="1" applyFill="1" applyAlignment="1">
      <alignment horizontal="center" vertical="center"/>
    </xf>
    <xf numFmtId="164" fontId="5" fillId="6" borderId="0" xfId="3" applyNumberFormat="1" applyFont="1" applyFill="1" applyAlignment="1">
      <alignment horizontal="center" vertical="center"/>
    </xf>
    <xf numFmtId="0" fontId="1" fillId="6" borderId="0" xfId="0" applyFont="1" applyFill="1" applyAlignment="1">
      <alignment horizontal="center" vertical="center" wrapText="1"/>
    </xf>
    <xf numFmtId="165" fontId="0" fillId="6" borderId="0" xfId="0" applyNumberFormat="1" applyFill="1"/>
    <xf numFmtId="165" fontId="0" fillId="20" borderId="0" xfId="0" applyNumberFormat="1" applyFill="1"/>
    <xf numFmtId="165" fontId="5" fillId="6" borderId="0" xfId="0" applyNumberFormat="1" applyFont="1" applyFill="1"/>
    <xf numFmtId="164" fontId="5" fillId="6" borderId="0" xfId="3" applyNumberFormat="1" applyFont="1" applyFill="1"/>
    <xf numFmtId="165" fontId="15" fillId="0" borderId="0" xfId="4" applyNumberFormat="1" applyFont="1"/>
    <xf numFmtId="165" fontId="15" fillId="6" borderId="0" xfId="4" applyNumberFormat="1" applyFont="1" applyFill="1"/>
    <xf numFmtId="9" fontId="34" fillId="9" borderId="0" xfId="0" applyNumberFormat="1" applyFont="1" applyFill="1"/>
    <xf numFmtId="9" fontId="23" fillId="6" borderId="0" xfId="3" applyFont="1" applyFill="1"/>
    <xf numFmtId="165" fontId="13" fillId="0" borderId="0" xfId="0" applyNumberFormat="1" applyFont="1"/>
    <xf numFmtId="0" fontId="13" fillId="0" borderId="0" xfId="0" applyFont="1"/>
    <xf numFmtId="9" fontId="13" fillId="0" borderId="0" xfId="3" applyFont="1"/>
    <xf numFmtId="165" fontId="23" fillId="6" borderId="0" xfId="0" applyNumberFormat="1" applyFont="1" applyFill="1"/>
    <xf numFmtId="9" fontId="5" fillId="0" borderId="0" xfId="3" applyFont="1"/>
    <xf numFmtId="0" fontId="48" fillId="0" borderId="0" xfId="0" applyFont="1"/>
    <xf numFmtId="0" fontId="48" fillId="0" borderId="6" xfId="0" applyFont="1" applyBorder="1"/>
    <xf numFmtId="9" fontId="48" fillId="0" borderId="6" xfId="0" applyNumberFormat="1" applyFont="1" applyBorder="1"/>
    <xf numFmtId="165" fontId="48" fillId="0" borderId="6" xfId="4" applyNumberFormat="1" applyFont="1" applyBorder="1"/>
    <xf numFmtId="9" fontId="49" fillId="0" borderId="6" xfId="3" applyFont="1" applyBorder="1"/>
    <xf numFmtId="165" fontId="49" fillId="0" borderId="6" xfId="4" applyNumberFormat="1" applyFont="1" applyBorder="1"/>
    <xf numFmtId="165" fontId="48" fillId="0" borderId="0" xfId="0" applyNumberFormat="1" applyFont="1"/>
    <xf numFmtId="165" fontId="48" fillId="0" borderId="0" xfId="4" applyNumberFormat="1" applyFont="1"/>
    <xf numFmtId="9" fontId="48" fillId="0" borderId="0" xfId="0" applyNumberFormat="1" applyFont="1"/>
    <xf numFmtId="9" fontId="48" fillId="0" borderId="0" xfId="3" applyFont="1"/>
    <xf numFmtId="0" fontId="50" fillId="0" borderId="0" xfId="0" applyFont="1"/>
    <xf numFmtId="165" fontId="50" fillId="0" borderId="0" xfId="0" applyNumberFormat="1" applyFont="1"/>
    <xf numFmtId="9" fontId="50" fillId="0" borderId="0" xfId="3" applyFont="1"/>
    <xf numFmtId="0" fontId="51" fillId="0" borderId="0" xfId="0" applyFont="1"/>
    <xf numFmtId="165" fontId="51" fillId="0" borderId="0" xfId="0" applyNumberFormat="1" applyFont="1"/>
    <xf numFmtId="9" fontId="51" fillId="0" borderId="0" xfId="3" applyFont="1"/>
    <xf numFmtId="165" fontId="0" fillId="0" borderId="0" xfId="0" applyNumberFormat="1" applyAlignment="1">
      <alignment vertical="center"/>
    </xf>
    <xf numFmtId="9" fontId="0" fillId="0" borderId="0" xfId="3" applyFont="1" applyAlignment="1">
      <alignment vertical="center"/>
    </xf>
    <xf numFmtId="10" fontId="48" fillId="0" borderId="0" xfId="0" applyNumberFormat="1" applyFont="1"/>
    <xf numFmtId="9" fontId="50" fillId="0" borderId="0" xfId="0" applyNumberFormat="1" applyFont="1"/>
    <xf numFmtId="165" fontId="50" fillId="0" borderId="0" xfId="4" applyNumberFormat="1" applyFont="1"/>
    <xf numFmtId="165" fontId="5" fillId="7" borderId="0" xfId="0" applyNumberFormat="1" applyFont="1" applyFill="1"/>
    <xf numFmtId="165" fontId="15" fillId="6" borderId="0" xfId="0" applyNumberFormat="1" applyFont="1" applyFill="1"/>
    <xf numFmtId="165" fontId="15" fillId="0" borderId="0" xfId="4" applyNumberFormat="1" applyFont="1" applyAlignment="1">
      <alignment horizontal="center"/>
    </xf>
    <xf numFmtId="0" fontId="15" fillId="17" borderId="0" xfId="0" applyFont="1" applyFill="1" applyAlignment="1">
      <alignment horizontal="center" vertical="center"/>
    </xf>
    <xf numFmtId="10" fontId="0" fillId="0" borderId="0" xfId="0" applyNumberFormat="1"/>
    <xf numFmtId="164" fontId="0" fillId="0" borderId="0" xfId="0" applyNumberFormat="1"/>
    <xf numFmtId="164" fontId="34" fillId="2" borderId="0" xfId="0" applyNumberFormat="1" applyFont="1" applyFill="1"/>
    <xf numFmtId="0" fontId="0" fillId="9" borderId="0" xfId="0" applyFill="1" applyAlignment="1">
      <alignment wrapText="1"/>
    </xf>
    <xf numFmtId="0" fontId="5" fillId="20" borderId="0" xfId="0" applyFont="1" applyFill="1"/>
    <xf numFmtId="43" fontId="0" fillId="0" borderId="0" xfId="4" applyFont="1"/>
    <xf numFmtId="167" fontId="0" fillId="0" borderId="0" xfId="4" applyNumberFormat="1" applyFont="1"/>
    <xf numFmtId="43" fontId="0" fillId="0" borderId="0" xfId="0" applyNumberFormat="1"/>
    <xf numFmtId="168" fontId="0" fillId="0" borderId="0" xfId="0" applyNumberFormat="1"/>
    <xf numFmtId="37" fontId="24" fillId="0" borderId="0" xfId="0" applyNumberFormat="1" applyFont="1"/>
    <xf numFmtId="37" fontId="23" fillId="0" borderId="0" xfId="0" applyNumberFormat="1" applyFont="1"/>
    <xf numFmtId="37" fontId="5" fillId="6" borderId="0" xfId="0" applyNumberFormat="1" applyFont="1" applyFill="1"/>
    <xf numFmtId="9" fontId="23" fillId="20" borderId="0" xfId="3" applyFont="1" applyFill="1"/>
    <xf numFmtId="165" fontId="15" fillId="20" borderId="0" xfId="4" applyNumberFormat="1" applyFont="1" applyFill="1" applyBorder="1"/>
    <xf numFmtId="165" fontId="23" fillId="20" borderId="0" xfId="4" applyNumberFormat="1" applyFont="1" applyFill="1" applyBorder="1"/>
    <xf numFmtId="165" fontId="24" fillId="20" borderId="0" xfId="4" applyNumberFormat="1" applyFont="1" applyFill="1" applyBorder="1"/>
    <xf numFmtId="165" fontId="0" fillId="17" borderId="0" xfId="0" applyNumberFormat="1" applyFill="1"/>
    <xf numFmtId="165" fontId="15" fillId="17" borderId="0" xfId="4" applyNumberFormat="1" applyFont="1" applyFill="1"/>
    <xf numFmtId="0" fontId="0" fillId="6" borderId="0" xfId="0" applyFill="1" applyAlignment="1">
      <alignment wrapText="1"/>
    </xf>
    <xf numFmtId="0" fontId="23" fillId="20" borderId="0" xfId="0" applyFont="1" applyFill="1" applyAlignment="1">
      <alignment horizontal="center" vertical="center"/>
    </xf>
    <xf numFmtId="167" fontId="0" fillId="20" borderId="0" xfId="4" applyNumberFormat="1" applyFont="1" applyFill="1"/>
    <xf numFmtId="167" fontId="0" fillId="20" borderId="0" xfId="0" applyNumberFormat="1" applyFill="1"/>
    <xf numFmtId="167" fontId="15" fillId="20" borderId="0" xfId="4" applyNumberFormat="1" applyFont="1" applyFill="1"/>
    <xf numFmtId="165" fontId="0" fillId="20" borderId="0" xfId="4" applyNumberFormat="1" applyFont="1" applyFill="1"/>
    <xf numFmtId="0" fontId="23" fillId="7" borderId="0" xfId="0" applyFont="1" applyFill="1" applyAlignment="1">
      <alignment horizontal="center" vertical="center"/>
    </xf>
    <xf numFmtId="167" fontId="15" fillId="7" borderId="0" xfId="4" applyNumberFormat="1" applyFont="1" applyFill="1"/>
    <xf numFmtId="165" fontId="0" fillId="7" borderId="0" xfId="4" applyNumberFormat="1" applyFont="1" applyFill="1"/>
    <xf numFmtId="164" fontId="5" fillId="0" borderId="0" xfId="0" applyNumberFormat="1" applyFont="1"/>
    <xf numFmtId="168" fontId="5" fillId="0" borderId="0" xfId="0" applyNumberFormat="1" applyFont="1"/>
    <xf numFmtId="165" fontId="15" fillId="21" borderId="0" xfId="0" applyNumberFormat="1" applyFont="1" applyFill="1"/>
    <xf numFmtId="164" fontId="5" fillId="21" borderId="0" xfId="0" applyNumberFormat="1" applyFont="1" applyFill="1"/>
    <xf numFmtId="0" fontId="52" fillId="0" borderId="0" xfId="0" applyFont="1"/>
    <xf numFmtId="10" fontId="52" fillId="0" borderId="0" xfId="0" applyNumberFormat="1" applyFont="1"/>
    <xf numFmtId="9" fontId="52" fillId="0" borderId="0" xfId="0" applyNumberFormat="1" applyFont="1"/>
    <xf numFmtId="0" fontId="53" fillId="0" borderId="0" xfId="0" applyFont="1"/>
    <xf numFmtId="10" fontId="1" fillId="0" borderId="0" xfId="0" applyNumberFormat="1" applyFont="1"/>
    <xf numFmtId="49" fontId="54" fillId="0" borderId="37" xfId="0" applyNumberFormat="1" applyFont="1" applyBorder="1" applyAlignment="1">
      <alignment horizontal="center" vertical="center"/>
    </xf>
    <xf numFmtId="0" fontId="52" fillId="0" borderId="39" xfId="0" applyFont="1" applyBorder="1"/>
    <xf numFmtId="0" fontId="52" fillId="19" borderId="39" xfId="0" applyFont="1" applyFill="1" applyBorder="1" applyAlignment="1">
      <alignment horizontal="center" vertical="center" wrapText="1"/>
    </xf>
    <xf numFmtId="10" fontId="53" fillId="0" borderId="39" xfId="0" applyNumberFormat="1" applyFont="1" applyBorder="1"/>
    <xf numFmtId="0" fontId="52" fillId="19" borderId="0" xfId="0" applyFont="1" applyFill="1" applyAlignment="1">
      <alignment horizontal="center" vertical="center"/>
    </xf>
    <xf numFmtId="10" fontId="53" fillId="0" borderId="0" xfId="0" applyNumberFormat="1" applyFont="1"/>
    <xf numFmtId="49" fontId="54" fillId="0" borderId="42" xfId="0" applyNumberFormat="1" applyFont="1" applyBorder="1" applyAlignment="1">
      <alignment horizontal="center" vertical="center"/>
    </xf>
    <xf numFmtId="0" fontId="52" fillId="19" borderId="42" xfId="0" applyFont="1" applyFill="1" applyBorder="1" applyAlignment="1">
      <alignment horizontal="center" vertical="center"/>
    </xf>
    <xf numFmtId="0" fontId="52" fillId="0" borderId="44" xfId="0" applyFont="1" applyBorder="1"/>
    <xf numFmtId="0" fontId="52" fillId="19" borderId="0" xfId="0" applyFont="1" applyFill="1" applyAlignment="1">
      <alignment horizontal="center" vertical="center" wrapText="1"/>
    </xf>
    <xf numFmtId="9" fontId="52" fillId="0" borderId="44" xfId="0" applyNumberFormat="1" applyFont="1" applyBorder="1"/>
    <xf numFmtId="0" fontId="53" fillId="19" borderId="0" xfId="0" applyFont="1" applyFill="1" applyAlignment="1">
      <alignment horizontal="center" vertical="center"/>
    </xf>
    <xf numFmtId="10" fontId="53" fillId="0" borderId="44" xfId="0" applyNumberFormat="1" applyFont="1" applyBorder="1"/>
    <xf numFmtId="0" fontId="52" fillId="0" borderId="42" xfId="0" applyFont="1" applyBorder="1"/>
    <xf numFmtId="0" fontId="52" fillId="19" borderId="39" xfId="0" applyFont="1" applyFill="1" applyBorder="1" applyAlignment="1">
      <alignment horizontal="center" vertical="center"/>
    </xf>
    <xf numFmtId="10" fontId="52" fillId="0" borderId="44" xfId="0" applyNumberFormat="1" applyFont="1" applyBorder="1"/>
    <xf numFmtId="0" fontId="53" fillId="0" borderId="44" xfId="0" applyFont="1" applyBorder="1"/>
    <xf numFmtId="10" fontId="53" fillId="0" borderId="42" xfId="0" applyNumberFormat="1" applyFont="1" applyBorder="1"/>
    <xf numFmtId="10" fontId="52" fillId="0" borderId="47" xfId="0" applyNumberFormat="1" applyFont="1" applyBorder="1"/>
    <xf numFmtId="10" fontId="53" fillId="0" borderId="47" xfId="0" applyNumberFormat="1" applyFont="1" applyBorder="1"/>
    <xf numFmtId="10" fontId="53" fillId="0" borderId="0" xfId="0" applyNumberFormat="1" applyFont="1" applyAlignment="1">
      <alignment vertical="top"/>
    </xf>
    <xf numFmtId="0" fontId="52" fillId="0" borderId="40" xfId="0" applyFont="1" applyBorder="1"/>
    <xf numFmtId="0" fontId="52" fillId="0" borderId="45" xfId="0" applyFont="1" applyBorder="1"/>
    <xf numFmtId="0" fontId="52" fillId="0" borderId="0" xfId="0" applyFont="1" applyAlignment="1">
      <alignment horizontal="left" vertical="center"/>
    </xf>
    <xf numFmtId="0" fontId="52" fillId="19" borderId="44" xfId="0" applyFont="1" applyFill="1" applyBorder="1" applyAlignment="1">
      <alignment horizontal="center" vertical="center"/>
    </xf>
    <xf numFmtId="0" fontId="55" fillId="0" borderId="0" xfId="0" applyFont="1" applyAlignment="1">
      <alignment horizontal="center" vertical="center"/>
    </xf>
    <xf numFmtId="9" fontId="52" fillId="0" borderId="42" xfId="0" applyNumberFormat="1" applyFont="1" applyBorder="1"/>
    <xf numFmtId="164" fontId="53" fillId="0" borderId="39" xfId="0" applyNumberFormat="1" applyFont="1" applyBorder="1"/>
    <xf numFmtId="0" fontId="52" fillId="19" borderId="44" xfId="0" applyFont="1" applyFill="1" applyBorder="1" applyAlignment="1">
      <alignment vertical="center"/>
    </xf>
    <xf numFmtId="164" fontId="53" fillId="0" borderId="44" xfId="0" applyNumberFormat="1" applyFont="1" applyBorder="1"/>
    <xf numFmtId="10" fontId="52" fillId="19" borderId="0" xfId="0" applyNumberFormat="1" applyFont="1" applyFill="1"/>
    <xf numFmtId="0" fontId="52" fillId="0" borderId="0" xfId="0" applyFont="1" applyAlignment="1">
      <alignment vertical="center"/>
    </xf>
    <xf numFmtId="0" fontId="55" fillId="0" borderId="39" xfId="0" applyFont="1" applyBorder="1" applyAlignment="1">
      <alignment horizontal="center" vertical="center"/>
    </xf>
    <xf numFmtId="0" fontId="55" fillId="0" borderId="0" xfId="0" applyFont="1" applyAlignment="1">
      <alignment horizontal="left" vertical="center" wrapText="1"/>
    </xf>
    <xf numFmtId="49" fontId="54" fillId="0" borderId="44" xfId="0" applyNumberFormat="1" applyFont="1" applyBorder="1" applyAlignment="1">
      <alignment horizontal="center" vertical="center"/>
    </xf>
    <xf numFmtId="9" fontId="53" fillId="0" borderId="0" xfId="0" applyNumberFormat="1" applyFont="1"/>
    <xf numFmtId="9" fontId="53" fillId="0" borderId="39" xfId="0" applyNumberFormat="1" applyFont="1" applyBorder="1" applyAlignment="1">
      <alignment horizontal="left"/>
    </xf>
    <xf numFmtId="0" fontId="52" fillId="19" borderId="0" xfId="0" applyFont="1" applyFill="1" applyAlignment="1">
      <alignment vertical="center"/>
    </xf>
    <xf numFmtId="0" fontId="52" fillId="0" borderId="0" xfId="0" applyFont="1" applyAlignment="1">
      <alignment horizontal="left" vertical="center" wrapText="1"/>
    </xf>
    <xf numFmtId="0" fontId="52" fillId="0" borderId="0" xfId="0" applyFont="1" applyAlignment="1">
      <alignment wrapText="1"/>
    </xf>
    <xf numFmtId="0" fontId="57" fillId="0" borderId="0" xfId="0" applyFont="1" applyAlignment="1">
      <alignment vertical="top"/>
    </xf>
    <xf numFmtId="164" fontId="53" fillId="0" borderId="42" xfId="0" applyNumberFormat="1" applyFont="1" applyBorder="1"/>
    <xf numFmtId="164" fontId="52" fillId="0" borderId="0" xfId="0" applyNumberFormat="1" applyFont="1"/>
    <xf numFmtId="10" fontId="53" fillId="6" borderId="0" xfId="0" applyNumberFormat="1" applyFont="1" applyFill="1"/>
    <xf numFmtId="10" fontId="52" fillId="6" borderId="0" xfId="0" applyNumberFormat="1" applyFont="1" applyFill="1"/>
    <xf numFmtId="10" fontId="52" fillId="6" borderId="44" xfId="0" applyNumberFormat="1" applyFont="1" applyFill="1" applyBorder="1"/>
    <xf numFmtId="10" fontId="53" fillId="6" borderId="44" xfId="0" applyNumberFormat="1" applyFont="1" applyFill="1" applyBorder="1"/>
    <xf numFmtId="164" fontId="53" fillId="6" borderId="44" xfId="0" applyNumberFormat="1" applyFont="1" applyFill="1" applyBorder="1"/>
    <xf numFmtId="164" fontId="53" fillId="6" borderId="0" xfId="3" applyNumberFormat="1" applyFont="1" applyFill="1"/>
    <xf numFmtId="0" fontId="58" fillId="7" borderId="0" xfId="0" applyFont="1" applyFill="1" applyAlignment="1">
      <alignment horizontal="center"/>
    </xf>
    <xf numFmtId="168" fontId="34" fillId="12" borderId="0" xfId="0" applyNumberFormat="1" applyFont="1" applyFill="1"/>
    <xf numFmtId="9" fontId="5" fillId="7" borderId="0" xfId="3" applyFont="1" applyFill="1"/>
    <xf numFmtId="165" fontId="23" fillId="17" borderId="0" xfId="4" applyNumberFormat="1" applyFont="1" applyFill="1"/>
    <xf numFmtId="37" fontId="5" fillId="17" borderId="0" xfId="0" applyNumberFormat="1" applyFont="1" applyFill="1"/>
    <xf numFmtId="0" fontId="5" fillId="7" borderId="0" xfId="0" applyFont="1" applyFill="1"/>
    <xf numFmtId="165" fontId="5" fillId="0" borderId="0" xfId="0" applyNumberFormat="1" applyFont="1" applyAlignment="1">
      <alignment horizontal="center" vertical="center"/>
    </xf>
    <xf numFmtId="164" fontId="5" fillId="0" borderId="0" xfId="3" applyNumberFormat="1" applyFont="1" applyAlignment="1">
      <alignment horizontal="center" vertical="center"/>
    </xf>
    <xf numFmtId="0" fontId="5" fillId="7" borderId="0" xfId="0" applyFont="1" applyFill="1" applyAlignment="1">
      <alignment wrapText="1"/>
    </xf>
    <xf numFmtId="165" fontId="23" fillId="6" borderId="0" xfId="4" applyNumberFormat="1" applyFont="1" applyFill="1"/>
    <xf numFmtId="165" fontId="5" fillId="20" borderId="0" xfId="0" applyNumberFormat="1" applyFont="1" applyFill="1" applyAlignment="1">
      <alignment horizontal="center" vertical="center"/>
    </xf>
    <xf numFmtId="164" fontId="5" fillId="20" borderId="0" xfId="3" applyNumberFormat="1" applyFont="1" applyFill="1" applyAlignment="1">
      <alignment horizontal="center" vertical="center"/>
    </xf>
    <xf numFmtId="0" fontId="15" fillId="20" borderId="0" xfId="0" applyFont="1" applyFill="1" applyAlignment="1">
      <alignment vertical="center"/>
    </xf>
    <xf numFmtId="0" fontId="0" fillId="0" borderId="0" xfId="0" applyAlignment="1">
      <alignment horizontal="center" vertical="center" wrapText="1"/>
    </xf>
    <xf numFmtId="9" fontId="53" fillId="0" borderId="39" xfId="0" applyNumberFormat="1" applyFont="1" applyBorder="1"/>
    <xf numFmtId="9" fontId="52" fillId="0" borderId="0" xfId="3" applyFont="1"/>
    <xf numFmtId="9" fontId="53" fillId="17" borderId="0" xfId="3" applyFont="1" applyFill="1"/>
    <xf numFmtId="0" fontId="54" fillId="0" borderId="0" xfId="0" applyFont="1"/>
    <xf numFmtId="164" fontId="54" fillId="17" borderId="0" xfId="3" applyNumberFormat="1" applyFont="1" applyFill="1"/>
    <xf numFmtId="164" fontId="54" fillId="6" borderId="0" xfId="0" applyNumberFormat="1" applyFont="1" applyFill="1"/>
    <xf numFmtId="0" fontId="52" fillId="17" borderId="0" xfId="0" applyFont="1" applyFill="1"/>
    <xf numFmtId="10" fontId="52" fillId="17" borderId="0" xfId="0" applyNumberFormat="1" applyFont="1" applyFill="1"/>
    <xf numFmtId="164" fontId="59" fillId="6" borderId="0" xfId="0" applyNumberFormat="1" applyFont="1" applyFill="1"/>
    <xf numFmtId="10" fontId="59" fillId="6" borderId="0" xfId="0" applyNumberFormat="1" applyFont="1" applyFill="1"/>
    <xf numFmtId="10" fontId="59" fillId="6" borderId="39" xfId="0" applyNumberFormat="1" applyFont="1" applyFill="1" applyBorder="1"/>
    <xf numFmtId="0" fontId="52" fillId="0" borderId="0" xfId="0" applyFont="1" applyAlignment="1">
      <alignment horizontal="left"/>
    </xf>
    <xf numFmtId="9" fontId="53" fillId="17" borderId="0" xfId="3" applyFont="1" applyFill="1" applyAlignment="1">
      <alignment horizontal="left"/>
    </xf>
    <xf numFmtId="9" fontId="53" fillId="6" borderId="0" xfId="3" applyFont="1" applyFill="1" applyAlignment="1">
      <alignment horizontal="left"/>
    </xf>
    <xf numFmtId="0" fontId="52" fillId="0" borderId="37" xfId="0" applyFont="1" applyBorder="1" applyAlignment="1">
      <alignment horizontal="left" vertical="center"/>
    </xf>
    <xf numFmtId="0" fontId="52" fillId="0" borderId="38" xfId="0" applyFont="1" applyBorder="1" applyAlignment="1">
      <alignment horizontal="left" vertical="center"/>
    </xf>
    <xf numFmtId="0" fontId="52" fillId="0" borderId="42" xfId="0" applyFont="1" applyBorder="1" applyAlignment="1">
      <alignment horizontal="left" vertical="center"/>
    </xf>
    <xf numFmtId="0" fontId="52" fillId="0" borderId="43" xfId="0" applyFont="1" applyBorder="1" applyAlignment="1">
      <alignment horizontal="left" vertical="center"/>
    </xf>
    <xf numFmtId="0" fontId="55" fillId="0" borderId="37" xfId="0" applyFont="1" applyBorder="1" applyAlignment="1">
      <alignment horizontal="left" vertical="center"/>
    </xf>
    <xf numFmtId="0" fontId="55" fillId="0" borderId="38" xfId="0" applyFont="1" applyBorder="1" applyAlignment="1">
      <alignment horizontal="left" vertical="center"/>
    </xf>
    <xf numFmtId="0" fontId="55" fillId="0" borderId="42" xfId="0" applyFont="1" applyBorder="1" applyAlignment="1">
      <alignment horizontal="left" vertical="center"/>
    </xf>
    <xf numFmtId="0" fontId="55" fillId="0" borderId="43" xfId="0" applyFont="1" applyBorder="1" applyAlignment="1">
      <alignment horizontal="left" vertical="center"/>
    </xf>
    <xf numFmtId="0" fontId="52" fillId="0" borderId="41" xfId="0" applyFont="1" applyBorder="1" applyAlignment="1">
      <alignment horizontal="left" vertical="center" wrapText="1"/>
    </xf>
    <xf numFmtId="0" fontId="52" fillId="0" borderId="44" xfId="0" applyFont="1" applyBorder="1" applyAlignment="1">
      <alignment horizontal="left" vertical="center"/>
    </xf>
    <xf numFmtId="0" fontId="52" fillId="0" borderId="49" xfId="0" applyFont="1" applyBorder="1" applyAlignment="1">
      <alignment horizontal="left" vertical="center"/>
    </xf>
    <xf numFmtId="0" fontId="56" fillId="0" borderId="37" xfId="0" applyFont="1" applyBorder="1" applyAlignment="1">
      <alignment horizontal="left" vertical="center"/>
    </xf>
    <xf numFmtId="0" fontId="52" fillId="0" borderId="41" xfId="0" applyFont="1" applyBorder="1" applyAlignment="1">
      <alignment horizontal="left" vertical="center"/>
    </xf>
    <xf numFmtId="0" fontId="52" fillId="0" borderId="40" xfId="0" applyFont="1" applyBorder="1" applyAlignment="1">
      <alignment horizontal="left" vertical="center"/>
    </xf>
    <xf numFmtId="0" fontId="55" fillId="0" borderId="0" xfId="0" applyFont="1" applyAlignment="1">
      <alignment horizontal="left" vertical="center"/>
    </xf>
    <xf numFmtId="0" fontId="52" fillId="19" borderId="0" xfId="0" applyFont="1" applyFill="1" applyAlignment="1">
      <alignment horizontal="left" vertical="center"/>
    </xf>
    <xf numFmtId="164" fontId="53" fillId="6" borderId="0" xfId="3" applyNumberFormat="1" applyFont="1" applyFill="1" applyAlignment="1">
      <alignment horizontal="left"/>
    </xf>
    <xf numFmtId="164" fontId="53" fillId="7" borderId="0" xfId="3" applyNumberFormat="1" applyFont="1" applyFill="1" applyAlignment="1">
      <alignment horizontal="left"/>
    </xf>
    <xf numFmtId="0" fontId="56" fillId="0" borderId="38" xfId="0" applyFont="1" applyBorder="1" applyAlignment="1">
      <alignment horizontal="left" vertical="center"/>
    </xf>
    <xf numFmtId="0" fontId="56" fillId="0" borderId="42" xfId="0" applyFont="1" applyBorder="1" applyAlignment="1">
      <alignment horizontal="left" vertical="center"/>
    </xf>
    <xf numFmtId="0" fontId="56" fillId="0" borderId="43" xfId="0" applyFont="1" applyBorder="1" applyAlignment="1">
      <alignment horizontal="left" vertical="center"/>
    </xf>
    <xf numFmtId="0" fontId="52" fillId="0" borderId="40" xfId="0" applyFont="1" applyBorder="1" applyAlignment="1">
      <alignment horizontal="left" vertical="center" wrapText="1"/>
    </xf>
    <xf numFmtId="0" fontId="52" fillId="0" borderId="38" xfId="0" applyFont="1" applyBorder="1" applyAlignment="1">
      <alignment horizontal="left" vertical="center" wrapText="1"/>
    </xf>
    <xf numFmtId="0" fontId="52" fillId="0" borderId="42" xfId="0" applyFont="1" applyBorder="1" applyAlignment="1">
      <alignment horizontal="left" vertical="center" wrapText="1"/>
    </xf>
    <xf numFmtId="0" fontId="52" fillId="0" borderId="43" xfId="0" applyFont="1" applyBorder="1" applyAlignment="1">
      <alignment horizontal="left" vertical="center" wrapText="1"/>
    </xf>
    <xf numFmtId="0" fontId="23" fillId="17" borderId="0" xfId="0" applyFont="1" applyFill="1" applyAlignment="1">
      <alignment horizontal="center" vertical="center"/>
    </xf>
    <xf numFmtId="167" fontId="5" fillId="0" borderId="0" xfId="4" applyNumberFormat="1" applyFont="1"/>
    <xf numFmtId="167" fontId="53" fillId="17" borderId="0" xfId="4" applyNumberFormat="1" applyFont="1" applyFill="1"/>
    <xf numFmtId="167" fontId="53" fillId="0" borderId="44" xfId="0" applyNumberFormat="1" applyFont="1" applyBorder="1"/>
    <xf numFmtId="167" fontId="53" fillId="0" borderId="0" xfId="0" applyNumberFormat="1" applyFont="1"/>
    <xf numFmtId="169" fontId="52" fillId="0" borderId="0" xfId="4" applyNumberFormat="1" applyFont="1"/>
    <xf numFmtId="165" fontId="52" fillId="0" borderId="0" xfId="4" applyNumberFormat="1" applyFont="1"/>
    <xf numFmtId="165" fontId="52" fillId="17" borderId="0" xfId="4" applyNumberFormat="1" applyFont="1" applyFill="1"/>
    <xf numFmtId="165" fontId="53" fillId="17" borderId="0" xfId="4" applyNumberFormat="1" applyFont="1" applyFill="1"/>
    <xf numFmtId="165" fontId="53" fillId="0" borderId="0" xfId="4" applyNumberFormat="1" applyFont="1"/>
    <xf numFmtId="9" fontId="52" fillId="6" borderId="0" xfId="0" applyNumberFormat="1" applyFont="1" applyFill="1"/>
    <xf numFmtId="9" fontId="53" fillId="6" borderId="0" xfId="0" applyNumberFormat="1" applyFont="1" applyFill="1"/>
    <xf numFmtId="9" fontId="52" fillId="0" borderId="39" xfId="0" applyNumberFormat="1" applyFont="1" applyBorder="1"/>
    <xf numFmtId="1" fontId="52" fillId="0" borderId="0" xfId="0" applyNumberFormat="1" applyFont="1"/>
    <xf numFmtId="164" fontId="0" fillId="6" borderId="0" xfId="3" applyNumberFormat="1" applyFont="1" applyFill="1"/>
    <xf numFmtId="171" fontId="1" fillId="0" borderId="0" xfId="0" applyNumberFormat="1" applyFont="1"/>
    <xf numFmtId="165" fontId="52" fillId="0" borderId="0" xfId="0" applyNumberFormat="1" applyFont="1"/>
    <xf numFmtId="166" fontId="1" fillId="6" borderId="10" xfId="3" applyNumberFormat="1" applyFont="1" applyFill="1" applyBorder="1"/>
    <xf numFmtId="165" fontId="53" fillId="18" borderId="0" xfId="4" applyNumberFormat="1" applyFont="1" applyFill="1"/>
    <xf numFmtId="165" fontId="53" fillId="18" borderId="0" xfId="0" applyNumberFormat="1" applyFont="1" applyFill="1" applyAlignment="1">
      <alignment horizontal="left"/>
    </xf>
    <xf numFmtId="165" fontId="52" fillId="18" borderId="0" xfId="4" applyNumberFormat="1" applyFont="1" applyFill="1" applyAlignment="1">
      <alignment horizontal="center" vertical="center"/>
    </xf>
    <xf numFmtId="165" fontId="53" fillId="7" borderId="0" xfId="4" applyNumberFormat="1" applyFont="1" applyFill="1"/>
    <xf numFmtId="165" fontId="52" fillId="19" borderId="0" xfId="0" applyNumberFormat="1" applyFont="1" applyFill="1" applyAlignment="1">
      <alignment horizontal="center" vertical="center"/>
    </xf>
    <xf numFmtId="165" fontId="1" fillId="0" borderId="0" xfId="0" applyNumberFormat="1" applyFont="1"/>
    <xf numFmtId="0" fontId="60" fillId="0" borderId="0" xfId="0" applyFont="1"/>
    <xf numFmtId="0" fontId="61" fillId="0" borderId="0" xfId="0" applyFont="1"/>
    <xf numFmtId="0" fontId="62" fillId="0" borderId="0" xfId="0" applyFont="1"/>
    <xf numFmtId="165" fontId="60" fillId="0" borderId="0" xfId="0" applyNumberFormat="1" applyFont="1"/>
    <xf numFmtId="165" fontId="60" fillId="0" borderId="0" xfId="4" applyNumberFormat="1" applyFont="1"/>
    <xf numFmtId="165" fontId="54" fillId="0" borderId="0" xfId="4" applyNumberFormat="1" applyFont="1"/>
    <xf numFmtId="165" fontId="61" fillId="0" borderId="0" xfId="4" applyNumberFormat="1" applyFont="1"/>
    <xf numFmtId="165" fontId="61" fillId="0" borderId="0" xfId="0" applyNumberFormat="1" applyFont="1"/>
    <xf numFmtId="165" fontId="62" fillId="0" borderId="0" xfId="0" applyNumberFormat="1" applyFont="1"/>
    <xf numFmtId="165" fontId="62" fillId="0" borderId="0" xfId="4" applyNumberFormat="1" applyFont="1"/>
    <xf numFmtId="0" fontId="54" fillId="0" borderId="0" xfId="0" applyFont="1" applyAlignment="1">
      <alignment wrapText="1"/>
    </xf>
    <xf numFmtId="165" fontId="54" fillId="0" borderId="0" xfId="0" applyNumberFormat="1" applyFont="1"/>
    <xf numFmtId="1" fontId="60" fillId="0" borderId="0" xfId="0" applyNumberFormat="1" applyFont="1"/>
    <xf numFmtId="165" fontId="53" fillId="0" borderId="0" xfId="0" applyNumberFormat="1" applyFont="1"/>
    <xf numFmtId="165" fontId="53" fillId="19" borderId="0" xfId="0" applyNumberFormat="1" applyFont="1" applyFill="1" applyAlignment="1">
      <alignment horizontal="center" vertical="center"/>
    </xf>
    <xf numFmtId="165" fontId="53" fillId="17" borderId="0" xfId="0" applyNumberFormat="1" applyFont="1" applyFill="1"/>
    <xf numFmtId="165" fontId="62" fillId="6" borderId="0" xfId="0" applyNumberFormat="1" applyFont="1" applyFill="1"/>
    <xf numFmtId="165" fontId="60" fillId="6" borderId="0" xfId="0" applyNumberFormat="1" applyFont="1" applyFill="1"/>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2" fillId="6" borderId="0" xfId="0" applyFont="1" applyFill="1" applyAlignment="1">
      <alignment wrapText="1"/>
    </xf>
    <xf numFmtId="0" fontId="53" fillId="17" borderId="0" xfId="0" applyFont="1" applyFill="1" applyAlignment="1">
      <alignment horizontal="center"/>
    </xf>
    <xf numFmtId="165" fontId="54" fillId="6" borderId="0" xfId="4" applyNumberFormat="1" applyFont="1" applyFill="1"/>
    <xf numFmtId="0" fontId="54" fillId="6" borderId="0" xfId="0" applyFont="1" applyFill="1" applyAlignment="1">
      <alignment horizontal="center"/>
    </xf>
    <xf numFmtId="165" fontId="15" fillId="20" borderId="0" xfId="4" applyNumberFormat="1" applyFont="1" applyFill="1"/>
    <xf numFmtId="170" fontId="0" fillId="20" borderId="0" xfId="4" applyNumberFormat="1" applyFont="1" applyFill="1"/>
    <xf numFmtId="0" fontId="59" fillId="0" borderId="0" xfId="0" applyFont="1" applyAlignment="1">
      <alignment wrapText="1"/>
    </xf>
    <xf numFmtId="165" fontId="52" fillId="6" borderId="0" xfId="0" applyNumberFormat="1" applyFont="1" applyFill="1"/>
    <xf numFmtId="0" fontId="63" fillId="0" borderId="0" xfId="0" applyFont="1"/>
    <xf numFmtId="0" fontId="63" fillId="0" borderId="0" xfId="0" applyFont="1" applyAlignment="1">
      <alignment wrapText="1"/>
    </xf>
    <xf numFmtId="165" fontId="63" fillId="0" borderId="0" xfId="4" applyNumberFormat="1" applyFont="1"/>
    <xf numFmtId="165" fontId="63" fillId="0" borderId="0" xfId="0" applyNumberFormat="1" applyFont="1"/>
    <xf numFmtId="165" fontId="51" fillId="0" borderId="0" xfId="4" applyNumberFormat="1" applyFont="1"/>
    <xf numFmtId="164" fontId="13" fillId="0" borderId="0" xfId="3" applyNumberFormat="1" applyFont="1"/>
    <xf numFmtId="170" fontId="5" fillId="20" borderId="0" xfId="4" applyNumberFormat="1" applyFont="1" applyFill="1"/>
    <xf numFmtId="0" fontId="15" fillId="17" borderId="0" xfId="0" applyFont="1" applyFill="1" applyAlignment="1">
      <alignment horizontal="center" vertical="center" wrapText="1"/>
    </xf>
    <xf numFmtId="165" fontId="0" fillId="0" borderId="0" xfId="4" applyNumberFormat="1" applyFont="1" applyAlignment="1">
      <alignment vertical="center"/>
    </xf>
    <xf numFmtId="165" fontId="13" fillId="17" borderId="0" xfId="0" applyNumberFormat="1" applyFont="1" applyFill="1"/>
    <xf numFmtId="0" fontId="42" fillId="6" borderId="0" xfId="0" applyFont="1" applyFill="1" applyAlignment="1">
      <alignment vertical="center" wrapText="1"/>
    </xf>
    <xf numFmtId="165" fontId="64" fillId="17" borderId="0" xfId="0" applyNumberFormat="1" applyFont="1" applyFill="1"/>
    <xf numFmtId="165" fontId="64" fillId="6" borderId="0" xfId="4" applyNumberFormat="1" applyFont="1" applyFill="1"/>
    <xf numFmtId="165" fontId="39" fillId="0" borderId="0" xfId="4" applyNumberFormat="1" applyFont="1"/>
    <xf numFmtId="165" fontId="39" fillId="0" borderId="0" xfId="0" applyNumberFormat="1" applyFont="1"/>
    <xf numFmtId="0" fontId="39" fillId="0" borderId="0" xfId="0" applyFont="1"/>
    <xf numFmtId="0" fontId="42" fillId="0" borderId="0" xfId="0" applyFont="1" applyAlignment="1">
      <alignment horizontal="center" vertical="center"/>
    </xf>
    <xf numFmtId="0" fontId="7" fillId="0" borderId="0" xfId="1"/>
    <xf numFmtId="9" fontId="52" fillId="17" borderId="0" xfId="0" applyNumberFormat="1" applyFont="1" applyFill="1" applyAlignment="1">
      <alignment horizontal="center" vertical="center"/>
    </xf>
    <xf numFmtId="164" fontId="53" fillId="17" borderId="0" xfId="3" applyNumberFormat="1" applyFont="1" applyFill="1" applyAlignment="1">
      <alignment horizontal="center" vertical="center"/>
    </xf>
    <xf numFmtId="165" fontId="52" fillId="17" borderId="0" xfId="0" applyNumberFormat="1" applyFont="1" applyFill="1"/>
    <xf numFmtId="165" fontId="53" fillId="6" borderId="0" xfId="0" applyNumberFormat="1" applyFont="1" applyFill="1"/>
    <xf numFmtId="170" fontId="52" fillId="0" borderId="0" xfId="4" applyNumberFormat="1" applyFont="1"/>
    <xf numFmtId="0" fontId="54" fillId="6" borderId="0" xfId="0" applyFont="1" applyFill="1"/>
    <xf numFmtId="165" fontId="24" fillId="17" borderId="0" xfId="0" applyNumberFormat="1" applyFont="1" applyFill="1"/>
    <xf numFmtId="165" fontId="0" fillId="6" borderId="0" xfId="4" applyNumberFormat="1" applyFont="1" applyFill="1"/>
    <xf numFmtId="164" fontId="24" fillId="17" borderId="0" xfId="3" applyNumberFormat="1" applyFont="1" applyFill="1"/>
    <xf numFmtId="165" fontId="49" fillId="7" borderId="0" xfId="0" applyNumberFormat="1" applyFont="1" applyFill="1"/>
    <xf numFmtId="164" fontId="49" fillId="7" borderId="0" xfId="3" applyNumberFormat="1" applyFont="1" applyFill="1"/>
    <xf numFmtId="0" fontId="42" fillId="17" borderId="0" xfId="0" applyFont="1" applyFill="1" applyAlignment="1">
      <alignment horizontal="center" vertical="center" wrapText="1"/>
    </xf>
    <xf numFmtId="165" fontId="59" fillId="0" borderId="0" xfId="4" applyNumberFormat="1" applyFont="1"/>
    <xf numFmtId="165" fontId="59" fillId="0" borderId="0" xfId="0" applyNumberFormat="1" applyFont="1"/>
    <xf numFmtId="0" fontId="52" fillId="0" borderId="0" xfId="0" applyFont="1" applyAlignment="1">
      <alignment vertical="center" wrapText="1"/>
    </xf>
    <xf numFmtId="0" fontId="54" fillId="0" borderId="0" xfId="0" applyFont="1" applyAlignment="1">
      <alignment vertical="center" wrapText="1"/>
    </xf>
    <xf numFmtId="165" fontId="52" fillId="0" borderId="0" xfId="4" applyNumberFormat="1" applyFont="1" applyAlignment="1">
      <alignment vertical="center" wrapText="1"/>
    </xf>
    <xf numFmtId="10" fontId="52" fillId="0" borderId="0" xfId="0" applyNumberFormat="1" applyFont="1" applyAlignment="1">
      <alignment vertical="center" wrapText="1"/>
    </xf>
    <xf numFmtId="0" fontId="54" fillId="0" borderId="0" xfId="0" applyFont="1" applyAlignment="1">
      <alignment horizontal="left" vertical="center" wrapText="1"/>
    </xf>
    <xf numFmtId="0" fontId="53" fillId="0" borderId="0" xfId="0" applyFont="1" applyAlignment="1">
      <alignment vertical="center" wrapText="1"/>
    </xf>
    <xf numFmtId="0" fontId="53" fillId="17" borderId="0" xfId="0" applyFont="1" applyFill="1" applyAlignment="1">
      <alignment vertical="center" wrapText="1"/>
    </xf>
    <xf numFmtId="0" fontId="52" fillId="17" borderId="0" xfId="0" applyFont="1" applyFill="1" applyAlignment="1">
      <alignment vertical="center" wrapText="1"/>
    </xf>
    <xf numFmtId="165" fontId="53" fillId="0" borderId="0" xfId="4" applyNumberFormat="1" applyFont="1" applyAlignment="1">
      <alignment vertical="center" wrapText="1"/>
    </xf>
    <xf numFmtId="0" fontId="13" fillId="0" borderId="0" xfId="0" applyFont="1" applyAlignment="1">
      <alignment horizontal="center"/>
    </xf>
    <xf numFmtId="0" fontId="5" fillId="0" borderId="0" xfId="0" applyFont="1" applyAlignment="1">
      <alignment horizontal="center"/>
    </xf>
    <xf numFmtId="0" fontId="50" fillId="0" borderId="0" xfId="0" applyFont="1" applyAlignment="1">
      <alignment horizontal="center"/>
    </xf>
    <xf numFmtId="0" fontId="48" fillId="0" borderId="0" xfId="0" applyFont="1" applyAlignment="1">
      <alignment horizontal="center"/>
    </xf>
    <xf numFmtId="0" fontId="51" fillId="0" borderId="0" xfId="0" applyFont="1" applyAlignment="1">
      <alignment horizontal="center"/>
    </xf>
    <xf numFmtId="49" fontId="52" fillId="0" borderId="0" xfId="0" applyNumberFormat="1" applyFont="1"/>
    <xf numFmtId="164" fontId="53" fillId="6" borderId="0" xfId="0" applyNumberFormat="1" applyFont="1" applyFill="1"/>
    <xf numFmtId="164" fontId="34" fillId="23" borderId="0" xfId="3" applyNumberFormat="1" applyFont="1" applyFill="1"/>
    <xf numFmtId="0" fontId="5" fillId="0" borderId="0" xfId="0" applyFont="1" applyAlignment="1">
      <alignment horizontal="left"/>
    </xf>
    <xf numFmtId="9" fontId="0" fillId="20" borderId="0" xfId="3" applyFont="1" applyFill="1"/>
    <xf numFmtId="172" fontId="53" fillId="0" borderId="0" xfId="0" applyNumberFormat="1" applyFont="1"/>
    <xf numFmtId="0" fontId="59" fillId="0" borderId="0" xfId="0" applyFont="1"/>
    <xf numFmtId="164" fontId="30" fillId="17" borderId="0" xfId="3" applyNumberFormat="1" applyFont="1" applyFill="1"/>
    <xf numFmtId="0" fontId="52" fillId="18" borderId="0" xfId="0" applyFont="1" applyFill="1"/>
    <xf numFmtId="164" fontId="5" fillId="18" borderId="0" xfId="3" applyNumberFormat="1" applyFont="1" applyFill="1"/>
    <xf numFmtId="0" fontId="0" fillId="18" borderId="0" xfId="0" applyFill="1"/>
    <xf numFmtId="10" fontId="5" fillId="18" borderId="0" xfId="3" applyNumberFormat="1" applyFont="1" applyFill="1"/>
    <xf numFmtId="49" fontId="54" fillId="0" borderId="40" xfId="0" applyNumberFormat="1" applyFont="1" applyBorder="1" applyAlignment="1">
      <alignment horizontal="center" vertical="center"/>
    </xf>
    <xf numFmtId="49" fontId="54" fillId="0" borderId="0" xfId="0" applyNumberFormat="1" applyFont="1" applyAlignment="1">
      <alignment horizontal="center" vertical="center"/>
    </xf>
    <xf numFmtId="10" fontId="53" fillId="8" borderId="0" xfId="0" applyNumberFormat="1" applyFont="1" applyFill="1"/>
    <xf numFmtId="164" fontId="53" fillId="0" borderId="44" xfId="3" applyNumberFormat="1" applyFont="1" applyBorder="1"/>
    <xf numFmtId="0" fontId="52" fillId="0" borderId="0" xfId="0" applyFont="1" applyAlignment="1">
      <alignment horizontal="center" vertical="center"/>
    </xf>
    <xf numFmtId="165" fontId="54" fillId="0" borderId="40" xfId="4" applyNumberFormat="1" applyFont="1" applyBorder="1" applyAlignment="1">
      <alignment vertical="center"/>
    </xf>
    <xf numFmtId="165" fontId="52" fillId="18" borderId="0" xfId="0" applyNumberFormat="1" applyFont="1" applyFill="1"/>
    <xf numFmtId="169" fontId="54" fillId="0" borderId="0" xfId="4" applyNumberFormat="1" applyFont="1" applyAlignment="1">
      <alignment vertical="center"/>
    </xf>
    <xf numFmtId="0" fontId="52" fillId="19" borderId="46" xfId="0" applyFont="1" applyFill="1" applyBorder="1" applyAlignment="1">
      <alignment vertical="center" wrapText="1"/>
    </xf>
    <xf numFmtId="0" fontId="52" fillId="19" borderId="39" xfId="0" applyFont="1" applyFill="1" applyBorder="1" applyAlignment="1">
      <alignment vertical="center" wrapText="1"/>
    </xf>
    <xf numFmtId="164" fontId="53" fillId="0" borderId="44" xfId="3" applyNumberFormat="1" applyFont="1" applyBorder="1" applyAlignment="1">
      <alignment horizontal="right" vertical="center"/>
    </xf>
    <xf numFmtId="49" fontId="54" fillId="0" borderId="46" xfId="0" applyNumberFormat="1" applyFont="1" applyBorder="1" applyAlignment="1">
      <alignment vertical="center"/>
    </xf>
    <xf numFmtId="165" fontId="53" fillId="6" borderId="0" xfId="4" applyNumberFormat="1" applyFont="1" applyFill="1"/>
    <xf numFmtId="9" fontId="5" fillId="6" borderId="0" xfId="3" applyFont="1" applyFill="1"/>
    <xf numFmtId="166" fontId="0" fillId="0" borderId="0" xfId="0" applyNumberFormat="1"/>
    <xf numFmtId="49" fontId="1" fillId="0" borderId="50" xfId="0" applyNumberFormat="1" applyFont="1" applyBorder="1"/>
    <xf numFmtId="165" fontId="34" fillId="2" borderId="0" xfId="0" applyNumberFormat="1" applyFont="1" applyFill="1"/>
    <xf numFmtId="9" fontId="52" fillId="6" borderId="39" xfId="0" applyNumberFormat="1" applyFont="1" applyFill="1" applyBorder="1"/>
    <xf numFmtId="9" fontId="52" fillId="6" borderId="42" xfId="0" applyNumberFormat="1" applyFont="1" applyFill="1" applyBorder="1"/>
    <xf numFmtId="10" fontId="6" fillId="0" borderId="0" xfId="0" applyNumberFormat="1" applyFont="1" applyAlignment="1">
      <alignment vertical="top"/>
    </xf>
    <xf numFmtId="10" fontId="6" fillId="6" borderId="0" xfId="0" applyNumberFormat="1" applyFont="1" applyFill="1" applyAlignment="1">
      <alignment vertical="top"/>
    </xf>
    <xf numFmtId="10" fontId="6" fillId="0" borderId="44" xfId="0" applyNumberFormat="1" applyFont="1" applyBorder="1" applyAlignment="1">
      <alignment vertical="top"/>
    </xf>
    <xf numFmtId="0" fontId="53" fillId="7" borderId="0" xfId="0" applyFont="1" applyFill="1" applyAlignment="1">
      <alignment horizontal="center"/>
    </xf>
    <xf numFmtId="167" fontId="6" fillId="0" borderId="0" xfId="0" applyNumberFormat="1" applyFont="1" applyAlignment="1">
      <alignment vertical="top"/>
    </xf>
    <xf numFmtId="167" fontId="6" fillId="0" borderId="44" xfId="0" applyNumberFormat="1" applyFont="1" applyBorder="1" applyAlignment="1">
      <alignment vertical="top"/>
    </xf>
    <xf numFmtId="167" fontId="53" fillId="0" borderId="0" xfId="4" applyNumberFormat="1" applyFont="1"/>
    <xf numFmtId="0" fontId="54" fillId="0" borderId="0" xfId="0" applyFont="1" applyAlignment="1">
      <alignment vertical="center"/>
    </xf>
    <xf numFmtId="1" fontId="63" fillId="0" borderId="0" xfId="0" applyNumberFormat="1" applyFont="1"/>
    <xf numFmtId="1" fontId="59" fillId="0" borderId="0" xfId="0" applyNumberFormat="1" applyFont="1"/>
    <xf numFmtId="167" fontId="53" fillId="6" borderId="0" xfId="4" applyNumberFormat="1" applyFont="1" applyFill="1"/>
    <xf numFmtId="0" fontId="65" fillId="0" borderId="0" xfId="0" applyFont="1" applyAlignment="1">
      <alignment vertical="top"/>
    </xf>
    <xf numFmtId="165" fontId="65" fillId="0" borderId="0" xfId="4" applyNumberFormat="1" applyFont="1" applyAlignment="1">
      <alignment vertical="top"/>
    </xf>
    <xf numFmtId="0" fontId="66" fillId="0" borderId="0" xfId="0" applyFont="1" applyAlignment="1">
      <alignment horizontal="centerContinuous" vertical="top"/>
    </xf>
    <xf numFmtId="0" fontId="67" fillId="0" borderId="0" xfId="0" applyFont="1" applyAlignment="1">
      <alignment horizontal="center" vertical="center"/>
    </xf>
    <xf numFmtId="165" fontId="65" fillId="0" borderId="0" xfId="4" applyNumberFormat="1" applyFont="1" applyAlignment="1">
      <alignment horizontal="center" vertical="center"/>
    </xf>
    <xf numFmtId="0" fontId="67" fillId="20" borderId="6" xfId="0" applyFont="1" applyFill="1" applyBorder="1" applyAlignment="1">
      <alignment horizontal="center" vertical="center"/>
    </xf>
    <xf numFmtId="0" fontId="67" fillId="20" borderId="6" xfId="0" applyFont="1" applyFill="1" applyBorder="1" applyAlignment="1">
      <alignment horizontal="left" vertical="center" wrapText="1"/>
    </xf>
    <xf numFmtId="0" fontId="67" fillId="20" borderId="6" xfId="0" applyFont="1" applyFill="1" applyBorder="1" applyAlignment="1">
      <alignment horizontal="center" vertical="center" wrapText="1"/>
    </xf>
    <xf numFmtId="0" fontId="69" fillId="20" borderId="6" xfId="0" applyFont="1" applyFill="1" applyBorder="1" applyAlignment="1">
      <alignment horizontal="center" vertical="center" wrapText="1"/>
    </xf>
    <xf numFmtId="165" fontId="65" fillId="0" borderId="0" xfId="4" applyNumberFormat="1" applyFont="1" applyAlignment="1">
      <alignment horizontal="center" vertical="center" wrapText="1"/>
    </xf>
    <xf numFmtId="165" fontId="65" fillId="6" borderId="0" xfId="4" applyNumberFormat="1" applyFont="1" applyFill="1" applyAlignment="1">
      <alignment horizontal="center" vertical="center" wrapText="1"/>
    </xf>
    <xf numFmtId="0" fontId="65" fillId="0" borderId="0" xfId="0" applyFont="1" applyAlignment="1">
      <alignment horizontal="center" vertical="center"/>
    </xf>
    <xf numFmtId="49" fontId="70" fillId="0" borderId="51" xfId="2" applyNumberFormat="1" applyFont="1" applyBorder="1"/>
    <xf numFmtId="0" fontId="71" fillId="0" borderId="51" xfId="2" applyFont="1" applyBorder="1" applyAlignment="1">
      <alignment wrapText="1"/>
    </xf>
    <xf numFmtId="0" fontId="67" fillId="0" borderId="51" xfId="0" applyFont="1" applyBorder="1" applyAlignment="1">
      <alignment horizontal="center" vertical="top"/>
    </xf>
    <xf numFmtId="0" fontId="67" fillId="0" borderId="51" xfId="0" quotePrefix="1" applyFont="1" applyBorder="1" applyAlignment="1">
      <alignment horizontal="center" vertical="top"/>
    </xf>
    <xf numFmtId="0" fontId="68" fillId="0" borderId="51" xfId="0" applyFont="1" applyBorder="1" applyAlignment="1">
      <alignment horizontal="center" vertical="top"/>
    </xf>
    <xf numFmtId="165" fontId="65" fillId="6" borderId="0" xfId="4" applyNumberFormat="1" applyFont="1" applyFill="1" applyAlignment="1">
      <alignment vertical="top"/>
    </xf>
    <xf numFmtId="49" fontId="67" fillId="0" borderId="52" xfId="6" applyNumberFormat="1" applyFont="1" applyBorder="1" applyAlignment="1">
      <alignment vertical="top"/>
    </xf>
    <xf numFmtId="0" fontId="67" fillId="0" borderId="52" xfId="6" applyFont="1" applyBorder="1" applyAlignment="1">
      <alignment vertical="top" wrapText="1"/>
    </xf>
    <xf numFmtId="165" fontId="67" fillId="0" borderId="52" xfId="4" applyNumberFormat="1" applyFont="1" applyFill="1" applyBorder="1" applyAlignment="1">
      <alignment vertical="top"/>
    </xf>
    <xf numFmtId="9" fontId="67" fillId="0" borderId="52" xfId="3" applyFont="1" applyFill="1" applyBorder="1" applyAlignment="1">
      <alignment vertical="top"/>
    </xf>
    <xf numFmtId="43" fontId="67" fillId="0" borderId="52" xfId="4" applyFont="1" applyFill="1" applyBorder="1" applyAlignment="1">
      <alignment vertical="top"/>
    </xf>
    <xf numFmtId="49" fontId="65" fillId="0" borderId="52" xfId="6" applyNumberFormat="1" applyBorder="1" applyAlignment="1">
      <alignment vertical="top"/>
    </xf>
    <xf numFmtId="0" fontId="65" fillId="0" borderId="52" xfId="6" applyBorder="1" applyAlignment="1">
      <alignment vertical="top" wrapText="1"/>
    </xf>
    <xf numFmtId="165" fontId="65" fillId="0" borderId="52" xfId="4" applyNumberFormat="1" applyFont="1" applyFill="1" applyBorder="1" applyAlignment="1">
      <alignment vertical="top"/>
    </xf>
    <xf numFmtId="164" fontId="65" fillId="0" borderId="52" xfId="3" applyNumberFormat="1" applyFont="1" applyFill="1" applyBorder="1" applyAlignment="1">
      <alignment vertical="top"/>
    </xf>
    <xf numFmtId="43" fontId="65" fillId="0" borderId="52" xfId="4" applyFont="1" applyFill="1" applyBorder="1" applyAlignment="1">
      <alignment vertical="top"/>
    </xf>
    <xf numFmtId="9" fontId="65" fillId="0" borderId="52" xfId="3" applyFont="1" applyFill="1" applyBorder="1" applyAlignment="1">
      <alignment vertical="top"/>
    </xf>
    <xf numFmtId="43" fontId="65" fillId="6" borderId="0" xfId="4" applyFont="1" applyFill="1" applyAlignment="1">
      <alignment vertical="top"/>
    </xf>
    <xf numFmtId="165" fontId="65" fillId="0" borderId="0" xfId="0" applyNumberFormat="1" applyFont="1" applyAlignment="1">
      <alignment vertical="top"/>
    </xf>
    <xf numFmtId="10" fontId="65" fillId="0" borderId="0" xfId="3" applyNumberFormat="1" applyFont="1" applyAlignment="1">
      <alignment vertical="top"/>
    </xf>
    <xf numFmtId="49" fontId="72" fillId="0" borderId="52" xfId="6" applyNumberFormat="1" applyFont="1" applyBorder="1" applyAlignment="1">
      <alignment vertical="top"/>
    </xf>
    <xf numFmtId="0" fontId="72" fillId="0" borderId="52" xfId="6" applyFont="1" applyBorder="1" applyAlignment="1">
      <alignment vertical="top" wrapText="1"/>
    </xf>
    <xf numFmtId="165" fontId="72" fillId="0" borderId="52" xfId="4" applyNumberFormat="1" applyFont="1" applyFill="1" applyBorder="1" applyAlignment="1">
      <alignment vertical="top"/>
    </xf>
    <xf numFmtId="164" fontId="72" fillId="0" borderId="52" xfId="3" applyNumberFormat="1" applyFont="1" applyFill="1" applyBorder="1" applyAlignment="1">
      <alignment vertical="top"/>
    </xf>
    <xf numFmtId="43" fontId="72" fillId="0" borderId="52" xfId="4" applyFont="1" applyFill="1" applyBorder="1" applyAlignment="1">
      <alignment vertical="top"/>
    </xf>
    <xf numFmtId="9" fontId="72" fillId="0" borderId="52" xfId="3" applyFont="1" applyFill="1" applyBorder="1" applyAlignment="1">
      <alignment vertical="top"/>
    </xf>
    <xf numFmtId="43" fontId="72" fillId="6" borderId="0" xfId="4" applyFont="1" applyFill="1" applyAlignment="1">
      <alignment vertical="top"/>
    </xf>
    <xf numFmtId="165" fontId="72" fillId="0" borderId="0" xfId="4" applyNumberFormat="1" applyFont="1" applyAlignment="1">
      <alignment vertical="top"/>
    </xf>
    <xf numFmtId="0" fontId="72" fillId="0" borderId="0" xfId="0" applyFont="1" applyAlignment="1">
      <alignment vertical="top"/>
    </xf>
    <xf numFmtId="49" fontId="68" fillId="0" borderId="55" xfId="6" applyNumberFormat="1" applyFont="1" applyBorder="1" applyAlignment="1">
      <alignment vertical="top"/>
    </xf>
    <xf numFmtId="0" fontId="67" fillId="0" borderId="55" xfId="6" applyFont="1" applyBorder="1" applyAlignment="1">
      <alignment vertical="top" wrapText="1"/>
    </xf>
    <xf numFmtId="43" fontId="67" fillId="0" borderId="55" xfId="4" applyFont="1" applyFill="1" applyBorder="1" applyAlignment="1">
      <alignment vertical="top"/>
    </xf>
    <xf numFmtId="164" fontId="67" fillId="0" borderId="55" xfId="4" applyNumberFormat="1" applyFont="1" applyFill="1" applyBorder="1" applyAlignment="1">
      <alignment vertical="top"/>
    </xf>
    <xf numFmtId="165" fontId="67" fillId="0" borderId="55" xfId="4" applyNumberFormat="1" applyFont="1" applyFill="1" applyBorder="1" applyAlignment="1">
      <alignment vertical="top"/>
    </xf>
    <xf numFmtId="9" fontId="67" fillId="0" borderId="55" xfId="3" applyFont="1" applyFill="1" applyBorder="1" applyAlignment="1">
      <alignment vertical="top"/>
    </xf>
    <xf numFmtId="43" fontId="68" fillId="24" borderId="0" xfId="4" applyFont="1" applyFill="1" applyBorder="1" applyAlignment="1">
      <alignment vertical="top"/>
    </xf>
    <xf numFmtId="43" fontId="73" fillId="6" borderId="0" xfId="4" applyFont="1" applyFill="1" applyAlignment="1">
      <alignment vertical="top"/>
    </xf>
    <xf numFmtId="165" fontId="73" fillId="0" borderId="0" xfId="4" applyNumberFormat="1" applyFont="1" applyAlignment="1">
      <alignment vertical="top"/>
    </xf>
    <xf numFmtId="0" fontId="73" fillId="0" borderId="0" xfId="0" applyFont="1" applyAlignment="1">
      <alignment vertical="top"/>
    </xf>
    <xf numFmtId="165" fontId="65" fillId="9" borderId="0" xfId="4" applyNumberFormat="1" applyFont="1" applyFill="1" applyAlignment="1">
      <alignment horizontal="center" vertical="center" wrapText="1"/>
    </xf>
    <xf numFmtId="165" fontId="65" fillId="9" borderId="0" xfId="4" applyNumberFormat="1" applyFont="1" applyFill="1" applyAlignment="1">
      <alignment vertical="top"/>
    </xf>
    <xf numFmtId="165" fontId="67" fillId="0" borderId="51" xfId="0" quotePrefix="1" applyNumberFormat="1" applyFont="1" applyBorder="1" applyAlignment="1">
      <alignment horizontal="center" vertical="top"/>
    </xf>
    <xf numFmtId="43" fontId="67" fillId="0" borderId="51" xfId="0" quotePrefix="1" applyNumberFormat="1" applyFont="1" applyBorder="1" applyAlignment="1">
      <alignment horizontal="center" vertical="top"/>
    </xf>
    <xf numFmtId="165" fontId="67" fillId="0" borderId="51" xfId="4" quotePrefix="1" applyNumberFormat="1" applyFont="1" applyFill="1" applyBorder="1" applyAlignment="1">
      <alignment horizontal="center" vertical="top"/>
    </xf>
    <xf numFmtId="43" fontId="65" fillId="9" borderId="0" xfId="4" applyFont="1" applyFill="1" applyAlignment="1">
      <alignment vertical="top"/>
    </xf>
    <xf numFmtId="43" fontId="65" fillId="0" borderId="0" xfId="4" applyFont="1" applyAlignment="1">
      <alignment vertical="top"/>
    </xf>
    <xf numFmtId="43" fontId="73" fillId="0" borderId="0" xfId="4" applyFont="1" applyAlignment="1">
      <alignment vertical="top"/>
    </xf>
    <xf numFmtId="0" fontId="65" fillId="6" borderId="0" xfId="0" applyFont="1" applyFill="1" applyAlignment="1">
      <alignment horizontal="center" vertical="center"/>
    </xf>
    <xf numFmtId="165" fontId="75" fillId="9" borderId="0" xfId="4" applyNumberFormat="1" applyFont="1" applyFill="1" applyAlignment="1">
      <alignment horizontal="center" vertical="center"/>
    </xf>
    <xf numFmtId="164" fontId="75" fillId="6" borderId="0" xfId="3" applyNumberFormat="1" applyFont="1" applyFill="1" applyAlignment="1">
      <alignment vertical="top"/>
    </xf>
    <xf numFmtId="165" fontId="75" fillId="9" borderId="0" xfId="4" applyNumberFormat="1" applyFont="1" applyFill="1" applyAlignment="1">
      <alignment vertical="top"/>
    </xf>
    <xf numFmtId="165" fontId="68" fillId="6" borderId="0" xfId="4" applyNumberFormat="1" applyFont="1" applyFill="1" applyAlignment="1">
      <alignment vertical="top"/>
    </xf>
    <xf numFmtId="165" fontId="67" fillId="0" borderId="0" xfId="4" applyNumberFormat="1" applyFont="1" applyAlignment="1">
      <alignment vertical="top"/>
    </xf>
    <xf numFmtId="165" fontId="65" fillId="17" borderId="0" xfId="4" applyNumberFormat="1" applyFont="1" applyFill="1" applyAlignment="1">
      <alignment vertical="top"/>
    </xf>
    <xf numFmtId="165" fontId="75" fillId="0" borderId="0" xfId="4" applyNumberFormat="1" applyFont="1" applyAlignment="1">
      <alignment vertical="top"/>
    </xf>
    <xf numFmtId="164" fontId="65" fillId="0" borderId="0" xfId="3" applyNumberFormat="1" applyFont="1" applyAlignment="1">
      <alignment vertical="top"/>
    </xf>
    <xf numFmtId="10" fontId="65" fillId="6" borderId="0" xfId="3" applyNumberFormat="1" applyFont="1" applyFill="1" applyAlignment="1">
      <alignment vertical="top"/>
    </xf>
    <xf numFmtId="10" fontId="65" fillId="6" borderId="0" xfId="0" applyNumberFormat="1" applyFont="1" applyFill="1" applyAlignment="1">
      <alignment vertical="top"/>
    </xf>
    <xf numFmtId="0" fontId="65" fillId="6" borderId="0" xfId="0" applyFont="1" applyFill="1" applyAlignment="1">
      <alignment vertical="top"/>
    </xf>
    <xf numFmtId="0" fontId="67" fillId="6" borderId="6" xfId="0" applyFont="1" applyFill="1" applyBorder="1" applyAlignment="1">
      <alignment horizontal="center" vertical="center" wrapText="1"/>
    </xf>
    <xf numFmtId="43" fontId="65" fillId="6" borderId="52" xfId="4" applyFont="1" applyFill="1" applyBorder="1" applyAlignment="1">
      <alignment vertical="top"/>
    </xf>
    <xf numFmtId="43" fontId="72" fillId="6" borderId="52" xfId="4" applyFont="1" applyFill="1" applyBorder="1" applyAlignment="1">
      <alignment vertical="top"/>
    </xf>
    <xf numFmtId="43" fontId="67" fillId="6" borderId="55" xfId="4" applyFont="1" applyFill="1" applyBorder="1" applyAlignment="1">
      <alignment vertical="top"/>
    </xf>
    <xf numFmtId="0" fontId="67" fillId="6" borderId="51" xfId="0" quotePrefix="1" applyFont="1" applyFill="1" applyBorder="1" applyAlignment="1">
      <alignment horizontal="center" vertical="top"/>
    </xf>
    <xf numFmtId="43" fontId="67" fillId="6" borderId="52" xfId="4" applyFont="1" applyFill="1" applyBorder="1" applyAlignment="1">
      <alignment vertical="top"/>
    </xf>
    <xf numFmtId="10" fontId="53" fillId="0" borderId="44" xfId="0" applyNumberFormat="1" applyFont="1" applyBorder="1" applyAlignment="1">
      <alignment vertical="center"/>
    </xf>
    <xf numFmtId="0" fontId="52" fillId="19" borderId="37" xfId="0" applyFont="1" applyFill="1" applyBorder="1" applyAlignment="1">
      <alignment horizontal="center" vertical="center"/>
    </xf>
    <xf numFmtId="0" fontId="1" fillId="0" borderId="0" xfId="0" applyFont="1" applyAlignment="1">
      <alignment vertical="center" wrapText="1"/>
    </xf>
    <xf numFmtId="9" fontId="5" fillId="0" borderId="0" xfId="0" applyNumberFormat="1" applyFont="1"/>
    <xf numFmtId="10" fontId="5" fillId="0" borderId="0" xfId="0" applyNumberFormat="1" applyFont="1"/>
    <xf numFmtId="165" fontId="1" fillId="0" borderId="0" xfId="4" applyNumberFormat="1" applyFont="1" applyAlignment="1">
      <alignment vertical="center" wrapText="1"/>
    </xf>
    <xf numFmtId="173" fontId="52" fillId="0" borderId="0" xfId="0" applyNumberFormat="1" applyFont="1"/>
    <xf numFmtId="0" fontId="24" fillId="0" borderId="0" xfId="0" applyFont="1" applyAlignment="1">
      <alignment horizontal="center" vertical="center" wrapText="1"/>
    </xf>
    <xf numFmtId="170" fontId="52" fillId="0" borderId="0" xfId="0" applyNumberFormat="1" applyFont="1"/>
    <xf numFmtId="0" fontId="54" fillId="0" borderId="39" xfId="0" applyFont="1" applyBorder="1"/>
    <xf numFmtId="165" fontId="54" fillId="18" borderId="0" xfId="4" applyNumberFormat="1" applyFont="1" applyFill="1" applyAlignment="1">
      <alignment horizontal="center" vertical="center"/>
    </xf>
    <xf numFmtId="165" fontId="54" fillId="0" borderId="39" xfId="0" applyNumberFormat="1" applyFont="1" applyBorder="1"/>
    <xf numFmtId="0" fontId="1" fillId="0" borderId="0" xfId="0" applyFont="1" applyAlignment="1">
      <alignment horizontal="center" vertical="center" wrapText="1"/>
    </xf>
    <xf numFmtId="0" fontId="52" fillId="19" borderId="40" xfId="0" applyFont="1" applyFill="1" applyBorder="1" applyAlignment="1">
      <alignment horizontal="center" vertical="center"/>
    </xf>
    <xf numFmtId="0" fontId="52" fillId="19" borderId="46" xfId="0" applyFont="1" applyFill="1" applyBorder="1" applyAlignment="1">
      <alignment horizontal="center" vertical="center"/>
    </xf>
    <xf numFmtId="0" fontId="52" fillId="0" borderId="56" xfId="0" applyFont="1" applyBorder="1"/>
    <xf numFmtId="0" fontId="52" fillId="0" borderId="57" xfId="0" applyFont="1" applyBorder="1"/>
    <xf numFmtId="165" fontId="54" fillId="6" borderId="0" xfId="0" applyNumberFormat="1" applyFont="1" applyFill="1"/>
    <xf numFmtId="165" fontId="54" fillId="0" borderId="42" xfId="4" applyNumberFormat="1" applyFont="1" applyBorder="1"/>
    <xf numFmtId="165" fontId="54" fillId="8" borderId="0" xfId="0" applyNumberFormat="1" applyFont="1" applyFill="1"/>
    <xf numFmtId="165" fontId="6" fillId="0" borderId="0" xfId="0" applyNumberFormat="1" applyFont="1" applyAlignment="1">
      <alignment vertical="top"/>
    </xf>
    <xf numFmtId="0" fontId="35" fillId="0" borderId="0" xfId="0" applyFont="1" applyAlignment="1">
      <alignment horizontal="right" vertical="center"/>
    </xf>
    <xf numFmtId="0" fontId="0" fillId="0" borderId="0" xfId="0" applyAlignment="1">
      <alignment horizontal="right" vertical="center"/>
    </xf>
    <xf numFmtId="0" fontId="15" fillId="0" borderId="0" xfId="0" applyFont="1" applyAlignment="1">
      <alignment horizontal="right" vertical="center"/>
    </xf>
    <xf numFmtId="165" fontId="0" fillId="0" borderId="0" xfId="4" applyNumberFormat="1" applyFont="1" applyAlignment="1">
      <alignment horizontal="right" vertical="center"/>
    </xf>
    <xf numFmtId="37" fontId="0" fillId="0" borderId="0" xfId="0" applyNumberFormat="1" applyAlignment="1">
      <alignment horizontal="right" vertical="center"/>
    </xf>
    <xf numFmtId="165" fontId="5" fillId="17" borderId="0" xfId="4" applyNumberFormat="1" applyFont="1" applyFill="1" applyAlignment="1">
      <alignment horizontal="right" vertical="center"/>
    </xf>
    <xf numFmtId="0" fontId="24" fillId="6" borderId="0" xfId="0" applyFont="1" applyFill="1" applyAlignment="1">
      <alignment horizontal="right" vertical="center" wrapText="1"/>
    </xf>
    <xf numFmtId="9" fontId="15" fillId="6" borderId="0" xfId="3" applyFont="1" applyFill="1" applyAlignment="1">
      <alignment horizontal="right" vertical="center"/>
    </xf>
    <xf numFmtId="165" fontId="15" fillId="6" borderId="0" xfId="4" applyNumberFormat="1" applyFont="1" applyFill="1" applyAlignment="1">
      <alignment horizontal="right" vertical="center"/>
    </xf>
    <xf numFmtId="9" fontId="23" fillId="20" borderId="0" xfId="3" applyFont="1" applyFill="1" applyAlignment="1">
      <alignment horizontal="right" vertical="center"/>
    </xf>
    <xf numFmtId="0" fontId="1" fillId="17" borderId="0" xfId="0" applyFont="1" applyFill="1" applyAlignment="1">
      <alignment horizontal="right" vertical="center"/>
    </xf>
    <xf numFmtId="0" fontId="23" fillId="20" borderId="0" xfId="0" applyFont="1" applyFill="1" applyAlignment="1">
      <alignment horizontal="right" vertical="center"/>
    </xf>
    <xf numFmtId="0" fontId="23" fillId="7" borderId="0" xfId="0" applyFont="1" applyFill="1" applyAlignment="1">
      <alignment horizontal="right" vertical="center"/>
    </xf>
    <xf numFmtId="165" fontId="23" fillId="6" borderId="0" xfId="0" applyNumberFormat="1" applyFont="1" applyFill="1" applyAlignment="1">
      <alignment horizontal="right" vertical="center"/>
    </xf>
    <xf numFmtId="9" fontId="23" fillId="6" borderId="0" xfId="3" applyFont="1" applyFill="1" applyAlignment="1">
      <alignment horizontal="right" vertical="center"/>
    </xf>
    <xf numFmtId="0" fontId="15" fillId="17" borderId="0" xfId="0" applyFont="1" applyFill="1" applyAlignment="1">
      <alignment horizontal="right" vertical="center"/>
    </xf>
    <xf numFmtId="0" fontId="23" fillId="17" borderId="0" xfId="0" applyFont="1" applyFill="1" applyAlignment="1">
      <alignment horizontal="right" vertical="center"/>
    </xf>
    <xf numFmtId="0" fontId="15" fillId="17" borderId="0" xfId="0" applyFont="1" applyFill="1" applyAlignment="1">
      <alignment horizontal="right" vertical="center" wrapText="1"/>
    </xf>
    <xf numFmtId="165" fontId="1" fillId="0" borderId="0" xfId="4" applyNumberFormat="1" applyFont="1" applyAlignment="1">
      <alignment horizontal="right" vertical="center"/>
    </xf>
    <xf numFmtId="165" fontId="1" fillId="6" borderId="0" xfId="4" applyNumberFormat="1" applyFont="1" applyFill="1" applyAlignment="1">
      <alignment horizontal="right" vertical="center"/>
    </xf>
    <xf numFmtId="165" fontId="1" fillId="0" borderId="0" xfId="0" applyNumberFormat="1" applyFont="1" applyAlignment="1">
      <alignment horizontal="right" vertical="center"/>
    </xf>
    <xf numFmtId="165" fontId="13" fillId="17" borderId="0" xfId="0" applyNumberFormat="1" applyFont="1" applyFill="1" applyAlignment="1">
      <alignment horizontal="right" vertical="center"/>
    </xf>
    <xf numFmtId="0" fontId="42" fillId="17" borderId="0" xfId="0" applyFont="1" applyFill="1" applyAlignment="1">
      <alignment horizontal="right" vertical="center" wrapText="1"/>
    </xf>
    <xf numFmtId="0" fontId="42" fillId="6" borderId="0" xfId="0" applyFont="1" applyFill="1" applyAlignment="1">
      <alignment horizontal="right" vertical="center" wrapText="1"/>
    </xf>
    <xf numFmtId="0" fontId="15" fillId="0" borderId="0" xfId="0" applyFont="1" applyAlignment="1">
      <alignment horizontal="left" vertical="center"/>
    </xf>
    <xf numFmtId="165" fontId="1" fillId="0" borderId="0" xfId="4" applyNumberFormat="1" applyFont="1" applyAlignment="1">
      <alignment horizontal="center" vertical="center"/>
    </xf>
    <xf numFmtId="165" fontId="1" fillId="0" borderId="0" xfId="4" applyNumberFormat="1" applyFont="1" applyAlignment="1">
      <alignment horizontal="center" vertical="center" wrapText="1"/>
    </xf>
    <xf numFmtId="0" fontId="53" fillId="0" borderId="37" xfId="0" applyFont="1" applyBorder="1" applyAlignment="1">
      <alignment horizontal="center" vertical="center"/>
    </xf>
    <xf numFmtId="0" fontId="53" fillId="0" borderId="38" xfId="0" applyFont="1" applyBorder="1" applyAlignment="1">
      <alignment horizontal="center" vertical="center"/>
    </xf>
    <xf numFmtId="0" fontId="53" fillId="0" borderId="42" xfId="0" applyFont="1" applyBorder="1" applyAlignment="1">
      <alignment horizontal="center" vertical="center"/>
    </xf>
    <xf numFmtId="0" fontId="53" fillId="0" borderId="43" xfId="0" applyFont="1" applyBorder="1" applyAlignment="1">
      <alignment horizontal="center" vertical="center"/>
    </xf>
    <xf numFmtId="49" fontId="54" fillId="0" borderId="41" xfId="0" applyNumberFormat="1" applyFont="1" applyBorder="1" applyAlignment="1">
      <alignment horizontal="center" vertical="center"/>
    </xf>
    <xf numFmtId="164" fontId="54" fillId="6" borderId="0" xfId="3" applyNumberFormat="1" applyFont="1" applyFill="1"/>
    <xf numFmtId="10" fontId="53" fillId="7" borderId="0" xfId="3" applyNumberFormat="1" applyFont="1" applyFill="1"/>
    <xf numFmtId="37" fontId="37" fillId="0" borderId="0" xfId="0" applyNumberFormat="1" applyFont="1" applyAlignment="1">
      <alignment horizontal="right" vertical="center"/>
    </xf>
    <xf numFmtId="37" fontId="37" fillId="0" borderId="0" xfId="0" applyNumberFormat="1" applyFont="1"/>
    <xf numFmtId="1" fontId="37" fillId="0" borderId="0" xfId="0" applyNumberFormat="1" applyFont="1" applyAlignment="1">
      <alignment horizontal="right" vertical="center"/>
    </xf>
    <xf numFmtId="165" fontId="37" fillId="0" borderId="0" xfId="4" applyNumberFormat="1" applyFont="1"/>
    <xf numFmtId="9" fontId="23" fillId="0" borderId="0" xfId="3" applyFont="1"/>
    <xf numFmtId="164" fontId="50" fillId="0" borderId="0" xfId="3" applyNumberFormat="1" applyFont="1"/>
    <xf numFmtId="164" fontId="51" fillId="0" borderId="0" xfId="3" applyNumberFormat="1" applyFont="1"/>
    <xf numFmtId="169" fontId="0" fillId="0" borderId="0" xfId="4" applyNumberFormat="1" applyFont="1" applyAlignment="1">
      <alignment horizontal="right" vertical="center"/>
    </xf>
    <xf numFmtId="0" fontId="23" fillId="17" borderId="0" xfId="0" applyFont="1" applyFill="1" applyAlignment="1">
      <alignment horizontal="right" vertical="center" wrapText="1"/>
    </xf>
    <xf numFmtId="0" fontId="23" fillId="7" borderId="0" xfId="0" applyFont="1" applyFill="1" applyAlignment="1">
      <alignment horizontal="left" vertical="center"/>
    </xf>
    <xf numFmtId="165" fontId="53" fillId="19" borderId="0" xfId="4" applyNumberFormat="1" applyFont="1" applyFill="1" applyAlignment="1">
      <alignment horizontal="center" vertical="center"/>
    </xf>
    <xf numFmtId="165" fontId="54" fillId="17" borderId="0" xfId="0" applyNumberFormat="1" applyFont="1" applyFill="1"/>
    <xf numFmtId="165" fontId="61" fillId="17" borderId="0" xfId="0" applyNumberFormat="1" applyFont="1" applyFill="1"/>
    <xf numFmtId="165" fontId="62" fillId="17" borderId="0" xfId="0" applyNumberFormat="1" applyFont="1" applyFill="1"/>
    <xf numFmtId="165" fontId="60" fillId="17" borderId="0" xfId="0" applyNumberFormat="1" applyFont="1" applyFill="1"/>
    <xf numFmtId="43" fontId="52" fillId="0" borderId="0" xfId="0" applyNumberFormat="1" applyFont="1"/>
    <xf numFmtId="165" fontId="54" fillId="0" borderId="0" xfId="4" applyNumberFormat="1" applyFont="1" applyFill="1"/>
    <xf numFmtId="165" fontId="61" fillId="0" borderId="0" xfId="4" applyNumberFormat="1" applyFont="1" applyFill="1"/>
    <xf numFmtId="165" fontId="62" fillId="0" borderId="0" xfId="4" applyNumberFormat="1" applyFont="1" applyFill="1"/>
    <xf numFmtId="165" fontId="60" fillId="0" borderId="0" xfId="4" applyNumberFormat="1" applyFont="1" applyFill="1"/>
    <xf numFmtId="165" fontId="62" fillId="6" borderId="0" xfId="4" applyNumberFormat="1" applyFont="1" applyFill="1"/>
    <xf numFmtId="165" fontId="53" fillId="20" borderId="40" xfId="4" applyNumberFormat="1" applyFont="1" applyFill="1" applyBorder="1" applyAlignment="1">
      <alignment horizontal="center"/>
    </xf>
    <xf numFmtId="165" fontId="54" fillId="0" borderId="0" xfId="4" applyNumberFormat="1" applyFont="1" applyAlignment="1">
      <alignment wrapText="1"/>
    </xf>
    <xf numFmtId="165" fontId="52" fillId="19" borderId="0" xfId="4" applyNumberFormat="1" applyFont="1" applyFill="1" applyAlignment="1">
      <alignment horizontal="left" vertical="center"/>
    </xf>
    <xf numFmtId="165" fontId="54" fillId="0" borderId="0" xfId="0" applyNumberFormat="1" applyFont="1" applyAlignment="1">
      <alignment wrapText="1"/>
    </xf>
    <xf numFmtId="0" fontId="0" fillId="20" borderId="0" xfId="0" applyFill="1" applyAlignment="1">
      <alignment horizontal="center" vertical="center"/>
    </xf>
    <xf numFmtId="165" fontId="53" fillId="0" borderId="0" xfId="0" applyNumberFormat="1" applyFont="1" applyAlignment="1">
      <alignment vertical="center" wrapText="1"/>
    </xf>
    <xf numFmtId="0" fontId="54" fillId="6" borderId="0" xfId="0" applyFont="1" applyFill="1" applyAlignment="1">
      <alignment horizontal="center" vertical="center" wrapText="1"/>
    </xf>
    <xf numFmtId="165" fontId="54" fillId="0" borderId="0" xfId="0" applyNumberFormat="1" applyFont="1" applyAlignment="1">
      <alignment vertical="center" wrapText="1"/>
    </xf>
    <xf numFmtId="165" fontId="54" fillId="0" borderId="0" xfId="4" applyNumberFormat="1" applyFont="1" applyAlignment="1">
      <alignment vertical="center" wrapText="1"/>
    </xf>
    <xf numFmtId="10" fontId="54" fillId="0" borderId="0" xfId="0" applyNumberFormat="1" applyFont="1" applyAlignment="1">
      <alignment vertical="center" wrapText="1"/>
    </xf>
    <xf numFmtId="0" fontId="54" fillId="17" borderId="0" xfId="0" applyFont="1" applyFill="1" applyAlignment="1">
      <alignment horizontal="center" vertical="center" wrapText="1"/>
    </xf>
    <xf numFmtId="165" fontId="54" fillId="6" borderId="0" xfId="0" applyNumberFormat="1" applyFont="1" applyFill="1" applyAlignment="1">
      <alignment vertical="center" wrapText="1"/>
    </xf>
    <xf numFmtId="0" fontId="54" fillId="17" borderId="0" xfId="0" applyFont="1" applyFill="1" applyAlignment="1">
      <alignment vertical="center" wrapText="1"/>
    </xf>
    <xf numFmtId="0" fontId="52" fillId="17" borderId="0" xfId="0" applyFont="1" applyFill="1" applyAlignment="1">
      <alignment horizontal="center" vertical="center"/>
    </xf>
    <xf numFmtId="164" fontId="52" fillId="17" borderId="0" xfId="0" applyNumberFormat="1" applyFont="1" applyFill="1"/>
    <xf numFmtId="165" fontId="52" fillId="7" borderId="0" xfId="0" applyNumberFormat="1" applyFont="1" applyFill="1"/>
    <xf numFmtId="165" fontId="53" fillId="20" borderId="0" xfId="4" applyNumberFormat="1" applyFont="1" applyFill="1"/>
    <xf numFmtId="165" fontId="53" fillId="20" borderId="0" xfId="0" applyNumberFormat="1" applyFont="1" applyFill="1" applyAlignment="1">
      <alignment horizontal="center" vertical="center"/>
    </xf>
    <xf numFmtId="165" fontId="53" fillId="20" borderId="0" xfId="0" applyNumberFormat="1" applyFont="1" applyFill="1"/>
    <xf numFmtId="0" fontId="53" fillId="20" borderId="0" xfId="0" applyFont="1" applyFill="1" applyAlignment="1">
      <alignment vertical="center" wrapText="1"/>
    </xf>
    <xf numFmtId="43" fontId="52" fillId="19" borderId="0" xfId="0" applyNumberFormat="1" applyFont="1" applyFill="1" applyAlignment="1">
      <alignment horizontal="center" vertical="center"/>
    </xf>
    <xf numFmtId="0" fontId="52" fillId="18" borderId="0" xfId="0" applyFont="1" applyFill="1" applyAlignment="1">
      <alignment vertical="center" wrapText="1"/>
    </xf>
    <xf numFmtId="165" fontId="54" fillId="18" borderId="0" xfId="0" applyNumberFormat="1" applyFont="1" applyFill="1" applyAlignment="1">
      <alignment vertical="center" wrapText="1"/>
    </xf>
    <xf numFmtId="0" fontId="53" fillId="18" borderId="0" xfId="0" applyFont="1" applyFill="1"/>
    <xf numFmtId="165" fontId="53" fillId="18" borderId="0" xfId="0" applyNumberFormat="1" applyFont="1" applyFill="1" applyAlignment="1">
      <alignment vertical="center" wrapText="1"/>
    </xf>
    <xf numFmtId="165" fontId="53" fillId="18" borderId="0" xfId="0" applyNumberFormat="1" applyFont="1" applyFill="1" applyAlignment="1">
      <alignment horizontal="left" vertical="center"/>
    </xf>
    <xf numFmtId="165" fontId="53" fillId="18" borderId="0" xfId="0" applyNumberFormat="1" applyFont="1" applyFill="1" applyAlignment="1">
      <alignment horizontal="center" vertical="center"/>
    </xf>
    <xf numFmtId="165" fontId="53" fillId="18" borderId="0" xfId="0" applyNumberFormat="1" applyFont="1" applyFill="1"/>
    <xf numFmtId="0" fontId="52" fillId="0" borderId="0" xfId="0" applyFont="1" applyAlignment="1">
      <alignment horizontal="right"/>
    </xf>
    <xf numFmtId="0" fontId="53" fillId="0" borderId="0" xfId="0" applyFont="1" applyAlignment="1">
      <alignment horizontal="right" vertical="center" wrapText="1"/>
    </xf>
    <xf numFmtId="0" fontId="53" fillId="0" borderId="0" xfId="0" applyFont="1" applyAlignment="1">
      <alignment horizontal="right"/>
    </xf>
    <xf numFmtId="164" fontId="53" fillId="0" borderId="0" xfId="0" applyNumberFormat="1" applyFont="1" applyAlignment="1">
      <alignment horizontal="right"/>
    </xf>
    <xf numFmtId="165" fontId="52" fillId="0" borderId="0" xfId="0" applyNumberFormat="1" applyFont="1" applyAlignment="1">
      <alignment horizontal="right"/>
    </xf>
    <xf numFmtId="0" fontId="52" fillId="0" borderId="0" xfId="0" applyFont="1" applyAlignment="1">
      <alignment horizontal="right" vertical="center"/>
    </xf>
    <xf numFmtId="0" fontId="52" fillId="19" borderId="0" xfId="0" applyFont="1" applyFill="1" applyAlignment="1">
      <alignment horizontal="right" vertical="center"/>
    </xf>
    <xf numFmtId="10" fontId="52" fillId="0" borderId="0" xfId="0" applyNumberFormat="1" applyFont="1" applyAlignment="1">
      <alignment horizontal="right"/>
    </xf>
    <xf numFmtId="165" fontId="54" fillId="0" borderId="0" xfId="0" applyNumberFormat="1" applyFont="1" applyAlignment="1">
      <alignment horizontal="right"/>
    </xf>
    <xf numFmtId="0" fontId="54" fillId="18" borderId="0" xfId="0" applyFont="1" applyFill="1"/>
    <xf numFmtId="0" fontId="61" fillId="18" borderId="0" xfId="0" applyFont="1" applyFill="1"/>
    <xf numFmtId="0" fontId="62" fillId="18" borderId="0" xfId="0" applyFont="1" applyFill="1"/>
    <xf numFmtId="0" fontId="60" fillId="18" borderId="0" xfId="0" applyFont="1" applyFill="1"/>
    <xf numFmtId="165" fontId="53" fillId="7" borderId="0" xfId="0" applyNumberFormat="1" applyFont="1" applyFill="1"/>
    <xf numFmtId="43" fontId="54" fillId="0" borderId="39" xfId="0" applyNumberFormat="1" applyFont="1" applyBorder="1"/>
    <xf numFmtId="172" fontId="53" fillId="6" borderId="0" xfId="4" applyNumberFormat="1" applyFont="1" applyFill="1"/>
    <xf numFmtId="172" fontId="52" fillId="0" borderId="0" xfId="0" applyNumberFormat="1" applyFont="1"/>
    <xf numFmtId="164" fontId="34" fillId="9" borderId="0" xfId="3" applyNumberFormat="1" applyFont="1" applyFill="1"/>
    <xf numFmtId="9" fontId="13" fillId="20" borderId="0" xfId="3" applyFont="1" applyFill="1"/>
    <xf numFmtId="0" fontId="76" fillId="20" borderId="0" xfId="0" applyFont="1" applyFill="1" applyAlignment="1">
      <alignment vertical="center"/>
    </xf>
    <xf numFmtId="164" fontId="53" fillId="0" borderId="0" xfId="0" applyNumberFormat="1" applyFont="1"/>
    <xf numFmtId="0" fontId="53" fillId="6" borderId="0" xfId="0" applyFont="1" applyFill="1"/>
    <xf numFmtId="164" fontId="52" fillId="6" borderId="0" xfId="0" applyNumberFormat="1" applyFont="1" applyFill="1"/>
    <xf numFmtId="165" fontId="52" fillId="6" borderId="0" xfId="4" applyNumberFormat="1" applyFont="1" applyFill="1"/>
    <xf numFmtId="165" fontId="24" fillId="17" borderId="0" xfId="4" applyNumberFormat="1" applyFont="1" applyFill="1"/>
    <xf numFmtId="165" fontId="0" fillId="0" borderId="0" xfId="4" applyNumberFormat="1" applyFont="1" applyAlignment="1">
      <alignment vertical="center" wrapText="1"/>
    </xf>
    <xf numFmtId="165" fontId="54" fillId="21" borderId="0" xfId="0" applyNumberFormat="1" applyFont="1" applyFill="1" applyAlignment="1">
      <alignment vertical="center" wrapText="1"/>
    </xf>
    <xf numFmtId="165" fontId="54" fillId="20" borderId="0" xfId="0" applyNumberFormat="1" applyFont="1" applyFill="1" applyAlignment="1">
      <alignment vertical="center" wrapText="1"/>
    </xf>
    <xf numFmtId="9" fontId="1" fillId="0" borderId="0" xfId="3" applyFont="1"/>
    <xf numFmtId="9" fontId="65" fillId="0" borderId="53" xfId="3" applyFont="1" applyFill="1" applyBorder="1" applyAlignment="1">
      <alignment horizontal="center" vertical="top" wrapText="1"/>
    </xf>
    <xf numFmtId="9" fontId="65" fillId="0" borderId="54" xfId="3" applyFont="1" applyFill="1" applyBorder="1" applyAlignment="1">
      <alignment horizontal="center" vertical="top" wrapText="1"/>
    </xf>
    <xf numFmtId="0" fontId="67" fillId="0" borderId="0" xfId="0" applyFont="1" applyAlignment="1">
      <alignment horizontal="center" vertical="center"/>
    </xf>
    <xf numFmtId="0" fontId="68" fillId="0" borderId="0" xfId="0" applyFont="1" applyAlignment="1">
      <alignment horizontal="center" vertical="center" wrapText="1"/>
    </xf>
    <xf numFmtId="165" fontId="65" fillId="0" borderId="0" xfId="4" applyNumberFormat="1" applyFont="1" applyAlignment="1">
      <alignment horizontal="center" vertical="center"/>
    </xf>
    <xf numFmtId="0" fontId="67" fillId="20" borderId="6" xfId="0" applyFont="1" applyFill="1" applyBorder="1" applyAlignment="1">
      <alignment horizontal="center" vertical="center" wrapText="1"/>
    </xf>
    <xf numFmtId="9" fontId="65" fillId="0" borderId="53" xfId="3" applyFont="1" applyFill="1" applyBorder="1" applyAlignment="1">
      <alignment horizontal="left" vertical="center" wrapText="1"/>
    </xf>
    <xf numFmtId="9" fontId="65" fillId="0" borderId="5" xfId="3" applyFont="1" applyFill="1" applyBorder="1" applyAlignment="1">
      <alignment horizontal="left" vertical="center" wrapText="1"/>
    </xf>
    <xf numFmtId="9" fontId="65" fillId="0" borderId="54" xfId="3" applyFont="1" applyFill="1" applyBorder="1" applyAlignment="1">
      <alignment horizontal="left" vertical="center" wrapText="1"/>
    </xf>
    <xf numFmtId="0" fontId="42" fillId="6" borderId="36" xfId="0" applyFont="1" applyFill="1" applyBorder="1" applyAlignment="1">
      <alignment horizontal="center" vertical="center"/>
    </xf>
    <xf numFmtId="0" fontId="40" fillId="0" borderId="13" xfId="0" applyFont="1" applyBorder="1" applyAlignment="1">
      <alignment horizontal="center" vertical="center"/>
    </xf>
    <xf numFmtId="0" fontId="40" fillId="0" borderId="14" xfId="0" applyFont="1" applyBorder="1" applyAlignment="1">
      <alignment horizontal="center" vertical="center"/>
    </xf>
    <xf numFmtId="0" fontId="40" fillId="0" borderId="15" xfId="0" applyFont="1" applyBorder="1" applyAlignment="1">
      <alignment horizontal="center" vertical="center"/>
    </xf>
    <xf numFmtId="0" fontId="41" fillId="0" borderId="16" xfId="0" applyFont="1" applyBorder="1" applyAlignment="1">
      <alignment horizontal="center" vertical="center"/>
    </xf>
    <xf numFmtId="0" fontId="41" fillId="0" borderId="0" xfId="0" applyFont="1" applyAlignment="1">
      <alignment horizontal="center" vertical="center"/>
    </xf>
    <xf numFmtId="0" fontId="41" fillId="0" borderId="17" xfId="0" applyFont="1" applyBorder="1" applyAlignment="1">
      <alignment horizontal="center" vertical="center"/>
    </xf>
    <xf numFmtId="0" fontId="43" fillId="5" borderId="18" xfId="5" applyFont="1" applyFill="1" applyBorder="1" applyAlignment="1">
      <alignment horizontal="center" vertical="center" wrapText="1"/>
    </xf>
    <xf numFmtId="0" fontId="43" fillId="5" borderId="22" xfId="5" applyFont="1" applyFill="1" applyBorder="1" applyAlignment="1">
      <alignment horizontal="center" vertical="center" wrapText="1"/>
    </xf>
    <xf numFmtId="0" fontId="43" fillId="5" borderId="7" xfId="5" applyFont="1" applyFill="1" applyBorder="1" applyAlignment="1">
      <alignment horizontal="center" vertical="center" wrapText="1"/>
    </xf>
    <xf numFmtId="0" fontId="43" fillId="5" borderId="23" xfId="5" applyFont="1" applyFill="1" applyBorder="1" applyAlignment="1">
      <alignment horizontal="center" vertical="center" wrapText="1"/>
    </xf>
    <xf numFmtId="0" fontId="43" fillId="5" borderId="19" xfId="5" applyFont="1" applyFill="1" applyBorder="1" applyAlignment="1">
      <alignment horizontal="center" vertical="center" wrapText="1"/>
    </xf>
    <xf numFmtId="0" fontId="43" fillId="5" borderId="20" xfId="5" applyFont="1" applyFill="1" applyBorder="1" applyAlignment="1">
      <alignment horizontal="center" vertical="center" wrapText="1"/>
    </xf>
    <xf numFmtId="0" fontId="43" fillId="5" borderId="7" xfId="0" applyFont="1" applyFill="1" applyBorder="1" applyAlignment="1">
      <alignment horizontal="center" vertical="center" wrapText="1"/>
    </xf>
    <xf numFmtId="0" fontId="43" fillId="5" borderId="23" xfId="0" applyFont="1" applyFill="1" applyBorder="1" applyAlignment="1">
      <alignment horizontal="center" vertical="center" wrapText="1"/>
    </xf>
    <xf numFmtId="0" fontId="43" fillId="5" borderId="21" xfId="0" applyFont="1" applyFill="1" applyBorder="1" applyAlignment="1">
      <alignment horizontal="center" vertical="center" wrapText="1"/>
    </xf>
    <xf numFmtId="0" fontId="43" fillId="5" borderId="24" xfId="0" applyFont="1" applyFill="1" applyBorder="1" applyAlignment="1">
      <alignment horizontal="center" vertical="center" wrapText="1"/>
    </xf>
    <xf numFmtId="0" fontId="2" fillId="23" borderId="0" xfId="0" applyFont="1" applyFill="1" applyAlignment="1">
      <alignment horizontal="center" vertical="center"/>
    </xf>
    <xf numFmtId="49" fontId="2" fillId="15" borderId="0" xfId="0" applyNumberFormat="1" applyFont="1" applyFill="1" applyAlignment="1">
      <alignment horizontal="center" vertical="center" wrapText="1"/>
    </xf>
    <xf numFmtId="0" fontId="59" fillId="0" borderId="0" xfId="0" applyFont="1" applyAlignment="1">
      <alignment horizontal="center" vertical="center" wrapText="1"/>
    </xf>
    <xf numFmtId="0" fontId="63"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20" borderId="0" xfId="0" applyFont="1" applyFill="1" applyAlignment="1">
      <alignment horizontal="center" vertical="center" wrapText="1"/>
    </xf>
    <xf numFmtId="0" fontId="1" fillId="25" borderId="0" xfId="0" applyFont="1" applyFill="1" applyAlignment="1">
      <alignment horizontal="center" vertical="center" wrapText="1"/>
    </xf>
    <xf numFmtId="0" fontId="1" fillId="9" borderId="0" xfId="0" applyFont="1" applyFill="1" applyAlignment="1">
      <alignment horizontal="center" vertical="center" wrapText="1"/>
    </xf>
    <xf numFmtId="0" fontId="1" fillId="6" borderId="0" xfId="0" applyFont="1" applyFill="1" applyAlignment="1">
      <alignment horizontal="center" vertical="center" wrapText="1"/>
    </xf>
    <xf numFmtId="0" fontId="1" fillId="17" borderId="0" xfId="0" applyFont="1" applyFill="1" applyAlignment="1">
      <alignment horizontal="center" vertical="center" wrapText="1"/>
    </xf>
    <xf numFmtId="49" fontId="54" fillId="0" borderId="40" xfId="0" applyNumberFormat="1" applyFont="1" applyBorder="1" applyAlignment="1">
      <alignment horizontal="center" vertical="center"/>
    </xf>
    <xf numFmtId="49" fontId="54" fillId="0" borderId="45" xfId="0" applyNumberFormat="1" applyFont="1" applyBorder="1" applyAlignment="1">
      <alignment horizontal="center" vertical="center"/>
    </xf>
    <xf numFmtId="0" fontId="53" fillId="0" borderId="37" xfId="0" applyFont="1" applyBorder="1" applyAlignment="1">
      <alignment horizontal="center" vertical="center"/>
    </xf>
    <xf numFmtId="0" fontId="53" fillId="0" borderId="38" xfId="0" applyFont="1" applyBorder="1" applyAlignment="1">
      <alignment horizontal="center" vertical="center"/>
    </xf>
    <xf numFmtId="0" fontId="53" fillId="0" borderId="42" xfId="0" applyFont="1" applyBorder="1" applyAlignment="1">
      <alignment horizontal="center" vertical="center"/>
    </xf>
    <xf numFmtId="0" fontId="53" fillId="0" borderId="43" xfId="0" applyFont="1" applyBorder="1" applyAlignment="1">
      <alignment horizontal="center" vertical="center"/>
    </xf>
    <xf numFmtId="0" fontId="52" fillId="19" borderId="37" xfId="0" applyFont="1" applyFill="1" applyBorder="1" applyAlignment="1">
      <alignment horizontal="center" vertical="center" wrapText="1"/>
    </xf>
    <xf numFmtId="0" fontId="52" fillId="19" borderId="38" xfId="0" applyFont="1" applyFill="1" applyBorder="1" applyAlignment="1">
      <alignment horizontal="center" vertical="center" wrapText="1"/>
    </xf>
    <xf numFmtId="0" fontId="52" fillId="19" borderId="42" xfId="0" applyFont="1" applyFill="1" applyBorder="1" applyAlignment="1">
      <alignment horizontal="center" vertical="center" wrapText="1"/>
    </xf>
    <xf numFmtId="0" fontId="52" fillId="19" borderId="43" xfId="0" applyFont="1" applyFill="1" applyBorder="1" applyAlignment="1">
      <alignment horizontal="center" vertical="center" wrapText="1"/>
    </xf>
    <xf numFmtId="49" fontId="54" fillId="0" borderId="41" xfId="0" applyNumberFormat="1" applyFont="1" applyBorder="1" applyAlignment="1">
      <alignment horizontal="center" vertical="center"/>
    </xf>
    <xf numFmtId="0" fontId="52" fillId="0" borderId="37" xfId="0" applyFont="1" applyBorder="1" applyAlignment="1">
      <alignment horizontal="center" vertical="center"/>
    </xf>
    <xf numFmtId="0" fontId="52" fillId="0" borderId="38" xfId="0" applyFont="1" applyBorder="1" applyAlignment="1">
      <alignment horizontal="center" vertical="center"/>
    </xf>
    <xf numFmtId="0" fontId="52" fillId="0" borderId="42" xfId="0" applyFont="1" applyBorder="1" applyAlignment="1">
      <alignment horizontal="center" vertical="center"/>
    </xf>
    <xf numFmtId="0" fontId="52" fillId="0" borderId="43" xfId="0" applyFont="1" applyBorder="1" applyAlignment="1">
      <alignment horizontal="center" vertical="center"/>
    </xf>
    <xf numFmtId="0" fontId="52" fillId="19" borderId="41" xfId="0" applyFont="1" applyFill="1" applyBorder="1" applyAlignment="1">
      <alignment horizontal="center" vertical="center" wrapText="1"/>
    </xf>
    <xf numFmtId="0" fontId="52" fillId="19" borderId="46" xfId="0" applyFont="1" applyFill="1" applyBorder="1" applyAlignment="1">
      <alignment horizontal="center" vertical="center" wrapText="1"/>
    </xf>
    <xf numFmtId="0" fontId="52" fillId="19" borderId="39" xfId="0" applyFont="1" applyFill="1" applyBorder="1" applyAlignment="1">
      <alignment horizontal="center" vertical="center" wrapText="1"/>
    </xf>
    <xf numFmtId="49" fontId="54" fillId="0" borderId="0" xfId="0" applyNumberFormat="1" applyFont="1" applyAlignment="1">
      <alignment horizontal="center" vertical="center"/>
    </xf>
    <xf numFmtId="0" fontId="52" fillId="8" borderId="37" xfId="0" applyFont="1" applyFill="1" applyBorder="1" applyAlignment="1">
      <alignment horizontal="center" wrapText="1"/>
    </xf>
    <xf numFmtId="0" fontId="52" fillId="8" borderId="38" xfId="0" applyFont="1" applyFill="1" applyBorder="1" applyAlignment="1">
      <alignment horizontal="center" wrapText="1"/>
    </xf>
    <xf numFmtId="0" fontId="52" fillId="8" borderId="42" xfId="0" applyFont="1" applyFill="1" applyBorder="1" applyAlignment="1">
      <alignment horizontal="center" wrapText="1"/>
    </xf>
    <xf numFmtId="0" fontId="52" fillId="8" borderId="43" xfId="0" applyFont="1" applyFill="1" applyBorder="1" applyAlignment="1">
      <alignment horizontal="center" wrapText="1"/>
    </xf>
    <xf numFmtId="0" fontId="52" fillId="0" borderId="37" xfId="0" applyFont="1" applyBorder="1" applyAlignment="1">
      <alignment horizontal="center" vertical="center" wrapText="1"/>
    </xf>
    <xf numFmtId="0" fontId="52" fillId="0" borderId="38" xfId="0" applyFont="1" applyBorder="1" applyAlignment="1">
      <alignment horizontal="center" vertical="center" wrapText="1"/>
    </xf>
    <xf numFmtId="0" fontId="52" fillId="0" borderId="42" xfId="0" applyFont="1" applyBorder="1" applyAlignment="1">
      <alignment horizontal="center" vertical="center" wrapText="1"/>
    </xf>
    <xf numFmtId="0" fontId="52" fillId="0" borderId="43" xfId="0" applyFont="1" applyBorder="1" applyAlignment="1">
      <alignment horizontal="center" vertical="center" wrapText="1"/>
    </xf>
    <xf numFmtId="0" fontId="52" fillId="19" borderId="37" xfId="0" applyFont="1" applyFill="1" applyBorder="1" applyAlignment="1">
      <alignment horizontal="center" vertical="center"/>
    </xf>
    <xf numFmtId="0" fontId="52" fillId="19" borderId="38" xfId="0" applyFont="1" applyFill="1" applyBorder="1" applyAlignment="1">
      <alignment horizontal="center" vertical="center"/>
    </xf>
    <xf numFmtId="0" fontId="52" fillId="19" borderId="42" xfId="0" applyFont="1" applyFill="1" applyBorder="1" applyAlignment="1">
      <alignment horizontal="center" vertical="center"/>
    </xf>
    <xf numFmtId="0" fontId="52" fillId="19" borderId="43" xfId="0" applyFont="1" applyFill="1" applyBorder="1" applyAlignment="1">
      <alignment horizontal="center" vertical="center"/>
    </xf>
    <xf numFmtId="0" fontId="52" fillId="0" borderId="40" xfId="0" applyFont="1" applyBorder="1" applyAlignment="1">
      <alignment horizontal="center"/>
    </xf>
    <xf numFmtId="0" fontId="52" fillId="0" borderId="45" xfId="0" applyFont="1" applyBorder="1" applyAlignment="1">
      <alignment horizontal="center"/>
    </xf>
    <xf numFmtId="0" fontId="52" fillId="22" borderId="37" xfId="0" applyFont="1" applyFill="1" applyBorder="1" applyAlignment="1">
      <alignment horizontal="center" vertical="center"/>
    </xf>
    <xf numFmtId="0" fontId="52" fillId="22" borderId="38" xfId="0" applyFont="1" applyFill="1" applyBorder="1" applyAlignment="1">
      <alignment horizontal="center" vertical="center"/>
    </xf>
    <xf numFmtId="0" fontId="52" fillId="22" borderId="42" xfId="0" applyFont="1" applyFill="1" applyBorder="1" applyAlignment="1">
      <alignment horizontal="center" vertical="center"/>
    </xf>
    <xf numFmtId="0" fontId="52" fillId="22" borderId="43" xfId="0" applyFont="1" applyFill="1" applyBorder="1" applyAlignment="1">
      <alignment horizontal="center" vertical="center"/>
    </xf>
    <xf numFmtId="0" fontId="52" fillId="13" borderId="48" xfId="0" applyFont="1" applyFill="1" applyBorder="1" applyAlignment="1">
      <alignment horizontal="center" vertical="center" wrapText="1"/>
    </xf>
    <xf numFmtId="0" fontId="52" fillId="13" borderId="41" xfId="0" applyFont="1" applyFill="1" applyBorder="1" applyAlignment="1">
      <alignment horizontal="center" vertical="center" wrapText="1"/>
    </xf>
    <xf numFmtId="0" fontId="55" fillId="0" borderId="37" xfId="0" applyFont="1" applyBorder="1" applyAlignment="1">
      <alignment horizontal="center" vertical="center"/>
    </xf>
    <xf numFmtId="0" fontId="55" fillId="0" borderId="38" xfId="0" applyFont="1" applyBorder="1" applyAlignment="1">
      <alignment horizontal="center" vertical="center"/>
    </xf>
    <xf numFmtId="0" fontId="55" fillId="0" borderId="42" xfId="0" applyFont="1" applyBorder="1" applyAlignment="1">
      <alignment horizontal="center" vertical="center"/>
    </xf>
    <xf numFmtId="0" fontId="55" fillId="0" borderId="43" xfId="0" applyFont="1" applyBorder="1" applyAlignment="1">
      <alignment horizontal="center" vertical="center"/>
    </xf>
    <xf numFmtId="49" fontId="54" fillId="0" borderId="37" xfId="0" applyNumberFormat="1" applyFont="1" applyBorder="1" applyAlignment="1">
      <alignment horizontal="center" vertical="center"/>
    </xf>
    <xf numFmtId="49" fontId="54" fillId="0" borderId="42" xfId="0" applyNumberFormat="1" applyFont="1" applyBorder="1" applyAlignment="1">
      <alignment horizontal="center" vertical="center"/>
    </xf>
    <xf numFmtId="0" fontId="52" fillId="11" borderId="37" xfId="0" applyFont="1" applyFill="1" applyBorder="1" applyAlignment="1">
      <alignment horizontal="center" vertical="center"/>
    </xf>
    <xf numFmtId="0" fontId="52" fillId="11" borderId="38" xfId="0" applyFont="1" applyFill="1" applyBorder="1" applyAlignment="1">
      <alignment horizontal="center" vertical="center"/>
    </xf>
    <xf numFmtId="0" fontId="52" fillId="11" borderId="42" xfId="0" applyFont="1" applyFill="1" applyBorder="1" applyAlignment="1">
      <alignment horizontal="center" vertical="center"/>
    </xf>
    <xf numFmtId="0" fontId="52" fillId="11" borderId="43" xfId="0" applyFont="1" applyFill="1" applyBorder="1" applyAlignment="1">
      <alignment horizontal="center" vertical="center"/>
    </xf>
    <xf numFmtId="49" fontId="54" fillId="0" borderId="47" xfId="0" applyNumberFormat="1" applyFont="1" applyBorder="1" applyAlignment="1">
      <alignment horizontal="center" vertical="center"/>
    </xf>
    <xf numFmtId="49" fontId="54" fillId="0" borderId="48" xfId="0" applyNumberFormat="1" applyFont="1" applyBorder="1" applyAlignment="1">
      <alignment horizontal="center" vertical="center"/>
    </xf>
    <xf numFmtId="0" fontId="52" fillId="19" borderId="44" xfId="0" applyFont="1" applyFill="1" applyBorder="1" applyAlignment="1">
      <alignment horizontal="center" vertical="center" wrapText="1"/>
    </xf>
    <xf numFmtId="0" fontId="52" fillId="19" borderId="49" xfId="0" applyFont="1" applyFill="1" applyBorder="1" applyAlignment="1">
      <alignment horizontal="center" vertical="center" wrapText="1"/>
    </xf>
    <xf numFmtId="0" fontId="52" fillId="19" borderId="0" xfId="0" applyFont="1" applyFill="1" applyAlignment="1">
      <alignment horizontal="center" vertical="center"/>
    </xf>
    <xf numFmtId="0" fontId="52" fillId="8" borderId="46" xfId="0" applyFont="1" applyFill="1" applyBorder="1" applyAlignment="1">
      <alignment horizontal="center"/>
    </xf>
    <xf numFmtId="0" fontId="53" fillId="0" borderId="37" xfId="0" applyFont="1" applyBorder="1" applyAlignment="1">
      <alignment horizontal="center" vertical="center" wrapText="1"/>
    </xf>
    <xf numFmtId="0" fontId="53" fillId="0" borderId="38" xfId="0" applyFont="1" applyBorder="1" applyAlignment="1">
      <alignment horizontal="center" vertical="center" wrapText="1"/>
    </xf>
    <xf numFmtId="0" fontId="53" fillId="0" borderId="42" xfId="0" applyFont="1" applyBorder="1" applyAlignment="1">
      <alignment horizontal="center" vertical="center" wrapText="1"/>
    </xf>
    <xf numFmtId="0" fontId="53" fillId="0" borderId="43" xfId="0" applyFont="1" applyBorder="1" applyAlignment="1">
      <alignment horizontal="center" vertical="center" wrapText="1"/>
    </xf>
    <xf numFmtId="0" fontId="55" fillId="0" borderId="37" xfId="0" applyFont="1" applyBorder="1" applyAlignment="1">
      <alignment horizontal="center" vertical="center" wrapText="1"/>
    </xf>
    <xf numFmtId="0" fontId="55" fillId="0" borderId="38" xfId="0" applyFont="1" applyBorder="1" applyAlignment="1">
      <alignment horizontal="center" vertical="center" wrapText="1"/>
    </xf>
    <xf numFmtId="0" fontId="55" fillId="0" borderId="42" xfId="0" applyFont="1" applyBorder="1" applyAlignment="1">
      <alignment horizontal="center" vertical="center" wrapText="1"/>
    </xf>
    <xf numFmtId="0" fontId="55" fillId="0" borderId="43" xfId="0" applyFont="1" applyBorder="1" applyAlignment="1">
      <alignment horizontal="center" vertical="center" wrapText="1"/>
    </xf>
    <xf numFmtId="0" fontId="52" fillId="19" borderId="0" xfId="0" applyFont="1" applyFill="1" applyAlignment="1">
      <alignment horizontal="center" vertical="center" wrapText="1"/>
    </xf>
    <xf numFmtId="0" fontId="53" fillId="6" borderId="37" xfId="0" applyFont="1" applyFill="1" applyBorder="1" applyAlignment="1">
      <alignment horizontal="center" vertical="center" wrapText="1"/>
    </xf>
    <xf numFmtId="0" fontId="53" fillId="6" borderId="38" xfId="0" applyFont="1" applyFill="1" applyBorder="1" applyAlignment="1">
      <alignment horizontal="center" vertical="center" wrapText="1"/>
    </xf>
    <xf numFmtId="0" fontId="53" fillId="6" borderId="42" xfId="0" applyFont="1" applyFill="1" applyBorder="1" applyAlignment="1">
      <alignment horizontal="center" vertical="center" wrapText="1"/>
    </xf>
    <xf numFmtId="0" fontId="53" fillId="6" borderId="43" xfId="0" applyFont="1" applyFill="1" applyBorder="1" applyAlignment="1">
      <alignment horizontal="center" vertical="center" wrapText="1"/>
    </xf>
    <xf numFmtId="0" fontId="52" fillId="17" borderId="37" xfId="0" applyFont="1" applyFill="1" applyBorder="1" applyAlignment="1">
      <alignment horizontal="center" vertical="center" wrapText="1"/>
    </xf>
    <xf numFmtId="0" fontId="52" fillId="17" borderId="38" xfId="0" applyFont="1" applyFill="1" applyBorder="1" applyAlignment="1">
      <alignment horizontal="center" vertical="center" wrapText="1"/>
    </xf>
    <xf numFmtId="0" fontId="52" fillId="17" borderId="42" xfId="0" applyFont="1" applyFill="1" applyBorder="1" applyAlignment="1">
      <alignment horizontal="center" vertical="center" wrapText="1"/>
    </xf>
    <xf numFmtId="0" fontId="52" fillId="17" borderId="43" xfId="0" applyFont="1" applyFill="1" applyBorder="1" applyAlignment="1">
      <alignment horizontal="center" vertical="center" wrapText="1"/>
    </xf>
    <xf numFmtId="0" fontId="53" fillId="17" borderId="37" xfId="0" applyFont="1" applyFill="1" applyBorder="1" applyAlignment="1">
      <alignment horizontal="center" vertical="center" wrapText="1"/>
    </xf>
    <xf numFmtId="0" fontId="53" fillId="17" borderId="38" xfId="0" applyFont="1" applyFill="1" applyBorder="1" applyAlignment="1">
      <alignment horizontal="center" vertical="center" wrapText="1"/>
    </xf>
    <xf numFmtId="0" fontId="53" fillId="17" borderId="42" xfId="0" applyFont="1" applyFill="1" applyBorder="1" applyAlignment="1">
      <alignment horizontal="center" vertical="center" wrapText="1"/>
    </xf>
    <xf numFmtId="0" fontId="53" fillId="17" borderId="43" xfId="0" applyFont="1" applyFill="1" applyBorder="1" applyAlignment="1">
      <alignment horizontal="center" vertical="center" wrapText="1"/>
    </xf>
    <xf numFmtId="0" fontId="52" fillId="17" borderId="37" xfId="0" applyFont="1" applyFill="1" applyBorder="1" applyAlignment="1">
      <alignment horizontal="center" vertical="center"/>
    </xf>
    <xf numFmtId="0" fontId="52" fillId="17" borderId="38" xfId="0" applyFont="1" applyFill="1" applyBorder="1" applyAlignment="1">
      <alignment horizontal="center" vertical="center"/>
    </xf>
    <xf numFmtId="0" fontId="52" fillId="17" borderId="42" xfId="0" applyFont="1" applyFill="1" applyBorder="1" applyAlignment="1">
      <alignment horizontal="center" vertical="center"/>
    </xf>
    <xf numFmtId="0" fontId="52" fillId="17" borderId="43" xfId="0" applyFont="1" applyFill="1" applyBorder="1" applyAlignment="1">
      <alignment horizontal="center" vertical="center"/>
    </xf>
    <xf numFmtId="0" fontId="52" fillId="17" borderId="41" xfId="0" applyFont="1" applyFill="1" applyBorder="1" applyAlignment="1">
      <alignment horizontal="center" vertical="center" wrapText="1"/>
    </xf>
    <xf numFmtId="0" fontId="52" fillId="17" borderId="44" xfId="0" applyFont="1" applyFill="1" applyBorder="1" applyAlignment="1">
      <alignment horizontal="center" vertical="center" wrapText="1"/>
    </xf>
    <xf numFmtId="0" fontId="52" fillId="17" borderId="49" xfId="0" applyFont="1" applyFill="1" applyBorder="1" applyAlignment="1">
      <alignment horizontal="center" vertical="center" wrapText="1"/>
    </xf>
    <xf numFmtId="0" fontId="52" fillId="13" borderId="37" xfId="0" applyFont="1" applyFill="1" applyBorder="1" applyAlignment="1">
      <alignment horizontal="center" vertical="center" wrapText="1"/>
    </xf>
    <xf numFmtId="0" fontId="52" fillId="13" borderId="38" xfId="0" applyFont="1" applyFill="1" applyBorder="1" applyAlignment="1">
      <alignment horizontal="center" vertical="center" wrapText="1"/>
    </xf>
    <xf numFmtId="0" fontId="52" fillId="13" borderId="42" xfId="0" applyFont="1" applyFill="1" applyBorder="1" applyAlignment="1">
      <alignment horizontal="center" vertical="center" wrapText="1"/>
    </xf>
    <xf numFmtId="0" fontId="52" fillId="13" borderId="43" xfId="0" applyFont="1" applyFill="1" applyBorder="1" applyAlignment="1">
      <alignment horizontal="center" vertical="center" wrapText="1"/>
    </xf>
    <xf numFmtId="0" fontId="52" fillId="8" borderId="41" xfId="0" applyFont="1" applyFill="1" applyBorder="1" applyAlignment="1">
      <alignment horizontal="center" vertical="center" wrapText="1"/>
    </xf>
    <xf numFmtId="0" fontId="52" fillId="7" borderId="37" xfId="0" applyFont="1" applyFill="1" applyBorder="1" applyAlignment="1">
      <alignment horizontal="center" vertical="center" wrapText="1"/>
    </xf>
    <xf numFmtId="0" fontId="52" fillId="7" borderId="38" xfId="0" applyFont="1" applyFill="1" applyBorder="1" applyAlignment="1">
      <alignment horizontal="center" vertical="center" wrapText="1"/>
    </xf>
    <xf numFmtId="0" fontId="52" fillId="7" borderId="42" xfId="0" applyFont="1" applyFill="1" applyBorder="1" applyAlignment="1">
      <alignment horizontal="center" vertical="center" wrapText="1"/>
    </xf>
    <xf numFmtId="0" fontId="52" fillId="7" borderId="43" xfId="0" applyFont="1" applyFill="1" applyBorder="1" applyAlignment="1">
      <alignment horizontal="center" vertical="center" wrapText="1"/>
    </xf>
    <xf numFmtId="165" fontId="54" fillId="0" borderId="40" xfId="4" applyNumberFormat="1" applyFont="1" applyBorder="1" applyAlignment="1">
      <alignment horizontal="center" vertical="center"/>
    </xf>
    <xf numFmtId="165" fontId="54" fillId="0" borderId="45" xfId="4" applyNumberFormat="1" applyFont="1" applyBorder="1" applyAlignment="1">
      <alignment horizontal="center" vertical="center"/>
    </xf>
    <xf numFmtId="0" fontId="52" fillId="0" borderId="37" xfId="0" applyFont="1" applyBorder="1" applyAlignment="1">
      <alignment horizontal="left" vertical="center"/>
    </xf>
    <xf numFmtId="0" fontId="52" fillId="0" borderId="38" xfId="0" applyFont="1" applyBorder="1" applyAlignment="1">
      <alignment horizontal="left" vertical="center"/>
    </xf>
    <xf numFmtId="0" fontId="52" fillId="0" borderId="42" xfId="0" applyFont="1" applyBorder="1" applyAlignment="1">
      <alignment horizontal="left" vertical="center"/>
    </xf>
    <xf numFmtId="0" fontId="52" fillId="0" borderId="43" xfId="0" applyFont="1" applyBorder="1" applyAlignment="1">
      <alignment horizontal="left" vertical="center"/>
    </xf>
    <xf numFmtId="165" fontId="53" fillId="20" borderId="40" xfId="4" applyNumberFormat="1" applyFont="1" applyFill="1" applyBorder="1" applyAlignment="1">
      <alignment horizontal="center" vertical="center"/>
    </xf>
    <xf numFmtId="165" fontId="53" fillId="20" borderId="45" xfId="4" applyNumberFormat="1" applyFont="1" applyFill="1" applyBorder="1" applyAlignment="1">
      <alignment horizontal="center" vertical="center"/>
    </xf>
    <xf numFmtId="49" fontId="54" fillId="0" borderId="46" xfId="0" applyNumberFormat="1" applyFont="1" applyBorder="1" applyAlignment="1">
      <alignment horizontal="center" vertical="center"/>
    </xf>
    <xf numFmtId="0" fontId="15" fillId="0" borderId="0" xfId="0" applyFont="1" applyAlignment="1">
      <alignment horizontal="center" vertical="center" wrapText="1"/>
    </xf>
    <xf numFmtId="0" fontId="23" fillId="0" borderId="0" xfId="0" applyFont="1" applyAlignment="1">
      <alignment horizontal="center" wrapText="1"/>
    </xf>
    <xf numFmtId="0" fontId="1" fillId="6" borderId="0" xfId="0" applyFont="1" applyFill="1" applyAlignment="1">
      <alignment horizontal="center"/>
    </xf>
    <xf numFmtId="0" fontId="0" fillId="0" borderId="0" xfId="0" applyAlignment="1">
      <alignment horizontal="center"/>
    </xf>
    <xf numFmtId="164" fontId="23" fillId="6" borderId="0" xfId="0" applyNumberFormat="1" applyFont="1" applyFill="1" applyAlignment="1">
      <alignment horizontal="center" vertical="top"/>
    </xf>
    <xf numFmtId="164" fontId="24" fillId="20" borderId="0" xfId="3" applyNumberFormat="1" applyFont="1" applyFill="1"/>
    <xf numFmtId="0" fontId="54" fillId="0" borderId="0" xfId="0" applyFont="1" applyAlignment="1">
      <alignment horizontal="center" vertical="center" wrapText="1"/>
    </xf>
    <xf numFmtId="165" fontId="30" fillId="0" borderId="0" xfId="0" applyNumberFormat="1" applyFont="1"/>
    <xf numFmtId="165" fontId="77" fillId="0" borderId="0" xfId="0" applyNumberFormat="1" applyFont="1"/>
    <xf numFmtId="9" fontId="15" fillId="17" borderId="0" xfId="3" applyFont="1" applyFill="1" applyAlignment="1">
      <alignment horizontal="right" vertical="center" wrapText="1"/>
    </xf>
    <xf numFmtId="9" fontId="24" fillId="17" borderId="0" xfId="3" applyFont="1" applyFill="1" applyAlignment="1">
      <alignment horizontal="right" vertical="center" wrapText="1"/>
    </xf>
    <xf numFmtId="9" fontId="78" fillId="17" borderId="0" xfId="3" applyFont="1" applyFill="1" applyAlignment="1">
      <alignment horizontal="right" vertical="center" wrapText="1"/>
    </xf>
    <xf numFmtId="9" fontId="31" fillId="17" borderId="0" xfId="3" applyFont="1" applyFill="1" applyAlignment="1">
      <alignment horizontal="right" vertical="center" wrapText="1"/>
    </xf>
    <xf numFmtId="165" fontId="52" fillId="20" borderId="0" xfId="0" applyNumberFormat="1" applyFont="1" applyFill="1"/>
  </cellXfs>
  <cellStyles count="7">
    <cellStyle name="Comma" xfId="4" builtinId="3"/>
    <cellStyle name="Hyperlink" xfId="1" builtinId="8"/>
    <cellStyle name="Normal" xfId="0" builtinId="0"/>
    <cellStyle name="Normal 2" xfId="2" xr:uid="{33046587-3366-44BD-9479-DA24C6F595B3}"/>
    <cellStyle name="Normal 3" xfId="5" xr:uid="{2A200B21-7B4F-45C8-93CF-C34EE8E6499F}"/>
    <cellStyle name="Normal 4" xfId="6" xr:uid="{E2EF1529-87E5-4B1B-822E-B669F3B6EFE8}"/>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iSS01G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2158074867939"/>
          <c:y val="0.17408695652173914"/>
          <c:w val="0.75475634761530896"/>
          <c:h val="0.78124006238350641"/>
        </c:manualLayout>
      </c:layout>
      <c:barChart>
        <c:barDir val="col"/>
        <c:grouping val="percentStacked"/>
        <c:varyColors val="0"/>
        <c:ser>
          <c:idx val="0"/>
          <c:order val="0"/>
          <c:tx>
            <c:strRef>
              <c:f>Chart!$J$44</c:f>
              <c:strCache>
                <c:ptCount val="1"/>
                <c:pt idx="0">
                  <c:v>Chi phí NVL</c:v>
                </c:pt>
              </c:strCache>
            </c:strRef>
          </c:tx>
          <c:spPr>
            <a:solidFill>
              <a:schemeClr val="accent3">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AB2FBE24-8200-4A26-97EF-49D8986DDB33}" type="CELLRANGE">
                      <a:rPr lang="en-US" sz="1200" baseline="0"/>
                      <a:pPr>
                        <a:defRPr sz="1200" b="1">
                          <a:solidFill>
                            <a:schemeClr val="bg1"/>
                          </a:solidFill>
                        </a:defRPr>
                      </a:pPr>
                      <a:t>[CELLRANGE]</a:t>
                    </a:fld>
                    <a:r>
                      <a:rPr lang="en-US" sz="1200" baseline="0"/>
                      <a:t>, </a:t>
                    </a:r>
                    <a:fld id="{8E52A0D9-E219-4C7D-930E-0759A55DF22C}" type="SERIESNAME">
                      <a:rPr lang="en-US" sz="1200" baseline="0"/>
                      <a:pPr>
                        <a:defRPr sz="1200" b="1">
                          <a:solidFill>
                            <a:schemeClr val="bg1"/>
                          </a:solidFill>
                        </a:defRPr>
                      </a:pPr>
                      <a:t>[SERIES NAME]</a:t>
                    </a:fld>
                    <a:r>
                      <a:rPr lang="en-US" sz="1200" baseline="0"/>
                      <a:t>, </a:t>
                    </a:r>
                    <a:fld id="{0DAD7FC9-0BBE-44FB-AF67-2B0243A95D4F}" type="VALUE">
                      <a:rPr lang="en-US" sz="1200" baseline="0"/>
                      <a:pPr>
                        <a:defRPr sz="1200" b="1">
                          <a:solidFill>
                            <a:schemeClr val="bg1"/>
                          </a:solidFill>
                        </a:defRPr>
                      </a:pPr>
                      <a:t>[VALUE]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2823654061635328"/>
                      <c:h val="0.10119548099965765"/>
                    </c:manualLayout>
                  </c15:layout>
                  <c15:dlblFieldTable/>
                  <c15:showDataLabelsRange val="1"/>
                </c:ext>
                <c:ext xmlns:c16="http://schemas.microsoft.com/office/drawing/2014/chart" uri="{C3380CC4-5D6E-409C-BE32-E72D297353CC}">
                  <c16:uniqueId val="{00000007-831C-4BF1-BB64-1CFCCD487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Chart!$K$44</c:f>
              <c:numCache>
                <c:formatCode>_(* #,##0_);_(* \(#,##0\);_(* "-"??_);_(@_)</c:formatCode>
                <c:ptCount val="1"/>
                <c:pt idx="0">
                  <c:v>559.20093493535364</c:v>
                </c:pt>
              </c:numCache>
            </c:numRef>
          </c:val>
          <c:extLst>
            <c:ext xmlns:c15="http://schemas.microsoft.com/office/drawing/2012/chart" uri="{02D57815-91ED-43cb-92C2-25804820EDAC}">
              <c15:datalabelsRange>
                <c15:f>Chart!$L$44</c15:f>
                <c15:dlblRangeCache>
                  <c:ptCount val="1"/>
                  <c:pt idx="0">
                    <c:v>49%</c:v>
                  </c:pt>
                </c15:dlblRangeCache>
              </c15:datalabelsRange>
            </c:ext>
            <c:ext xmlns:c16="http://schemas.microsoft.com/office/drawing/2014/chart" uri="{C3380CC4-5D6E-409C-BE32-E72D297353CC}">
              <c16:uniqueId val="{00000000-831C-4BF1-BB64-1CFCCD487185}"/>
            </c:ext>
          </c:extLst>
        </c:ser>
        <c:ser>
          <c:idx val="1"/>
          <c:order val="1"/>
          <c:tx>
            <c:strRef>
              <c:f>Chart!$J$45</c:f>
              <c:strCache>
                <c:ptCount val="1"/>
                <c:pt idx="0">
                  <c:v>Chi phí sản xuất</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09B17581-04D6-478D-9F80-FE70E807976A}" type="CELLRANGE">
                      <a:rPr lang="en-US" sz="1200" b="1" baseline="0"/>
                      <a:pPr>
                        <a:defRPr sz="1200" b="1">
                          <a:solidFill>
                            <a:schemeClr val="bg1"/>
                          </a:solidFill>
                        </a:defRPr>
                      </a:pPr>
                      <a:t>[CELLRANGE]</a:t>
                    </a:fld>
                    <a:r>
                      <a:rPr lang="en-US" sz="1200" b="1" baseline="0"/>
                      <a:t>, </a:t>
                    </a:r>
                    <a:fld id="{B06A3393-38CD-47F7-A06F-A04ED42B2397}" type="SERIESNAME">
                      <a:rPr lang="en-US" sz="1200" b="1" baseline="0"/>
                      <a:pPr>
                        <a:defRPr sz="1200" b="1">
                          <a:solidFill>
                            <a:schemeClr val="bg1"/>
                          </a:solidFill>
                        </a:defRPr>
                      </a:pPr>
                      <a:t>[SERIES NAME]</a:t>
                    </a:fld>
                    <a:r>
                      <a:rPr lang="en-US" sz="1200" b="1" baseline="0"/>
                      <a:t>, </a:t>
                    </a:r>
                    <a:fld id="{80E62712-913A-4804-9357-26369B7071E5}"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311606741316089"/>
                      <c:h val="0.10119548099965765"/>
                    </c:manualLayout>
                  </c15:layout>
                  <c15:dlblFieldTable/>
                  <c15:showDataLabelsRange val="1"/>
                </c:ext>
                <c:ext xmlns:c16="http://schemas.microsoft.com/office/drawing/2014/chart" uri="{C3380CC4-5D6E-409C-BE32-E72D297353CC}">
                  <c16:uniqueId val="{00000008-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Chart!$K$45</c:f>
              <c:numCache>
                <c:formatCode>_(* #,##0_);_(* \(#,##0\);_(* "-"??_);_(@_)</c:formatCode>
                <c:ptCount val="1"/>
                <c:pt idx="0">
                  <c:v>349.82855178067598</c:v>
                </c:pt>
              </c:numCache>
            </c:numRef>
          </c:val>
          <c:extLst>
            <c:ext xmlns:c15="http://schemas.microsoft.com/office/drawing/2012/chart" uri="{02D57815-91ED-43cb-92C2-25804820EDAC}">
              <c15:datalabelsRange>
                <c15:f>Chart!$L$45</c15:f>
                <c15:dlblRangeCache>
                  <c:ptCount val="1"/>
                  <c:pt idx="0">
                    <c:v>31%</c:v>
                  </c:pt>
                </c15:dlblRangeCache>
              </c15:datalabelsRange>
            </c:ext>
            <c:ext xmlns:c16="http://schemas.microsoft.com/office/drawing/2014/chart" uri="{C3380CC4-5D6E-409C-BE32-E72D297353CC}">
              <c16:uniqueId val="{00000001-831C-4BF1-BB64-1CFCCD487185}"/>
            </c:ext>
          </c:extLst>
        </c:ser>
        <c:ser>
          <c:idx val="2"/>
          <c:order val="2"/>
          <c:tx>
            <c:strRef>
              <c:f>Chart!$J$46</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F9CBF074-D451-4E99-A7A6-ADDBECA14E26}" type="CELLRANGE">
                      <a:rPr lang="en-US" b="1" baseline="0">
                        <a:solidFill>
                          <a:schemeClr val="bg1"/>
                        </a:solidFill>
                      </a:rPr>
                      <a:pPr>
                        <a:defRPr b="1">
                          <a:solidFill>
                            <a:schemeClr val="bg1"/>
                          </a:solidFill>
                        </a:defRPr>
                      </a:pPr>
                      <a:t>[CELLRANGE]</a:t>
                    </a:fld>
                    <a:r>
                      <a:rPr lang="en-US" b="1" baseline="0">
                        <a:solidFill>
                          <a:schemeClr val="bg1"/>
                        </a:solidFill>
                      </a:rPr>
                      <a:t>, </a:t>
                    </a:r>
                    <a:fld id="{9C2B7C6F-6065-45AE-8DAC-310D43F3677E}" type="SERIESNAME">
                      <a:rPr lang="en-US" b="1" baseline="0">
                        <a:solidFill>
                          <a:schemeClr val="bg1"/>
                        </a:solidFill>
                      </a:rPr>
                      <a:pPr>
                        <a:defRPr b="1">
                          <a:solidFill>
                            <a:schemeClr val="bg1"/>
                          </a:solidFill>
                        </a:defRPr>
                      </a:pPr>
                      <a:t>[SERIES NAME]</a:t>
                    </a:fld>
                    <a:r>
                      <a:rPr lang="en-US" b="1" baseline="0">
                        <a:solidFill>
                          <a:schemeClr val="bg1"/>
                        </a:solidFill>
                      </a:rPr>
                      <a:t>, </a:t>
                    </a:r>
                    <a:fld id="{4CD36E5D-B7DD-4394-9646-D0427C5E2F09}"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175654609048596"/>
                      <c:h val="7.4733812949640294E-2"/>
                    </c:manualLayout>
                  </c15:layout>
                  <c15:dlblFieldTable/>
                  <c15:showDataLabelsRange val="1"/>
                </c:ext>
                <c:ext xmlns:c16="http://schemas.microsoft.com/office/drawing/2014/chart" uri="{C3380CC4-5D6E-409C-BE32-E72D297353CC}">
                  <c16:uniqueId val="{0000000C-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Chart!$K$46</c:f>
              <c:numCache>
                <c:formatCode>_(* #,##0_);_(* \(#,##0\);_(* "-"??_);_(@_)</c:formatCode>
                <c:ptCount val="1"/>
                <c:pt idx="0">
                  <c:v>27.668302818231169</c:v>
                </c:pt>
              </c:numCache>
            </c:numRef>
          </c:val>
          <c:extLst>
            <c:ext xmlns:c15="http://schemas.microsoft.com/office/drawing/2012/chart" uri="{02D57815-91ED-43cb-92C2-25804820EDAC}">
              <c15:datalabelsRange>
                <c15:f>Chart!$L$46</c15:f>
                <c15:dlblRangeCache>
                  <c:ptCount val="1"/>
                  <c:pt idx="0">
                    <c:v>2%</c:v>
                  </c:pt>
                </c15:dlblRangeCache>
              </c15:datalabelsRange>
            </c:ext>
            <c:ext xmlns:c16="http://schemas.microsoft.com/office/drawing/2014/chart" uri="{C3380CC4-5D6E-409C-BE32-E72D297353CC}">
              <c16:uniqueId val="{00000002-831C-4BF1-BB64-1CFCCD487185}"/>
            </c:ext>
          </c:extLst>
        </c:ser>
        <c:ser>
          <c:idx val="3"/>
          <c:order val="3"/>
          <c:tx>
            <c:strRef>
              <c:f>Chart!$J$47</c:f>
              <c:strCache>
                <c:ptCount val="1"/>
                <c:pt idx="0">
                  <c:v>CP QL + bán hàng + lãi vay</c:v>
                </c:pt>
              </c:strCache>
            </c:strRef>
          </c:tx>
          <c:spPr>
            <a:solidFill>
              <a:schemeClr val="accent4"/>
            </a:solidFill>
            <a:ln>
              <a:noFill/>
            </a:ln>
            <a:effectLst/>
          </c:spPr>
          <c:invertIfNegative val="0"/>
          <c:dLbls>
            <c:dLbl>
              <c:idx val="0"/>
              <c:tx>
                <c:rich>
                  <a:bodyPr/>
                  <a:lstStyle/>
                  <a:p>
                    <a:fld id="{22375390-2ED0-4181-BBFC-A63CFDDA7B43}" type="CELLRANGE">
                      <a:rPr lang="en-US" baseline="0"/>
                      <a:pPr/>
                      <a:t>[CELLRANGE]</a:t>
                    </a:fld>
                    <a:r>
                      <a:rPr lang="en-US" baseline="0"/>
                      <a:t>, </a:t>
                    </a:r>
                    <a:fld id="{0E13E8AA-6697-4E3B-B24B-F02176C78F39}" type="SERIESNAME">
                      <a:rPr lang="en-US" baseline="0"/>
                      <a:pPr/>
                      <a:t>[SERIES NAME]</a:t>
                    </a:fld>
                    <a:r>
                      <a:rPr lang="en-US" baseline="0"/>
                      <a:t>, </a:t>
                    </a:r>
                    <a:fld id="{02D1420C-9669-4F13-BE08-407DD66EA83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5808294776318488"/>
                      <c:h val="0.13158294343641824"/>
                    </c:manualLayout>
                  </c15:layout>
                  <c15:dlblFieldTable/>
                  <c15:showDataLabelsRange val="1"/>
                </c:ext>
                <c:ext xmlns:c16="http://schemas.microsoft.com/office/drawing/2014/chart" uri="{C3380CC4-5D6E-409C-BE32-E72D297353CC}">
                  <c16:uniqueId val="{00000009-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Chart!$K$47</c:f>
              <c:numCache>
                <c:formatCode>_(* #,##0_);_(* \(#,##0\);_(* "-"??_);_(@_)</c:formatCode>
                <c:ptCount val="1"/>
                <c:pt idx="0">
                  <c:v>140</c:v>
                </c:pt>
              </c:numCache>
            </c:numRef>
          </c:val>
          <c:extLst>
            <c:ext xmlns:c15="http://schemas.microsoft.com/office/drawing/2012/chart" uri="{02D57815-91ED-43cb-92C2-25804820EDAC}">
              <c15:datalabelsRange>
                <c15:f>Chart!$L$47</c15:f>
                <c15:dlblRangeCache>
                  <c:ptCount val="1"/>
                  <c:pt idx="0">
                    <c:v>12%</c:v>
                  </c:pt>
                </c15:dlblRangeCache>
              </c15:datalabelsRange>
            </c:ext>
            <c:ext xmlns:c16="http://schemas.microsoft.com/office/drawing/2014/chart" uri="{C3380CC4-5D6E-409C-BE32-E72D297353CC}">
              <c16:uniqueId val="{00000003-831C-4BF1-BB64-1CFCCD487185}"/>
            </c:ext>
          </c:extLst>
        </c:ser>
        <c:ser>
          <c:idx val="4"/>
          <c:order val="4"/>
          <c:tx>
            <c:strRef>
              <c:f>Chart!$J$48</c:f>
              <c:strCache>
                <c:ptCount val="1"/>
                <c:pt idx="0">
                  <c:v>Lợi nhuận MM</c:v>
                </c:pt>
              </c:strCache>
            </c:strRef>
          </c:tx>
          <c:spPr>
            <a:solidFill>
              <a:schemeClr val="accent5"/>
            </a:solidFill>
            <a:ln>
              <a:noFill/>
            </a:ln>
            <a:effectLst/>
          </c:spPr>
          <c:invertIfNegative val="0"/>
          <c:dLbls>
            <c:dLbl>
              <c:idx val="0"/>
              <c:tx>
                <c:rich>
                  <a:bodyPr/>
                  <a:lstStyle/>
                  <a:p>
                    <a:fld id="{699954C4-D55C-451A-8406-27C32FF1B20D}" type="CELLRANGE">
                      <a:rPr lang="en-US" baseline="0"/>
                      <a:pPr/>
                      <a:t>[CELLRANGE]</a:t>
                    </a:fld>
                    <a:r>
                      <a:rPr lang="en-US" baseline="0"/>
                      <a:t>, </a:t>
                    </a:r>
                    <a:fld id="{DE5EDCD5-818E-4B74-BC73-AA5FD20B8093}" type="SERIESNAME">
                      <a:rPr lang="en-US" baseline="0"/>
                      <a:pPr/>
                      <a:t>[SERIES NAME]</a:t>
                    </a:fld>
                    <a:r>
                      <a:rPr lang="en-US" baseline="0"/>
                      <a:t>, </a:t>
                    </a:r>
                    <a:fld id="{B839F862-5746-4AD8-9BD6-F9B478CF3D8A}"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1454703447645032"/>
                      <c:h val="9.1381490357183612E-2"/>
                    </c:manualLayout>
                  </c15:layout>
                  <c15:dlblFieldTable/>
                  <c15:showDataLabelsRange val="1"/>
                </c:ext>
                <c:ext xmlns:c16="http://schemas.microsoft.com/office/drawing/2014/chart" uri="{C3380CC4-5D6E-409C-BE32-E72D297353CC}">
                  <c16:uniqueId val="{0000000A-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Chart!$K$48</c:f>
              <c:numCache>
                <c:formatCode>_(* #,##0_);_(* \(#,##0\);_(* "-"??_);_(@_)</c:formatCode>
                <c:ptCount val="1"/>
                <c:pt idx="0">
                  <c:v>70</c:v>
                </c:pt>
              </c:numCache>
            </c:numRef>
          </c:val>
          <c:extLst>
            <c:ext xmlns:c15="http://schemas.microsoft.com/office/drawing/2012/chart" uri="{02D57815-91ED-43cb-92C2-25804820EDAC}">
              <c15:datalabelsRange>
                <c15:f>Chart!$L$48</c15:f>
                <c15:dlblRangeCache>
                  <c:ptCount val="1"/>
                  <c:pt idx="0">
                    <c:v>6%</c:v>
                  </c:pt>
                </c15:dlblRangeCache>
              </c15:datalabelsRange>
            </c:ext>
            <c:ext xmlns:c16="http://schemas.microsoft.com/office/drawing/2014/chart" uri="{C3380CC4-5D6E-409C-BE32-E72D297353CC}">
              <c16:uniqueId val="{00000004-831C-4BF1-BB64-1CFCCD487185}"/>
            </c:ext>
          </c:extLst>
        </c:ser>
        <c:ser>
          <c:idx val="5"/>
          <c:order val="5"/>
          <c:tx>
            <c:strRef>
              <c:f>Chart!$J$49</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E2F6893D-DB87-4CE0-8488-B35BC2E47531}" type="CELLRANGE">
                      <a:rPr lang="en-US" baseline="0">
                        <a:solidFill>
                          <a:schemeClr val="bg1"/>
                        </a:solidFill>
                      </a:rPr>
                      <a:pPr>
                        <a:defRPr>
                          <a:solidFill>
                            <a:schemeClr val="bg1"/>
                          </a:solidFill>
                        </a:defRPr>
                      </a:pPr>
                      <a:t>[CELLRANGE]</a:t>
                    </a:fld>
                    <a:r>
                      <a:rPr lang="en-US" baseline="0">
                        <a:solidFill>
                          <a:schemeClr val="bg1"/>
                        </a:solidFill>
                      </a:rPr>
                      <a:t>, </a:t>
                    </a:r>
                    <a:fld id="{F9E166F6-3356-441B-8006-01A600A667D8}" type="SERIESNAME">
                      <a:rPr lang="en-US" baseline="0">
                        <a:solidFill>
                          <a:schemeClr val="bg1"/>
                        </a:solidFill>
                      </a:rPr>
                      <a:pPr>
                        <a:defRPr>
                          <a:solidFill>
                            <a:schemeClr val="bg1"/>
                          </a:solidFill>
                        </a:defRPr>
                      </a:pPr>
                      <a:t>[SERIES NAME]</a:t>
                    </a:fld>
                    <a:r>
                      <a:rPr lang="en-US" baseline="0">
                        <a:solidFill>
                          <a:schemeClr val="bg1"/>
                        </a:solidFill>
                      </a:rPr>
                      <a:t>, </a:t>
                    </a:r>
                    <a:fld id="{4EF634F9-F1AB-4348-9CE8-87BF451C4677}"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4851521826954593"/>
                      <c:h val="5.8180227471566051E-2"/>
                    </c:manualLayout>
                  </c15:layout>
                  <c15:dlblFieldTable/>
                  <c15:showDataLabelsRange val="1"/>
                </c:ext>
                <c:ext xmlns:c16="http://schemas.microsoft.com/office/drawing/2014/chart" uri="{C3380CC4-5D6E-409C-BE32-E72D297353CC}">
                  <c16:uniqueId val="{0000000D-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Chart!$K$49</c:f>
              <c:numCache>
                <c:formatCode>_(* #,##0_);_(* \(#,##0\);_(* "-"??_);_(@_)</c:formatCode>
                <c:ptCount val="1"/>
                <c:pt idx="0">
                  <c:v>14</c:v>
                </c:pt>
              </c:numCache>
            </c:numRef>
          </c:val>
          <c:extLst>
            <c:ext xmlns:c15="http://schemas.microsoft.com/office/drawing/2012/chart" uri="{02D57815-91ED-43cb-92C2-25804820EDAC}">
              <c15:datalabelsRange>
                <c15:f>Chart!$L$49</c15:f>
                <c15:dlblRangeCache>
                  <c:ptCount val="1"/>
                  <c:pt idx="0">
                    <c:v>1%</c:v>
                  </c:pt>
                </c15:dlblRangeCache>
              </c15:datalabelsRange>
            </c:ext>
            <c:ext xmlns:c16="http://schemas.microsoft.com/office/drawing/2014/chart" uri="{C3380CC4-5D6E-409C-BE32-E72D297353CC}">
              <c16:uniqueId val="{00000005-831C-4BF1-BB64-1CFCCD487185}"/>
            </c:ext>
          </c:extLst>
        </c:ser>
        <c:ser>
          <c:idx val="6"/>
          <c:order val="6"/>
          <c:tx>
            <c:strRef>
              <c:f>Chart!$J$50</c:f>
              <c:strCache>
                <c:ptCount val="1"/>
                <c:pt idx="0">
                  <c:v>Lợi nhuận sau thuế</c:v>
                </c:pt>
              </c:strCache>
            </c:strRef>
          </c:tx>
          <c:spPr>
            <a:solidFill>
              <a:schemeClr val="accent1">
                <a:lumMod val="60000"/>
              </a:schemeClr>
            </a:solidFill>
            <a:ln>
              <a:noFill/>
            </a:ln>
            <a:effectLst/>
          </c:spPr>
          <c:invertIfNegative val="0"/>
          <c:dPt>
            <c:idx val="0"/>
            <c:invertIfNegative val="0"/>
            <c:bubble3D val="0"/>
            <c:spPr>
              <a:solidFill>
                <a:srgbClr val="0000FF"/>
              </a:solidFill>
              <a:ln>
                <a:noFill/>
              </a:ln>
              <a:effectLst/>
            </c:spPr>
            <c:extLst>
              <c:ext xmlns:c16="http://schemas.microsoft.com/office/drawing/2014/chart" uri="{C3380CC4-5D6E-409C-BE32-E72D297353CC}">
                <c16:uniqueId val="{0000000B-831C-4BF1-BB64-1CFCCD487185}"/>
              </c:ext>
            </c:extLst>
          </c:dPt>
          <c:dLbls>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27DC3A43-F773-4C5C-9D03-D265DDB91D79}" type="CELLRANGE">
                      <a:rPr lang="en-US" b="1" baseline="0">
                        <a:solidFill>
                          <a:schemeClr val="bg1"/>
                        </a:solidFill>
                      </a:rPr>
                      <a:pPr>
                        <a:defRPr b="1">
                          <a:solidFill>
                            <a:schemeClr val="bg1"/>
                          </a:solidFill>
                        </a:defRPr>
                      </a:pPr>
                      <a:t>[CELLRANGE]</a:t>
                    </a:fld>
                    <a:r>
                      <a:rPr lang="en-US" b="1" baseline="0">
                        <a:solidFill>
                          <a:schemeClr val="bg1"/>
                        </a:solidFill>
                      </a:rPr>
                      <a:t>, </a:t>
                    </a:r>
                    <a:fld id="{FF56838A-534A-4843-BC3B-E73CF69A5330}" type="SERIESNAME">
                      <a:rPr lang="en-US" b="1" baseline="0">
                        <a:solidFill>
                          <a:schemeClr val="bg1"/>
                        </a:solidFill>
                      </a:rPr>
                      <a:pPr>
                        <a:defRPr b="1">
                          <a:solidFill>
                            <a:schemeClr val="bg1"/>
                          </a:solidFill>
                        </a:defRPr>
                      </a:pPr>
                      <a:t>[SERIES NAME]</a:t>
                    </a:fld>
                    <a:r>
                      <a:rPr lang="en-US" b="1" baseline="0">
                        <a:solidFill>
                          <a:schemeClr val="bg1"/>
                        </a:solidFill>
                      </a:rPr>
                      <a:t>, </a:t>
                    </a:r>
                    <a:fld id="{2E0647AA-2FC0-4BE3-BA31-8A2F478E0528}"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80180805085717"/>
                      <c:h val="7.2310395983110801E-2"/>
                    </c:manualLayout>
                  </c15:layout>
                  <c15:dlblFieldTable/>
                  <c15:showDataLabelsRange val="1"/>
                </c:ext>
                <c:ext xmlns:c16="http://schemas.microsoft.com/office/drawing/2014/chart" uri="{C3380CC4-5D6E-409C-BE32-E72D297353CC}">
                  <c16:uniqueId val="{0000000B-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Chart!$K$50</c:f>
              <c:numCache>
                <c:formatCode>_(* #,##0_);_(* \(#,##0\);_(* "-"??_);_(@_)</c:formatCode>
                <c:ptCount val="1"/>
                <c:pt idx="0">
                  <c:v>56</c:v>
                </c:pt>
              </c:numCache>
            </c:numRef>
          </c:val>
          <c:extLst>
            <c:ext xmlns:c15="http://schemas.microsoft.com/office/drawing/2012/chart" uri="{02D57815-91ED-43cb-92C2-25804820EDAC}">
              <c15:datalabelsRange>
                <c15:f>Chart!$L$50</c15:f>
                <c15:dlblRangeCache>
                  <c:ptCount val="1"/>
                  <c:pt idx="0">
                    <c:v>5%</c:v>
                  </c:pt>
                </c15:dlblRangeCache>
              </c15:datalabelsRange>
            </c:ext>
            <c:ext xmlns:c16="http://schemas.microsoft.com/office/drawing/2014/chart" uri="{C3380CC4-5D6E-409C-BE32-E72D297353CC}">
              <c16:uniqueId val="{00000006-831C-4BF1-BB64-1CFCCD487185}"/>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iSS1084G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Chart!$J$5</c:f>
              <c:strCache>
                <c:ptCount val="1"/>
                <c:pt idx="0">
                  <c:v>Chi phí NVL</c:v>
                </c:pt>
              </c:strCache>
            </c:strRef>
          </c:tx>
          <c:spPr>
            <a:solidFill>
              <a:schemeClr val="accent3">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fld id="{C5C5753B-D92A-4B22-9408-0E04C2C9B6F6}" type="CELLRANGE">
                      <a:rPr lang="en-US" sz="1200" b="1" baseline="0"/>
                      <a:pPr>
                        <a:defRPr sz="1200" b="1">
                          <a:solidFill>
                            <a:schemeClr val="bg1"/>
                          </a:solidFill>
                        </a:defRPr>
                      </a:pPr>
                      <a:t>[CELLRANGE]</a:t>
                    </a:fld>
                    <a:r>
                      <a:rPr lang="en-US" sz="1200" b="1" baseline="0"/>
                      <a:t>, </a:t>
                    </a:r>
                    <a:fld id="{AB4B7FDF-622E-4900-81EA-31C40E2C1544}" type="SERIESNAME">
                      <a:rPr lang="en-US" sz="1200" b="1" baseline="0"/>
                      <a:pPr>
                        <a:defRPr sz="1200" b="1">
                          <a:solidFill>
                            <a:schemeClr val="bg1"/>
                          </a:solidFill>
                        </a:defRPr>
                      </a:pPr>
                      <a:t>[SERIES NAME]</a:t>
                    </a:fld>
                    <a:r>
                      <a:rPr lang="en-US" sz="1200" b="1" baseline="0"/>
                      <a:t>, </a:t>
                    </a:r>
                    <a:fld id="{2AFF6A74-DF20-4B6F-97F2-BF455CE0B699}"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7991362190837259"/>
                      <c:h val="3.8558528232298092E-2"/>
                    </c:manualLayout>
                  </c15:layout>
                  <c15:dlblFieldTable/>
                  <c15:showDataLabelsRange val="1"/>
                </c:ext>
                <c:ext xmlns:c16="http://schemas.microsoft.com/office/drawing/2014/chart" uri="{C3380CC4-5D6E-409C-BE32-E72D297353CC}">
                  <c16:uniqueId val="{00000000-CEEC-49F0-87F1-316675A32C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Chart!$K$5</c:f>
              <c:numCache>
                <c:formatCode>_(* #,##0_);_(* \(#,##0\);_(* "-"??_);_(@_)</c:formatCode>
                <c:ptCount val="1"/>
                <c:pt idx="0">
                  <c:v>571.87902955310426</c:v>
                </c:pt>
              </c:numCache>
            </c:numRef>
          </c:val>
          <c:extLst>
            <c:ext xmlns:c15="http://schemas.microsoft.com/office/drawing/2012/chart" uri="{02D57815-91ED-43cb-92C2-25804820EDAC}">
              <c15:datalabelsRange>
                <c15:f>Chart!$L$5</c15:f>
                <c15:dlblRangeCache>
                  <c:ptCount val="1"/>
                  <c:pt idx="0">
                    <c:v>48%</c:v>
                  </c:pt>
                </c15:dlblRangeCache>
              </c15:datalabelsRange>
            </c:ext>
            <c:ext xmlns:c16="http://schemas.microsoft.com/office/drawing/2014/chart" uri="{C3380CC4-5D6E-409C-BE32-E72D297353CC}">
              <c16:uniqueId val="{00000001-CEEC-49F0-87F1-316675A32C6C}"/>
            </c:ext>
          </c:extLst>
        </c:ser>
        <c:ser>
          <c:idx val="1"/>
          <c:order val="1"/>
          <c:tx>
            <c:strRef>
              <c:f>Chart!$J$6</c:f>
              <c:strCache>
                <c:ptCount val="1"/>
                <c:pt idx="0">
                  <c:v>Chi phí sản xuất</c:v>
                </c:pt>
              </c:strCache>
            </c:strRef>
          </c:tx>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CEEC-49F0-87F1-316675A32C6C}"/>
              </c:ext>
            </c:extLst>
          </c:dPt>
          <c:dLbls>
            <c:dLbl>
              <c:idx val="0"/>
              <c:tx>
                <c:rich>
                  <a:bodyPr/>
                  <a:lstStyle/>
                  <a:p>
                    <a:fld id="{7B07F588-10A4-4C56-B3A0-987EBEEBE773}" type="CELLRANGE">
                      <a:rPr lang="en-US" baseline="0"/>
                      <a:pPr/>
                      <a:t>[CELLRANGE]</a:t>
                    </a:fld>
                    <a:r>
                      <a:rPr lang="en-US" baseline="0"/>
                      <a:t>, </a:t>
                    </a:r>
                    <a:fld id="{892E6B4B-E601-41A8-8C9D-61D557036FB6}" type="SERIESNAME">
                      <a:rPr lang="en-US" baseline="0"/>
                      <a:pPr/>
                      <a:t>[SERIES NAME]</a:t>
                    </a:fld>
                    <a:r>
                      <a:rPr lang="en-US" baseline="0"/>
                      <a:t>, </a:t>
                    </a:r>
                    <a:fld id="{0946075C-B6AD-488C-B2EC-3281A300D4E7}"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727672929772665"/>
                      <c:h val="5.6685595527324883E-2"/>
                    </c:manualLayout>
                  </c15:layout>
                  <c15:dlblFieldTable/>
                  <c15:showDataLabelsRange val="1"/>
                </c:ext>
                <c:ext xmlns:c16="http://schemas.microsoft.com/office/drawing/2014/chart" uri="{C3380CC4-5D6E-409C-BE32-E72D297353CC}">
                  <c16:uniqueId val="{00000002-CEEC-49F0-87F1-316675A32C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Chart!$K$6</c:f>
              <c:numCache>
                <c:formatCode>_(* #,##0_);_(* \(#,##0\);_(* "-"??_);_(@_)</c:formatCode>
                <c:ptCount val="1"/>
                <c:pt idx="0">
                  <c:v>356.0479132012178</c:v>
                </c:pt>
              </c:numCache>
            </c:numRef>
          </c:val>
          <c:extLst>
            <c:ext xmlns:c15="http://schemas.microsoft.com/office/drawing/2012/chart" uri="{02D57815-91ED-43cb-92C2-25804820EDAC}">
              <c15:datalabelsRange>
                <c15:f>Chart!$L$6</c15:f>
                <c15:dlblRangeCache>
                  <c:ptCount val="1"/>
                  <c:pt idx="0">
                    <c:v>30%</c:v>
                  </c:pt>
                </c15:dlblRangeCache>
              </c15:datalabelsRange>
            </c:ext>
            <c:ext xmlns:c16="http://schemas.microsoft.com/office/drawing/2014/chart" uri="{C3380CC4-5D6E-409C-BE32-E72D297353CC}">
              <c16:uniqueId val="{00000003-CEEC-49F0-87F1-316675A32C6C}"/>
            </c:ext>
          </c:extLst>
        </c:ser>
        <c:ser>
          <c:idx val="2"/>
          <c:order val="2"/>
          <c:tx>
            <c:strRef>
              <c:f>Chart!$J$7</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9FD16BB-0AA4-44EE-9E5D-45D45822F008}" type="CELLRANGE">
                      <a:rPr lang="en-US" b="1" baseline="0">
                        <a:solidFill>
                          <a:schemeClr val="bg1"/>
                        </a:solidFill>
                      </a:rPr>
                      <a:pPr>
                        <a:defRPr b="1">
                          <a:solidFill>
                            <a:schemeClr val="bg1"/>
                          </a:solidFill>
                        </a:defRPr>
                      </a:pPr>
                      <a:t>[CELLRANGE]</a:t>
                    </a:fld>
                    <a:r>
                      <a:rPr lang="en-US" b="1" baseline="0">
                        <a:solidFill>
                          <a:schemeClr val="bg1"/>
                        </a:solidFill>
                      </a:rPr>
                      <a:t>, </a:t>
                    </a:r>
                    <a:fld id="{3F0328C6-EE6C-4CD5-8E97-159820082ABC}" type="SERIESNAME">
                      <a:rPr lang="en-US" b="1" baseline="0">
                        <a:solidFill>
                          <a:schemeClr val="bg1"/>
                        </a:solidFill>
                      </a:rPr>
                      <a:pPr>
                        <a:defRPr b="1">
                          <a:solidFill>
                            <a:schemeClr val="bg1"/>
                          </a:solidFill>
                        </a:defRPr>
                      </a:pPr>
                      <a:t>[SERIES NAME]</a:t>
                    </a:fld>
                    <a:r>
                      <a:rPr lang="en-US" b="1" baseline="0">
                        <a:solidFill>
                          <a:schemeClr val="bg1"/>
                        </a:solidFill>
                      </a:rPr>
                      <a:t>, </a:t>
                    </a:r>
                    <a:fld id="{812EB051-E514-4EF0-AE1A-DBDC2215F3FF}"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9797814207650273"/>
                      <c:h val="5.6685584562996598E-2"/>
                    </c:manualLayout>
                  </c15:layout>
                  <c15:dlblFieldTable/>
                  <c15:showDataLabelsRange val="1"/>
                </c:ext>
                <c:ext xmlns:c16="http://schemas.microsoft.com/office/drawing/2014/chart" uri="{C3380CC4-5D6E-409C-BE32-E72D297353CC}">
                  <c16:uniqueId val="{00000004-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Chart!$K$7</c:f>
              <c:numCache>
                <c:formatCode>_(* #,##0_);_(* \(#,##0\);_(* "-"??_);_(@_)</c:formatCode>
                <c:ptCount val="1"/>
                <c:pt idx="0">
                  <c:v>28.570915579648755</c:v>
                </c:pt>
              </c:numCache>
            </c:numRef>
          </c:val>
          <c:extLst>
            <c:ext xmlns:c15="http://schemas.microsoft.com/office/drawing/2012/chart" uri="{02D57815-91ED-43cb-92C2-25804820EDAC}">
              <c15:datalabelsRange>
                <c15:f>Chart!$L$7</c15:f>
                <c15:dlblRangeCache>
                  <c:ptCount val="1"/>
                  <c:pt idx="0">
                    <c:v>2%</c:v>
                  </c:pt>
                </c15:dlblRangeCache>
              </c15:datalabelsRange>
            </c:ext>
            <c:ext xmlns:c16="http://schemas.microsoft.com/office/drawing/2014/chart" uri="{C3380CC4-5D6E-409C-BE32-E72D297353CC}">
              <c16:uniqueId val="{00000005-CEEC-49F0-87F1-316675A32C6C}"/>
            </c:ext>
          </c:extLst>
        </c:ser>
        <c:ser>
          <c:idx val="3"/>
          <c:order val="3"/>
          <c:tx>
            <c:strRef>
              <c:f>Chart!$J$8</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F2218043-8EEA-4374-8078-E8CFBA40D7C6}" type="CELLRANGE">
                      <a:rPr lang="en-US" sz="1100" baseline="0">
                        <a:solidFill>
                          <a:schemeClr val="bg1"/>
                        </a:solidFill>
                      </a:rPr>
                      <a:pPr>
                        <a:defRPr sz="1100" b="1">
                          <a:solidFill>
                            <a:schemeClr val="bg1"/>
                          </a:solidFill>
                        </a:defRPr>
                      </a:pPr>
                      <a:t>[CELLRANGE]</a:t>
                    </a:fld>
                    <a:r>
                      <a:rPr lang="en-US" sz="1100" baseline="0">
                        <a:solidFill>
                          <a:schemeClr val="bg1"/>
                        </a:solidFill>
                      </a:rPr>
                      <a:t>, </a:t>
                    </a:r>
                    <a:fld id="{8FD37B6E-81C9-4714-A7E9-BC6AC84D8203}" type="SERIESNAME">
                      <a:rPr lang="en-US" sz="1100" baseline="0">
                        <a:solidFill>
                          <a:schemeClr val="bg1"/>
                        </a:solidFill>
                      </a:rPr>
                      <a:pPr>
                        <a:defRPr sz="1100" b="1">
                          <a:solidFill>
                            <a:schemeClr val="bg1"/>
                          </a:solidFill>
                        </a:defRPr>
                      </a:pPr>
                      <a:t>[SERIES NAME]</a:t>
                    </a:fld>
                    <a:r>
                      <a:rPr lang="en-US" sz="1100" baseline="0">
                        <a:solidFill>
                          <a:schemeClr val="bg1"/>
                        </a:solidFill>
                      </a:rPr>
                      <a:t>, </a:t>
                    </a:r>
                    <a:fld id="{3328E2D4-CD79-4329-84B7-E64C858C1575}" type="VALUE">
                      <a:rPr lang="en-US" sz="1100" baseline="0">
                        <a:solidFill>
                          <a:schemeClr val="bg1"/>
                        </a:solidFill>
                      </a:rPr>
                      <a:pPr>
                        <a:defRPr sz="1100" b="1">
                          <a:solidFill>
                            <a:schemeClr val="bg1"/>
                          </a:solidFill>
                        </a:defRPr>
                      </a:pPr>
                      <a:t>[VALUE]</a:t>
                    </a:fld>
                    <a:endParaRPr lang="en-US" sz="11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1474121290394257"/>
                      <c:h val="5.6685595527324883E-2"/>
                    </c:manualLayout>
                  </c15:layout>
                  <c15:dlblFieldTable/>
                  <c15:showDataLabelsRange val="1"/>
                </c:ext>
                <c:ext xmlns:c16="http://schemas.microsoft.com/office/drawing/2014/chart" uri="{C3380CC4-5D6E-409C-BE32-E72D297353CC}">
                  <c16:uniqueId val="{00000006-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Chart!$K$8</c:f>
              <c:numCache>
                <c:formatCode>_(* #,##0_);_(* \(#,##0\);_(* "-"??_);_(@_)</c:formatCode>
                <c:ptCount val="1"/>
                <c:pt idx="0">
                  <c:v>140</c:v>
                </c:pt>
              </c:numCache>
            </c:numRef>
          </c:val>
          <c:extLst>
            <c:ext xmlns:c15="http://schemas.microsoft.com/office/drawing/2012/chart" uri="{02D57815-91ED-43cb-92C2-25804820EDAC}">
              <c15:datalabelsRange>
                <c15:f>Chart!$L$8</c15:f>
                <c15:dlblRangeCache>
                  <c:ptCount val="1"/>
                  <c:pt idx="0">
                    <c:v>12%</c:v>
                  </c:pt>
                </c15:dlblRangeCache>
              </c15:datalabelsRange>
            </c:ext>
            <c:ext xmlns:c16="http://schemas.microsoft.com/office/drawing/2014/chart" uri="{C3380CC4-5D6E-409C-BE32-E72D297353CC}">
              <c16:uniqueId val="{00000007-CEEC-49F0-87F1-316675A32C6C}"/>
            </c:ext>
          </c:extLst>
        </c:ser>
        <c:ser>
          <c:idx val="4"/>
          <c:order val="4"/>
          <c:tx>
            <c:strRef>
              <c:f>Chart!$J$9</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9BAB0DA-39C8-49C1-91F4-505D385935A5}" type="CELLRANGE">
                      <a:rPr lang="en-US" b="1" baseline="0">
                        <a:solidFill>
                          <a:schemeClr val="bg1"/>
                        </a:solidFill>
                      </a:rPr>
                      <a:pPr>
                        <a:defRPr b="1">
                          <a:solidFill>
                            <a:schemeClr val="bg1"/>
                          </a:solidFill>
                        </a:defRPr>
                      </a:pPr>
                      <a:t>[CELLRANGE]</a:t>
                    </a:fld>
                    <a:r>
                      <a:rPr lang="en-US" b="1" baseline="0">
                        <a:solidFill>
                          <a:schemeClr val="bg1"/>
                        </a:solidFill>
                      </a:rPr>
                      <a:t>, </a:t>
                    </a:r>
                    <a:fld id="{B3BB41C8-CBF3-483B-9EBF-0390A334F994}" type="SERIESNAME">
                      <a:rPr lang="en-US" b="1" baseline="0">
                        <a:solidFill>
                          <a:schemeClr val="bg1"/>
                        </a:solidFill>
                      </a:rPr>
                      <a:pPr>
                        <a:defRPr b="1">
                          <a:solidFill>
                            <a:schemeClr val="bg1"/>
                          </a:solidFill>
                        </a:defRPr>
                      </a:pPr>
                      <a:t>[SERIES NAME]</a:t>
                    </a:fld>
                    <a:r>
                      <a:rPr lang="en-US" b="1" baseline="0">
                        <a:solidFill>
                          <a:schemeClr val="bg1"/>
                        </a:solidFill>
                      </a:rPr>
                      <a:t>, </a:t>
                    </a:r>
                    <a:fld id="{682932CE-B95A-4FA2-8788-DBE7F8A49597}"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5826491975388325"/>
                      <c:h val="5.6685584562996598E-2"/>
                    </c:manualLayout>
                  </c15:layout>
                  <c15:dlblFieldTable/>
                  <c15:showDataLabelsRange val="1"/>
                </c:ext>
                <c:ext xmlns:c16="http://schemas.microsoft.com/office/drawing/2014/chart" uri="{C3380CC4-5D6E-409C-BE32-E72D297353CC}">
                  <c16:uniqueId val="{00000008-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Chart!$K$9</c:f>
              <c:numCache>
                <c:formatCode>_(* #,##0_);_(* \(#,##0\);_(* "-"??_);_(@_)</c:formatCode>
                <c:ptCount val="1"/>
                <c:pt idx="0">
                  <c:v>100</c:v>
                </c:pt>
              </c:numCache>
            </c:numRef>
          </c:val>
          <c:extLst>
            <c:ext xmlns:c15="http://schemas.microsoft.com/office/drawing/2012/chart" uri="{02D57815-91ED-43cb-92C2-25804820EDAC}">
              <c15:datalabelsRange>
                <c15:f>Chart!$L$9</c15:f>
                <c15:dlblRangeCache>
                  <c:ptCount val="1"/>
                  <c:pt idx="0">
                    <c:v>8%</c:v>
                  </c:pt>
                </c15:dlblRangeCache>
              </c15:datalabelsRange>
            </c:ext>
            <c:ext xmlns:c16="http://schemas.microsoft.com/office/drawing/2014/chart" uri="{C3380CC4-5D6E-409C-BE32-E72D297353CC}">
              <c16:uniqueId val="{00000009-CEEC-49F0-87F1-316675A32C6C}"/>
            </c:ext>
          </c:extLst>
        </c:ser>
        <c:ser>
          <c:idx val="5"/>
          <c:order val="5"/>
          <c:tx>
            <c:strRef>
              <c:f>Chart!$J$10</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A55C186-C447-4E7C-8120-ADBC13B545C5}" type="CELLRANGE">
                      <a:rPr lang="en-US" baseline="0">
                        <a:solidFill>
                          <a:schemeClr val="bg1"/>
                        </a:solidFill>
                      </a:rPr>
                      <a:pPr>
                        <a:defRPr>
                          <a:solidFill>
                            <a:schemeClr val="bg1"/>
                          </a:solidFill>
                        </a:defRPr>
                      </a:pPr>
                      <a:t>[CELLRANGE]</a:t>
                    </a:fld>
                    <a:r>
                      <a:rPr lang="en-US" baseline="0">
                        <a:solidFill>
                          <a:schemeClr val="bg1"/>
                        </a:solidFill>
                      </a:rPr>
                      <a:t>, </a:t>
                    </a:r>
                    <a:fld id="{0CD8D604-913D-4A2E-AFC5-9671F7ABA219}" type="SERIESNAME">
                      <a:rPr lang="en-US" baseline="0">
                        <a:solidFill>
                          <a:schemeClr val="bg1"/>
                        </a:solidFill>
                      </a:rPr>
                      <a:pPr>
                        <a:defRPr>
                          <a:solidFill>
                            <a:schemeClr val="bg1"/>
                          </a:solidFill>
                        </a:defRPr>
                      </a:pPr>
                      <a:t>[SERIES NAME]</a:t>
                    </a:fld>
                    <a:r>
                      <a:rPr lang="en-US" baseline="0">
                        <a:solidFill>
                          <a:schemeClr val="bg1"/>
                        </a:solidFill>
                      </a:rPr>
                      <a:t>, </a:t>
                    </a:r>
                    <a:fld id="{599FE1F7-24A9-4F8C-AA22-920C97908B9A}"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4188524590163932"/>
                      <c:h val="3.1748102996773525E-2"/>
                    </c:manualLayout>
                  </c15:layout>
                  <c15:dlblFieldTable/>
                  <c15:showDataLabelsRange val="1"/>
                </c:ext>
                <c:ext xmlns:c16="http://schemas.microsoft.com/office/drawing/2014/chart" uri="{C3380CC4-5D6E-409C-BE32-E72D297353CC}">
                  <c16:uniqueId val="{0000000A-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Chart!$K$10</c:f>
              <c:numCache>
                <c:formatCode>_(* #,##0_);_(* \(#,##0\);_(* "-"??_);_(@_)</c:formatCode>
                <c:ptCount val="1"/>
                <c:pt idx="0">
                  <c:v>20</c:v>
                </c:pt>
              </c:numCache>
            </c:numRef>
          </c:val>
          <c:extLst>
            <c:ext xmlns:c15="http://schemas.microsoft.com/office/drawing/2012/chart" uri="{02D57815-91ED-43cb-92C2-25804820EDAC}">
              <c15:datalabelsRange>
                <c15:f>Chart!$L$10</c15:f>
                <c15:dlblRangeCache>
                  <c:ptCount val="1"/>
                  <c:pt idx="0">
                    <c:v>2%</c:v>
                  </c:pt>
                </c15:dlblRangeCache>
              </c15:datalabelsRange>
            </c:ext>
            <c:ext xmlns:c16="http://schemas.microsoft.com/office/drawing/2014/chart" uri="{C3380CC4-5D6E-409C-BE32-E72D297353CC}">
              <c16:uniqueId val="{0000000B-CEEC-49F0-87F1-316675A32C6C}"/>
            </c:ext>
          </c:extLst>
        </c:ser>
        <c:ser>
          <c:idx val="6"/>
          <c:order val="6"/>
          <c:tx>
            <c:strRef>
              <c:f>Chart!$J$11</c:f>
              <c:strCache>
                <c:ptCount val="1"/>
                <c:pt idx="0">
                  <c:v>Lợi nhuận sau thuế</c:v>
                </c:pt>
              </c:strCache>
            </c:strRef>
          </c:tx>
          <c:spPr>
            <a:solidFill>
              <a:schemeClr val="accent1">
                <a:lumMod val="60000"/>
              </a:schemeClr>
            </a:solidFill>
            <a:ln>
              <a:noFill/>
            </a:ln>
            <a:effectLst/>
          </c:spPr>
          <c:invertIfNegative val="0"/>
          <c:dPt>
            <c:idx val="0"/>
            <c:invertIfNegative val="0"/>
            <c:bubble3D val="0"/>
            <c:spPr>
              <a:solidFill>
                <a:srgbClr val="0000FF"/>
              </a:solidFill>
              <a:ln>
                <a:noFill/>
              </a:ln>
              <a:effectLst/>
            </c:spPr>
            <c:extLst>
              <c:ext xmlns:c16="http://schemas.microsoft.com/office/drawing/2014/chart" uri="{C3380CC4-5D6E-409C-BE32-E72D297353CC}">
                <c16:uniqueId val="{0000000C-CEEC-49F0-87F1-316675A32C6C}"/>
              </c:ext>
            </c:extLst>
          </c:dPt>
          <c:dLbls>
            <c:dLbl>
              <c:idx val="0"/>
              <c:tx>
                <c:rich>
                  <a:bodyPr/>
                  <a:lstStyle/>
                  <a:p>
                    <a:fld id="{6B1D99DD-51FA-4BBB-9C20-60BCF754F7B1}" type="CELLRANGE">
                      <a:rPr lang="en-US" baseline="0">
                        <a:solidFill>
                          <a:schemeClr val="bg1"/>
                        </a:solidFill>
                      </a:rPr>
                      <a:pPr/>
                      <a:t>[CELLRANGE]</a:t>
                    </a:fld>
                    <a:r>
                      <a:rPr lang="en-US" baseline="0">
                        <a:solidFill>
                          <a:schemeClr val="bg1"/>
                        </a:solidFill>
                      </a:rPr>
                      <a:t>, </a:t>
                    </a:r>
                    <a:fld id="{ED9715D7-83FD-421F-9E08-987011C95352}" type="SERIESNAME">
                      <a:rPr lang="en-US" baseline="0">
                        <a:solidFill>
                          <a:schemeClr val="bg1"/>
                        </a:solidFill>
                      </a:rPr>
                      <a:pPr/>
                      <a:t>[SERIES NAME]</a:t>
                    </a:fld>
                    <a:r>
                      <a:rPr lang="en-US" baseline="0">
                        <a:solidFill>
                          <a:schemeClr val="bg1"/>
                        </a:solidFill>
                      </a:rPr>
                      <a:t>, </a:t>
                    </a:r>
                    <a:fld id="{0C242FA9-C16B-4772-B125-EA5C8256DBAC}" type="VALUE">
                      <a:rPr lang="en-US" baseline="0">
                        <a:solidFill>
                          <a:schemeClr val="bg1"/>
                        </a:solidFill>
                      </a:rPr>
                      <a:pPr/>
                      <a:t>[VALUE]</a:t>
                    </a:fld>
                    <a:endParaRPr lang="en-US" baseline="0">
                      <a:solidFill>
                        <a:schemeClr val="bg1"/>
                      </a:solidFill>
                    </a:endParaRPr>
                  </a:p>
                </c:rich>
              </c:tx>
              <c:showLegendKey val="0"/>
              <c:showVal val="1"/>
              <c:showCatName val="0"/>
              <c:showSerName val="1"/>
              <c:showPercent val="0"/>
              <c:showBubbleSize val="0"/>
              <c:extLst>
                <c:ext xmlns:c15="http://schemas.microsoft.com/office/drawing/2012/chart" uri="{CE6537A1-D6FC-4f65-9D91-7224C49458BB}">
                  <c15:layout>
                    <c:manualLayout>
                      <c:w val="0.46349484092266247"/>
                      <c:h val="5.6685595527324883E-2"/>
                    </c:manualLayout>
                  </c15:layout>
                  <c15:dlblFieldTable/>
                  <c15:showDataLabelsRange val="1"/>
                </c:ext>
                <c:ext xmlns:c16="http://schemas.microsoft.com/office/drawing/2014/chart" uri="{C3380CC4-5D6E-409C-BE32-E72D297353CC}">
                  <c16:uniqueId val="{0000000C-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Chart!$K$11</c:f>
              <c:numCache>
                <c:formatCode>_(* #,##0_);_(* \(#,##0\);_(* "-"??_);_(@_)</c:formatCode>
                <c:ptCount val="1"/>
                <c:pt idx="0">
                  <c:v>80</c:v>
                </c:pt>
              </c:numCache>
            </c:numRef>
          </c:val>
          <c:extLst>
            <c:ext xmlns:c15="http://schemas.microsoft.com/office/drawing/2012/chart" uri="{02D57815-91ED-43cb-92C2-25804820EDAC}">
              <c15:datalabelsRange>
                <c15:f>Chart!$L$50</c15:f>
                <c15:dlblRangeCache>
                  <c:ptCount val="1"/>
                  <c:pt idx="0">
                    <c:v>5%</c:v>
                  </c:pt>
                </c15:dlblRangeCache>
              </c15:datalabelsRange>
            </c:ext>
            <c:ext xmlns:c16="http://schemas.microsoft.com/office/drawing/2014/chart" uri="{C3380CC4-5D6E-409C-BE32-E72D297353CC}">
              <c16:uniqueId val="{0000000D-CEEC-49F0-87F1-316675A32C6C}"/>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WSS03G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2158074867939"/>
          <c:y val="0.17213920163766633"/>
          <c:w val="0.80896738343331476"/>
          <c:h val="0.78053578768365317"/>
        </c:manualLayout>
      </c:layout>
      <c:barChart>
        <c:barDir val="col"/>
        <c:grouping val="percentStacked"/>
        <c:varyColors val="0"/>
        <c:ser>
          <c:idx val="0"/>
          <c:order val="0"/>
          <c:tx>
            <c:strRef>
              <c:f>Chart!$J$125</c:f>
              <c:strCache>
                <c:ptCount val="1"/>
                <c:pt idx="0">
                  <c:v>Chi phí NVL</c:v>
                </c:pt>
              </c:strCache>
            </c:strRef>
          </c:tx>
          <c:spPr>
            <a:solidFill>
              <a:schemeClr val="accent3">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669635E3-FEF0-4407-8334-18D77C1E658E}"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4F11394D-8552-47CF-82D9-B65E1C7D4CC0}"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1C0DEC37-4803-402D-870E-884F33038119}"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126830346593902"/>
                      <c:h val="2.8628535046220548E-2"/>
                    </c:manualLayout>
                  </c15:layout>
                  <c15:dlblFieldTable/>
                  <c15:showDataLabelsRange val="1"/>
                </c:ext>
                <c:ext xmlns:c16="http://schemas.microsoft.com/office/drawing/2014/chart" uri="{C3380CC4-5D6E-409C-BE32-E72D297353CC}">
                  <c16:uniqueId val="{00000007-A3D9-491C-A0B9-CDE1BC4CDF2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Chart!$K$125</c:f>
              <c:numCache>
                <c:formatCode>_(* #,##0_);_(* \(#,##0\);_(* "-"??_);_(@_)</c:formatCode>
                <c:ptCount val="1"/>
                <c:pt idx="0">
                  <c:v>531.00592981256273</c:v>
                </c:pt>
              </c:numCache>
            </c:numRef>
          </c:val>
          <c:extLst>
            <c:ext xmlns:c15="http://schemas.microsoft.com/office/drawing/2012/chart" uri="{02D57815-91ED-43cb-92C2-25804820EDAC}">
              <c15:datalabelsRange>
                <c15:f>Chart!$L$125</c15:f>
                <c15:dlblRangeCache>
                  <c:ptCount val="1"/>
                  <c:pt idx="0">
                    <c:v>47%</c:v>
                  </c:pt>
                </c15:dlblRangeCache>
              </c15:datalabelsRange>
            </c:ext>
            <c:ext xmlns:c16="http://schemas.microsoft.com/office/drawing/2014/chart" uri="{C3380CC4-5D6E-409C-BE32-E72D297353CC}">
              <c16:uniqueId val="{00000000-A3D9-491C-A0B9-CDE1BC4CDF2E}"/>
            </c:ext>
          </c:extLst>
        </c:ser>
        <c:ser>
          <c:idx val="1"/>
          <c:order val="1"/>
          <c:tx>
            <c:strRef>
              <c:f>Chart!$J$126</c:f>
              <c:strCache>
                <c:ptCount val="1"/>
                <c:pt idx="0">
                  <c:v>Chi phí sản xuất</c:v>
                </c:pt>
              </c:strCache>
            </c:strRef>
          </c:tx>
          <c:spPr>
            <a:solidFill>
              <a:srgbClr val="FFC000"/>
            </a:solidFill>
            <a:ln>
              <a:noFill/>
            </a:ln>
            <a:effectLst/>
          </c:spPr>
          <c:invertIfNegative val="0"/>
          <c:dLbls>
            <c:dLbl>
              <c:idx val="0"/>
              <c:tx>
                <c:rich>
                  <a:bodyPr/>
                  <a:lstStyle/>
                  <a:p>
                    <a:fld id="{A0D52AE4-3AA2-4890-AE69-2B6E679405EB}" type="CELLRANGE">
                      <a:rPr lang="en-US" baseline="0"/>
                      <a:pPr/>
                      <a:t>[CELLRANGE]</a:t>
                    </a:fld>
                    <a:r>
                      <a:rPr lang="en-US" baseline="0"/>
                      <a:t>, </a:t>
                    </a:r>
                    <a:fld id="{63C5BA9C-96A1-4DB9-BE31-EC3EBD0F9E1E}" type="SERIESNAME">
                      <a:rPr lang="en-US" baseline="0"/>
                      <a:pPr/>
                      <a:t>[SERIES NAME]</a:t>
                    </a:fld>
                    <a:r>
                      <a:rPr lang="en-US" baseline="0"/>
                      <a:t>, </a:t>
                    </a:r>
                    <a:fld id="{E828B72B-B8D3-4DD7-9CD3-A1D487047C9E}"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0849966842237657"/>
                      <c:h val="7.3602946509884831E-2"/>
                    </c:manualLayout>
                  </c15:layout>
                  <c15:dlblFieldTable/>
                  <c15:showDataLabelsRange val="1"/>
                </c:ext>
                <c:ext xmlns:c16="http://schemas.microsoft.com/office/drawing/2014/chart" uri="{C3380CC4-5D6E-409C-BE32-E72D297353CC}">
                  <c16:uniqueId val="{00000008-A3D9-491C-A0B9-CDE1BC4CDF2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Chart!$K$126</c:f>
              <c:numCache>
                <c:formatCode>_(* #,##0_);_(* \(#,##0\);_(* "-"??_);_(@_)</c:formatCode>
                <c:ptCount val="1"/>
                <c:pt idx="0">
                  <c:v>387.92410130050246</c:v>
                </c:pt>
              </c:numCache>
            </c:numRef>
          </c:val>
          <c:extLst>
            <c:ext xmlns:c15="http://schemas.microsoft.com/office/drawing/2012/chart" uri="{02D57815-91ED-43cb-92C2-25804820EDAC}">
              <c15:datalabelsRange>
                <c15:f>Chart!$L$126</c15:f>
                <c15:dlblRangeCache>
                  <c:ptCount val="1"/>
                  <c:pt idx="0">
                    <c:v>34%</c:v>
                  </c:pt>
                </c15:dlblRangeCache>
              </c15:datalabelsRange>
            </c:ext>
            <c:ext xmlns:c16="http://schemas.microsoft.com/office/drawing/2014/chart" uri="{C3380CC4-5D6E-409C-BE32-E72D297353CC}">
              <c16:uniqueId val="{00000001-A3D9-491C-A0B9-CDE1BC4CDF2E}"/>
            </c:ext>
          </c:extLst>
        </c:ser>
        <c:ser>
          <c:idx val="2"/>
          <c:order val="2"/>
          <c:tx>
            <c:strRef>
              <c:f>Chart!$J$127</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8E380356-2E08-49C8-A9AA-7E1425FDDAAB}" type="CELLRANGE">
                      <a:rPr lang="en-US" b="1" baseline="0">
                        <a:solidFill>
                          <a:schemeClr val="bg1"/>
                        </a:solidFill>
                      </a:rPr>
                      <a:pPr>
                        <a:defRPr b="1">
                          <a:solidFill>
                            <a:schemeClr val="bg1"/>
                          </a:solidFill>
                        </a:defRPr>
                      </a:pPr>
                      <a:t>[CELLRANGE]</a:t>
                    </a:fld>
                    <a:r>
                      <a:rPr lang="en-US" b="1" baseline="0">
                        <a:solidFill>
                          <a:schemeClr val="bg1"/>
                        </a:solidFill>
                      </a:rPr>
                      <a:t>, </a:t>
                    </a:r>
                    <a:fld id="{A4DE3654-274C-4218-B5D1-B8076E77DBD1}" type="SERIESNAME">
                      <a:rPr lang="en-US" b="1" baseline="0">
                        <a:solidFill>
                          <a:schemeClr val="bg1"/>
                        </a:solidFill>
                      </a:rPr>
                      <a:pPr>
                        <a:defRPr b="1">
                          <a:solidFill>
                            <a:schemeClr val="bg1"/>
                          </a:solidFill>
                        </a:defRPr>
                      </a:pPr>
                      <a:t>[SERIES NAME]</a:t>
                    </a:fld>
                    <a:r>
                      <a:rPr lang="en-US" b="1" baseline="0">
                        <a:solidFill>
                          <a:schemeClr val="bg1"/>
                        </a:solidFill>
                      </a:rPr>
                      <a:t>, </a:t>
                    </a:r>
                    <a:fld id="{3911EDCD-B02D-4F8C-AD96-43AB8B8B1A82}"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5314632863534848"/>
                      <c:h val="4.9068577277379732E-2"/>
                    </c:manualLayout>
                  </c15:layout>
                  <c15:dlblFieldTable/>
                  <c15:showDataLabelsRange val="1"/>
                </c:ext>
                <c:ext xmlns:c16="http://schemas.microsoft.com/office/drawing/2014/chart" uri="{C3380CC4-5D6E-409C-BE32-E72D297353CC}">
                  <c16:uniqueId val="{00000009-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Chart!$K$127</c:f>
              <c:numCache>
                <c:formatCode>_(* #,##0_);_(* \(#,##0\);_(* "-"??_);_(@_)</c:formatCode>
                <c:ptCount val="1"/>
                <c:pt idx="0">
                  <c:v>25.660968735360875</c:v>
                </c:pt>
              </c:numCache>
            </c:numRef>
          </c:val>
          <c:extLst>
            <c:ext xmlns:c15="http://schemas.microsoft.com/office/drawing/2012/chart" uri="{02D57815-91ED-43cb-92C2-25804820EDAC}">
              <c15:datalabelsRange>
                <c15:f>Chart!$L$127</c15:f>
                <c15:dlblRangeCache>
                  <c:ptCount val="1"/>
                  <c:pt idx="0">
                    <c:v>2%</c:v>
                  </c:pt>
                </c15:dlblRangeCache>
              </c15:datalabelsRange>
            </c:ext>
            <c:ext xmlns:c16="http://schemas.microsoft.com/office/drawing/2014/chart" uri="{C3380CC4-5D6E-409C-BE32-E72D297353CC}">
              <c16:uniqueId val="{00000002-A3D9-491C-A0B9-CDE1BC4CDF2E}"/>
            </c:ext>
          </c:extLst>
        </c:ser>
        <c:ser>
          <c:idx val="3"/>
          <c:order val="3"/>
          <c:tx>
            <c:strRef>
              <c:f>Chart!$J$128</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F78D3365-C791-4B0F-8E84-9018CE2E8282}"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07176B1B-5A3E-4F10-A5F0-DDDC53C69E0F}"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5ED07D74-B531-48C7-AD2C-EB856CA6733D}"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9066810985509675"/>
                      <c:h val="2.8628535046220548E-2"/>
                    </c:manualLayout>
                  </c15:layout>
                  <c15:dlblFieldTable/>
                  <c15:showDataLabelsRange val="1"/>
                </c:ext>
                <c:ext xmlns:c16="http://schemas.microsoft.com/office/drawing/2014/chart" uri="{C3380CC4-5D6E-409C-BE32-E72D297353CC}">
                  <c16:uniqueId val="{0000000A-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Chart!$K$128</c:f>
              <c:numCache>
                <c:formatCode>_(* #,##0_);_(* \(#,##0\);_(* "-"??_);_(@_)</c:formatCode>
                <c:ptCount val="1"/>
                <c:pt idx="0">
                  <c:v>140</c:v>
                </c:pt>
              </c:numCache>
            </c:numRef>
          </c:val>
          <c:extLst>
            <c:ext xmlns:c15="http://schemas.microsoft.com/office/drawing/2012/chart" uri="{02D57815-91ED-43cb-92C2-25804820EDAC}">
              <c15:datalabelsRange>
                <c15:f>Chart!$L$128</c15:f>
                <c15:dlblRangeCache>
                  <c:ptCount val="1"/>
                  <c:pt idx="0">
                    <c:v>12%</c:v>
                  </c:pt>
                </c15:dlblRangeCache>
              </c15:datalabelsRange>
            </c:ext>
            <c:ext xmlns:c16="http://schemas.microsoft.com/office/drawing/2014/chart" uri="{C3380CC4-5D6E-409C-BE32-E72D297353CC}">
              <c16:uniqueId val="{00000003-A3D9-491C-A0B9-CDE1BC4CDF2E}"/>
            </c:ext>
          </c:extLst>
        </c:ser>
        <c:ser>
          <c:idx val="4"/>
          <c:order val="4"/>
          <c:tx>
            <c:strRef>
              <c:f>Chart!$J$129</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C6BB5663-A536-48A5-A151-9C7700879A90}" type="CELLRANGE">
                      <a:rPr lang="en-US" baseline="0">
                        <a:solidFill>
                          <a:schemeClr val="bg1"/>
                        </a:solidFill>
                      </a:rPr>
                      <a:pPr>
                        <a:defRPr>
                          <a:solidFill>
                            <a:schemeClr val="bg1"/>
                          </a:solidFill>
                        </a:defRPr>
                      </a:pPr>
                      <a:t>[CELLRANGE]</a:t>
                    </a:fld>
                    <a:r>
                      <a:rPr lang="en-US" baseline="0">
                        <a:solidFill>
                          <a:schemeClr val="bg1"/>
                        </a:solidFill>
                      </a:rPr>
                      <a:t>, </a:t>
                    </a:r>
                    <a:fld id="{7017D6A6-215F-4911-8ACE-D8B397646ABE}" type="SERIESNAME">
                      <a:rPr lang="en-US" baseline="0">
                        <a:solidFill>
                          <a:schemeClr val="bg1"/>
                        </a:solidFill>
                      </a:rPr>
                      <a:pPr>
                        <a:defRPr>
                          <a:solidFill>
                            <a:schemeClr val="bg1"/>
                          </a:solidFill>
                        </a:defRPr>
                      </a:pPr>
                      <a:t>[SERIES NAME]</a:t>
                    </a:fld>
                    <a:r>
                      <a:rPr lang="en-US" baseline="0">
                        <a:solidFill>
                          <a:schemeClr val="bg1"/>
                        </a:solidFill>
                      </a:rPr>
                      <a:t>, </a:t>
                    </a:r>
                    <a:fld id="{F2E9274C-86FA-42A3-AB71-5C5B51CFE5CD}"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7165552515035331"/>
                      <c:h val="4.2958115394224637E-2"/>
                    </c:manualLayout>
                  </c15:layout>
                  <c15:dlblFieldTable/>
                  <c15:showDataLabelsRange val="1"/>
                </c:ext>
                <c:ext xmlns:c16="http://schemas.microsoft.com/office/drawing/2014/chart" uri="{C3380CC4-5D6E-409C-BE32-E72D297353CC}">
                  <c16:uniqueId val="{0000000B-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Chart!$K$129</c:f>
              <c:numCache>
                <c:formatCode>_(* #,##0_);_(* \(#,##0\);_(* "-"??_);_(@_)</c:formatCode>
                <c:ptCount val="1"/>
                <c:pt idx="0">
                  <c:v>50</c:v>
                </c:pt>
              </c:numCache>
            </c:numRef>
          </c:val>
          <c:extLst>
            <c:ext xmlns:c15="http://schemas.microsoft.com/office/drawing/2012/chart" uri="{02D57815-91ED-43cb-92C2-25804820EDAC}">
              <c15:datalabelsRange>
                <c15:f>Chart!$L$129</c15:f>
                <c15:dlblRangeCache>
                  <c:ptCount val="1"/>
                  <c:pt idx="0">
                    <c:v>4%</c:v>
                  </c:pt>
                </c15:dlblRangeCache>
              </c15:datalabelsRange>
            </c:ext>
            <c:ext xmlns:c16="http://schemas.microsoft.com/office/drawing/2014/chart" uri="{C3380CC4-5D6E-409C-BE32-E72D297353CC}">
              <c16:uniqueId val="{00000004-A3D9-491C-A0B9-CDE1BC4CDF2E}"/>
            </c:ext>
          </c:extLst>
        </c:ser>
        <c:ser>
          <c:idx val="5"/>
          <c:order val="5"/>
          <c:tx>
            <c:strRef>
              <c:f>Chart!$J$130</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47A5A51-32E9-40F3-B2CF-3FB3BC34933D}" type="CELLRANGE">
                      <a:rPr lang="en-US" baseline="0">
                        <a:solidFill>
                          <a:schemeClr val="bg1"/>
                        </a:solidFill>
                      </a:rPr>
                      <a:pPr>
                        <a:defRPr>
                          <a:solidFill>
                            <a:schemeClr val="bg1"/>
                          </a:solidFill>
                        </a:defRPr>
                      </a:pPr>
                      <a:t>[CELLRANGE]</a:t>
                    </a:fld>
                    <a:r>
                      <a:rPr lang="en-US" baseline="0">
                        <a:solidFill>
                          <a:schemeClr val="bg1"/>
                        </a:solidFill>
                      </a:rPr>
                      <a:t>, </a:t>
                    </a:r>
                    <a:fld id="{169C32F0-9098-4C53-9814-34A3D96FD64C}" type="SERIESNAME">
                      <a:rPr lang="en-US" baseline="0">
                        <a:solidFill>
                          <a:schemeClr val="bg1"/>
                        </a:solidFill>
                      </a:rPr>
                      <a:pPr>
                        <a:defRPr>
                          <a:solidFill>
                            <a:schemeClr val="bg1"/>
                          </a:solidFill>
                        </a:defRPr>
                      </a:pPr>
                      <a:t>[SERIES NAME]</a:t>
                    </a:fld>
                    <a:r>
                      <a:rPr lang="en-US" baseline="0">
                        <a:solidFill>
                          <a:schemeClr val="bg1"/>
                        </a:solidFill>
                      </a:rPr>
                      <a:t>, </a:t>
                    </a:r>
                    <a:fld id="{6148DB4A-0C98-4231-8915-A947744AA4EB}"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9808340511163115"/>
                      <c:h val="2.8628535046220548E-2"/>
                    </c:manualLayout>
                  </c15:layout>
                  <c15:dlblFieldTable/>
                  <c15:showDataLabelsRange val="1"/>
                </c:ext>
                <c:ext xmlns:c16="http://schemas.microsoft.com/office/drawing/2014/chart" uri="{C3380CC4-5D6E-409C-BE32-E72D297353CC}">
                  <c16:uniqueId val="{0000000C-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Chart!$K$130</c:f>
              <c:numCache>
                <c:formatCode>_(* #,##0_);_(* \(#,##0\);_(* "-"??_);_(@_)</c:formatCode>
                <c:ptCount val="1"/>
                <c:pt idx="0">
                  <c:v>10</c:v>
                </c:pt>
              </c:numCache>
            </c:numRef>
          </c:val>
          <c:extLst>
            <c:ext xmlns:c15="http://schemas.microsoft.com/office/drawing/2012/chart" uri="{02D57815-91ED-43cb-92C2-25804820EDAC}">
              <c15:datalabelsRange>
                <c15:f>Chart!$L$130</c15:f>
                <c15:dlblRangeCache>
                  <c:ptCount val="1"/>
                  <c:pt idx="0">
                    <c:v>1%</c:v>
                  </c:pt>
                </c15:dlblRangeCache>
              </c15:datalabelsRange>
            </c:ext>
            <c:ext xmlns:c16="http://schemas.microsoft.com/office/drawing/2014/chart" uri="{C3380CC4-5D6E-409C-BE32-E72D297353CC}">
              <c16:uniqueId val="{00000005-A3D9-491C-A0B9-CDE1BC4CDF2E}"/>
            </c:ext>
          </c:extLst>
        </c:ser>
        <c:ser>
          <c:idx val="6"/>
          <c:order val="6"/>
          <c:tx>
            <c:strRef>
              <c:f>Chart!$J$131</c:f>
              <c:strCache>
                <c:ptCount val="1"/>
                <c:pt idx="0">
                  <c:v>Lợi nhuận sau thuế</c:v>
                </c:pt>
              </c:strCache>
            </c:strRef>
          </c:tx>
          <c:spPr>
            <a:solidFill>
              <a:schemeClr val="accent1">
                <a:lumMod val="60000"/>
              </a:schemeClr>
            </a:solidFill>
            <a:ln>
              <a:noFill/>
            </a:ln>
            <a:effectLst/>
          </c:spPr>
          <c:invertIfNegative val="0"/>
          <c:dPt>
            <c:idx val="0"/>
            <c:invertIfNegative val="0"/>
            <c:bubble3D val="0"/>
            <c:spPr>
              <a:solidFill>
                <a:srgbClr val="0000FF"/>
              </a:solidFill>
              <a:ln>
                <a:noFill/>
              </a:ln>
              <a:effectLst/>
            </c:spPr>
            <c:extLst>
              <c:ext xmlns:c16="http://schemas.microsoft.com/office/drawing/2014/chart" uri="{C3380CC4-5D6E-409C-BE32-E72D297353CC}">
                <c16:uniqueId val="{0000000D-A3D9-491C-A0B9-CDE1BC4CDF2E}"/>
              </c:ext>
            </c:extLst>
          </c:dPt>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F88DCB2A-7309-4820-9557-993CB37FC2C2}" type="CELLRANGE">
                      <a:rPr lang="en-US" b="1" baseline="0">
                        <a:solidFill>
                          <a:schemeClr val="bg1"/>
                        </a:solidFill>
                      </a:rPr>
                      <a:pPr>
                        <a:defRPr b="1">
                          <a:solidFill>
                            <a:schemeClr val="bg1"/>
                          </a:solidFill>
                        </a:defRPr>
                      </a:pPr>
                      <a:t>[CELLRANGE]</a:t>
                    </a:fld>
                    <a:r>
                      <a:rPr lang="en-US" b="1" baseline="0">
                        <a:solidFill>
                          <a:schemeClr val="bg1"/>
                        </a:solidFill>
                      </a:rPr>
                      <a:t>, </a:t>
                    </a:r>
                    <a:fld id="{43873D45-EC17-4B6C-A082-3D53CA18E04B}" type="SERIESNAME">
                      <a:rPr lang="en-US" b="1" baseline="0">
                        <a:solidFill>
                          <a:schemeClr val="bg1"/>
                        </a:solidFill>
                      </a:rPr>
                      <a:pPr>
                        <a:defRPr b="1">
                          <a:solidFill>
                            <a:schemeClr val="bg1"/>
                          </a:solidFill>
                        </a:defRPr>
                      </a:pPr>
                      <a:t>[SERIES NAME]</a:t>
                    </a:fld>
                    <a:r>
                      <a:rPr lang="en-US" b="1" baseline="0">
                        <a:solidFill>
                          <a:schemeClr val="bg1"/>
                        </a:solidFill>
                      </a:rPr>
                      <a:t>, </a:t>
                    </a:r>
                    <a:fld id="{218EC23A-27E6-4A37-AE98-65EA0DEE61C7}"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458872940979177"/>
                      <c:h val="2.8628535046220548E-2"/>
                    </c:manualLayout>
                  </c15:layout>
                  <c15:dlblFieldTable/>
                  <c15:showDataLabelsRange val="1"/>
                </c:ext>
                <c:ext xmlns:c16="http://schemas.microsoft.com/office/drawing/2014/chart" uri="{C3380CC4-5D6E-409C-BE32-E72D297353CC}">
                  <c16:uniqueId val="{0000000D-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Chart!$K$131</c:f>
              <c:numCache>
                <c:formatCode>_(* #,##0_);_(* \(#,##0\);_(* "-"??_);_(@_)</c:formatCode>
                <c:ptCount val="1"/>
                <c:pt idx="0">
                  <c:v>40</c:v>
                </c:pt>
              </c:numCache>
            </c:numRef>
          </c:val>
          <c:extLst>
            <c:ext xmlns:c15="http://schemas.microsoft.com/office/drawing/2012/chart" uri="{02D57815-91ED-43cb-92C2-25804820EDAC}">
              <c15:datalabelsRange>
                <c15:f>Chart!$L$131</c15:f>
                <c15:dlblRangeCache>
                  <c:ptCount val="1"/>
                  <c:pt idx="0">
                    <c:v>4%</c:v>
                  </c:pt>
                </c15:dlblRangeCache>
              </c15:datalabelsRange>
            </c:ext>
            <c:ext xmlns:c16="http://schemas.microsoft.com/office/drawing/2014/chart" uri="{C3380CC4-5D6E-409C-BE32-E72D297353CC}">
              <c16:uniqueId val="{00000006-A3D9-491C-A0B9-CDE1BC4CDF2E}"/>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WSS01G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385955654147184"/>
          <c:y val="0.15865590696190601"/>
          <c:w val="0.76477905174133931"/>
          <c:h val="0.79575919722741839"/>
        </c:manualLayout>
      </c:layout>
      <c:barChart>
        <c:barDir val="col"/>
        <c:grouping val="percentStacked"/>
        <c:varyColors val="0"/>
        <c:ser>
          <c:idx val="0"/>
          <c:order val="0"/>
          <c:tx>
            <c:strRef>
              <c:f>Chart!$J$80</c:f>
              <c:strCache>
                <c:ptCount val="1"/>
                <c:pt idx="0">
                  <c:v>Chi phí NVL</c:v>
                </c:pt>
              </c:strCache>
            </c:strRef>
          </c:tx>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0-1B45-4A53-9B01-8F0E2FE8FE2F}"/>
              </c:ext>
            </c:extLst>
          </c:dPt>
          <c:dLbls>
            <c:dLbl>
              <c:idx val="0"/>
              <c:layout>
                <c:manualLayout>
                  <c:x val="1.1764555122604639E-2"/>
                  <c:y val="0"/>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fld id="{AD4632F6-4FF2-4058-A6E3-88A86DDA6382}"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2501CDA4-35F5-4A3E-9721-8CC8F97FF2AB}"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6485303D-87A0-4AD0-A0D7-19EBDCD846FF}"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117480042451753"/>
                      <c:h val="2.6581401081770855E-2"/>
                    </c:manualLayout>
                  </c15:layout>
                  <c15:dlblFieldTable/>
                  <c15:showDataLabelsRange val="1"/>
                </c:ext>
                <c:ext xmlns:c16="http://schemas.microsoft.com/office/drawing/2014/chart" uri="{C3380CC4-5D6E-409C-BE32-E72D297353CC}">
                  <c16:uniqueId val="{00000000-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Chart!$K$80</c:f>
              <c:numCache>
                <c:formatCode>_(* #,##0_);_(* \(#,##0\);_(* "-"??_);_(@_)</c:formatCode>
                <c:ptCount val="1"/>
                <c:pt idx="0">
                  <c:v>545.10343237395819</c:v>
                </c:pt>
              </c:numCache>
            </c:numRef>
          </c:val>
          <c:extLst>
            <c:ext xmlns:c15="http://schemas.microsoft.com/office/drawing/2012/chart" uri="{02D57815-91ED-43cb-92C2-25804820EDAC}">
              <c15:datalabelsRange>
                <c15:f>Chart!$L$80</c15:f>
                <c15:dlblRangeCache>
                  <c:ptCount val="1"/>
                  <c:pt idx="0">
                    <c:v>47%</c:v>
                  </c:pt>
                </c15:dlblRangeCache>
              </c15:datalabelsRange>
            </c:ext>
            <c:ext xmlns:c16="http://schemas.microsoft.com/office/drawing/2014/chart" uri="{C3380CC4-5D6E-409C-BE32-E72D297353CC}">
              <c16:uniqueId val="{00000001-1B45-4A53-9B01-8F0E2FE8FE2F}"/>
            </c:ext>
          </c:extLst>
        </c:ser>
        <c:ser>
          <c:idx val="1"/>
          <c:order val="1"/>
          <c:tx>
            <c:strRef>
              <c:f>Chart!$J$81</c:f>
              <c:strCache>
                <c:ptCount val="1"/>
                <c:pt idx="0">
                  <c:v>Chi phí sản xuất</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E0FC5947-1362-4EE2-A07E-F48DD2155F1D}" type="CELLRANGE">
                      <a:rPr lang="en-US" sz="1200" baseline="0">
                        <a:solidFill>
                          <a:schemeClr val="bg1"/>
                        </a:solidFill>
                      </a:rPr>
                      <a:pPr>
                        <a:defRPr sz="1200" b="1">
                          <a:solidFill>
                            <a:schemeClr val="bg1"/>
                          </a:solidFill>
                        </a:defRPr>
                      </a:pPr>
                      <a:t>[CELLRANGE]</a:t>
                    </a:fld>
                    <a:r>
                      <a:rPr lang="en-US" sz="1200" baseline="0">
                        <a:solidFill>
                          <a:schemeClr val="bg1"/>
                        </a:solidFill>
                      </a:rPr>
                      <a:t>, </a:t>
                    </a:r>
                    <a:fld id="{7F203C72-0E6A-4C47-827A-AFE9A019F5E9}" type="SERIESNAME">
                      <a:rPr lang="en-US" sz="1200" baseline="0">
                        <a:solidFill>
                          <a:schemeClr val="bg1"/>
                        </a:solidFill>
                      </a:rPr>
                      <a:pPr>
                        <a:defRPr sz="1200" b="1">
                          <a:solidFill>
                            <a:schemeClr val="bg1"/>
                          </a:solidFill>
                        </a:defRPr>
                      </a:pPr>
                      <a:t>[SERIES NAME]</a:t>
                    </a:fld>
                    <a:r>
                      <a:rPr lang="en-US" sz="1200" baseline="0">
                        <a:solidFill>
                          <a:schemeClr val="bg1"/>
                        </a:solidFill>
                      </a:rPr>
                      <a:t>, </a:t>
                    </a:r>
                    <a:fld id="{422D0151-AEFD-4DF6-B8C8-9950E9EC0430}" type="VALUE">
                      <a:rPr lang="en-US" sz="1200" baseline="0">
                        <a:solidFill>
                          <a:schemeClr val="bg1"/>
                        </a:solidFill>
                      </a:rPr>
                      <a:pPr>
                        <a:defRPr sz="1200" b="1">
                          <a:solidFill>
                            <a:schemeClr val="bg1"/>
                          </a:solidFill>
                        </a:defRPr>
                      </a:pPr>
                      <a:t>[VALUE]</a:t>
                    </a:fld>
                    <a:endParaRPr lang="en-US" sz="12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970900099089108"/>
                      <c:h val="2.8628500166760919E-2"/>
                    </c:manualLayout>
                  </c15:layout>
                  <c15:dlblFieldTable/>
                  <c15:showDataLabelsRange val="1"/>
                </c:ext>
                <c:ext xmlns:c16="http://schemas.microsoft.com/office/drawing/2014/chart" uri="{C3380CC4-5D6E-409C-BE32-E72D297353CC}">
                  <c16:uniqueId val="{00000002-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Chart!$K$81</c:f>
              <c:numCache>
                <c:formatCode>_(* #,##0_);_(* \(#,##0\);_(* "-"??_);_(@_)</c:formatCode>
                <c:ptCount val="1"/>
                <c:pt idx="0">
                  <c:v>394.8397669584615</c:v>
                </c:pt>
              </c:numCache>
            </c:numRef>
          </c:val>
          <c:extLst>
            <c:ext xmlns:c15="http://schemas.microsoft.com/office/drawing/2012/chart" uri="{02D57815-91ED-43cb-92C2-25804820EDAC}">
              <c15:datalabelsRange>
                <c15:f>Chart!$L$81</c15:f>
                <c15:dlblRangeCache>
                  <c:ptCount val="1"/>
                  <c:pt idx="0">
                    <c:v>34%</c:v>
                  </c:pt>
                </c15:dlblRangeCache>
              </c15:datalabelsRange>
            </c:ext>
            <c:ext xmlns:c16="http://schemas.microsoft.com/office/drawing/2014/chart" uri="{C3380CC4-5D6E-409C-BE32-E72D297353CC}">
              <c16:uniqueId val="{00000003-1B45-4A53-9B01-8F0E2FE8FE2F}"/>
            </c:ext>
          </c:extLst>
        </c:ser>
        <c:ser>
          <c:idx val="2"/>
          <c:order val="2"/>
          <c:tx>
            <c:strRef>
              <c:f>Chart!$J$82</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57A3AE4C-EBE3-4C9C-8F1A-7CFB53EEF094}" type="CELLRANGE">
                      <a:rPr lang="en-US" b="1" baseline="0">
                        <a:solidFill>
                          <a:schemeClr val="bg1"/>
                        </a:solidFill>
                      </a:rPr>
                      <a:pPr>
                        <a:defRPr b="1">
                          <a:solidFill>
                            <a:schemeClr val="bg1"/>
                          </a:solidFill>
                        </a:defRPr>
                      </a:pPr>
                      <a:t>[CELLRANGE]</a:t>
                    </a:fld>
                    <a:r>
                      <a:rPr lang="en-US" b="1" baseline="0">
                        <a:solidFill>
                          <a:schemeClr val="bg1"/>
                        </a:solidFill>
                      </a:rPr>
                      <a:t>, </a:t>
                    </a:r>
                    <a:fld id="{FFC29A4A-81B9-4ACC-9694-0146046DEEA4}" type="SERIESNAME">
                      <a:rPr lang="en-US" b="1" baseline="0">
                        <a:solidFill>
                          <a:schemeClr val="bg1"/>
                        </a:solidFill>
                      </a:rPr>
                      <a:pPr>
                        <a:defRPr b="1">
                          <a:solidFill>
                            <a:schemeClr val="bg1"/>
                          </a:solidFill>
                        </a:defRPr>
                      </a:pPr>
                      <a:t>[SERIES NAME]</a:t>
                    </a:fld>
                    <a:r>
                      <a:rPr lang="en-US" b="1" baseline="0">
                        <a:solidFill>
                          <a:schemeClr val="bg1"/>
                        </a:solidFill>
                      </a:rPr>
                      <a:t>, </a:t>
                    </a:r>
                    <a:fld id="{48428166-2665-4DF9-9FA5-25CB5DAB876B}"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0280750966148593"/>
                      <c:h val="5.1115660184237459E-2"/>
                    </c:manualLayout>
                  </c15:layout>
                  <c15:dlblFieldTable/>
                  <c15:showDataLabelsRange val="1"/>
                </c:ext>
                <c:ext xmlns:c16="http://schemas.microsoft.com/office/drawing/2014/chart" uri="{C3380CC4-5D6E-409C-BE32-E72D297353CC}">
                  <c16:uniqueId val="{00000004-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Chart!$K$82</c:f>
              <c:numCache>
                <c:formatCode>_(* #,##0_);_(* \(#,##0\);_(* "-"??_);_(@_)</c:formatCode>
                <c:ptCount val="1"/>
                <c:pt idx="0">
                  <c:v>26.664635776796022</c:v>
                </c:pt>
              </c:numCache>
            </c:numRef>
          </c:val>
          <c:extLst>
            <c:ext xmlns:c15="http://schemas.microsoft.com/office/drawing/2012/chart" uri="{02D57815-91ED-43cb-92C2-25804820EDAC}">
              <c15:datalabelsRange>
                <c15:f>Chart!$L$82</c15:f>
                <c15:dlblRangeCache>
                  <c:ptCount val="1"/>
                  <c:pt idx="0">
                    <c:v>2%</c:v>
                  </c:pt>
                </c15:dlblRangeCache>
              </c15:datalabelsRange>
            </c:ext>
            <c:ext xmlns:c16="http://schemas.microsoft.com/office/drawing/2014/chart" uri="{C3380CC4-5D6E-409C-BE32-E72D297353CC}">
              <c16:uniqueId val="{00000005-1B45-4A53-9B01-8F0E2FE8FE2F}"/>
            </c:ext>
          </c:extLst>
        </c:ser>
        <c:ser>
          <c:idx val="3"/>
          <c:order val="3"/>
          <c:tx>
            <c:strRef>
              <c:f>Chart!$J$83</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56C1F1AF-3056-4DB7-9816-641D6C37B6D3}" type="CELLRANGE">
                      <a:rPr lang="en-US" sz="1050" b="1" baseline="0">
                        <a:solidFill>
                          <a:schemeClr val="bg1"/>
                        </a:solidFill>
                      </a:rPr>
                      <a:pPr>
                        <a:defRPr sz="1050" b="1">
                          <a:solidFill>
                            <a:schemeClr val="bg1"/>
                          </a:solidFill>
                        </a:defRPr>
                      </a:pPr>
                      <a:t>[CELLRANGE]</a:t>
                    </a:fld>
                    <a:r>
                      <a:rPr lang="en-US" sz="1050" b="1" baseline="0">
                        <a:solidFill>
                          <a:schemeClr val="bg1"/>
                        </a:solidFill>
                      </a:rPr>
                      <a:t>, </a:t>
                    </a:r>
                    <a:fld id="{BE705BDA-F70D-4DBA-B424-7E478EE85C65}" type="SERIESNAME">
                      <a:rPr lang="en-US" sz="1050" b="1" baseline="0">
                        <a:solidFill>
                          <a:schemeClr val="bg1"/>
                        </a:solidFill>
                      </a:rPr>
                      <a:pPr>
                        <a:defRPr sz="1050" b="1">
                          <a:solidFill>
                            <a:schemeClr val="bg1"/>
                          </a:solidFill>
                        </a:defRPr>
                      </a:pPr>
                      <a:t>[SERIES NAME]</a:t>
                    </a:fld>
                    <a:r>
                      <a:rPr lang="en-US" sz="1050" b="1" baseline="0">
                        <a:solidFill>
                          <a:schemeClr val="bg1"/>
                        </a:solidFill>
                      </a:rPr>
                      <a:t>, </a:t>
                    </a:r>
                    <a:fld id="{662AF20E-28C1-4583-9D3C-9E4738816027}" type="VALUE">
                      <a:rPr lang="en-US" sz="1050" b="1" baseline="0">
                        <a:solidFill>
                          <a:schemeClr val="bg1"/>
                        </a:solidFill>
                      </a:rPr>
                      <a:pPr>
                        <a:defRPr sz="1050" b="1">
                          <a:solidFill>
                            <a:schemeClr val="bg1"/>
                          </a:solidFill>
                        </a:defRPr>
                      </a:pPr>
                      <a:t>[VALUE]</a:t>
                    </a:fld>
                    <a:endParaRPr lang="en-US" sz="105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5273572726130213"/>
                      <c:h val="2.8628500166760919E-2"/>
                    </c:manualLayout>
                  </c15:layout>
                  <c15:dlblFieldTable/>
                  <c15:showDataLabelsRange val="1"/>
                </c:ext>
                <c:ext xmlns:c16="http://schemas.microsoft.com/office/drawing/2014/chart" uri="{C3380CC4-5D6E-409C-BE32-E72D297353CC}">
                  <c16:uniqueId val="{00000006-1B45-4A53-9B01-8F0E2FE8FE2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Chart!$K$83</c:f>
              <c:numCache>
                <c:formatCode>_(* #,##0_);_(* \(#,##0\);_(* "-"??_);_(@_)</c:formatCode>
                <c:ptCount val="1"/>
                <c:pt idx="0">
                  <c:v>140</c:v>
                </c:pt>
              </c:numCache>
            </c:numRef>
          </c:val>
          <c:extLst>
            <c:ext xmlns:c15="http://schemas.microsoft.com/office/drawing/2012/chart" uri="{02D57815-91ED-43cb-92C2-25804820EDAC}">
              <c15:datalabelsRange>
                <c15:f>Chart!$L$83</c15:f>
                <c15:dlblRangeCache>
                  <c:ptCount val="1"/>
                  <c:pt idx="0">
                    <c:v>12%</c:v>
                  </c:pt>
                </c15:dlblRangeCache>
              </c15:datalabelsRange>
            </c:ext>
            <c:ext xmlns:c16="http://schemas.microsoft.com/office/drawing/2014/chart" uri="{C3380CC4-5D6E-409C-BE32-E72D297353CC}">
              <c16:uniqueId val="{00000007-1B45-4A53-9B01-8F0E2FE8FE2F}"/>
            </c:ext>
          </c:extLst>
        </c:ser>
        <c:ser>
          <c:idx val="4"/>
          <c:order val="4"/>
          <c:tx>
            <c:strRef>
              <c:f>Chart!$J$84</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CDA1E42-24B6-459A-A09E-E58F8EE8F690}" type="CELLRANGE">
                      <a:rPr lang="en-US" baseline="0">
                        <a:solidFill>
                          <a:schemeClr val="bg1"/>
                        </a:solidFill>
                      </a:rPr>
                      <a:pPr>
                        <a:defRPr>
                          <a:solidFill>
                            <a:schemeClr val="bg1"/>
                          </a:solidFill>
                        </a:defRPr>
                      </a:pPr>
                      <a:t>[CELLRANGE]</a:t>
                    </a:fld>
                    <a:r>
                      <a:rPr lang="en-US" baseline="0">
                        <a:solidFill>
                          <a:schemeClr val="bg1"/>
                        </a:solidFill>
                      </a:rPr>
                      <a:t>, </a:t>
                    </a:r>
                    <a:fld id="{97516A6B-1011-412E-86E9-6EC2BC1B8C99}" type="SERIESNAME">
                      <a:rPr lang="en-US" baseline="0">
                        <a:solidFill>
                          <a:schemeClr val="bg1"/>
                        </a:solidFill>
                      </a:rPr>
                      <a:pPr>
                        <a:defRPr>
                          <a:solidFill>
                            <a:schemeClr val="bg1"/>
                          </a:solidFill>
                        </a:defRPr>
                      </a:pPr>
                      <a:t>[SERIES NAME]</a:t>
                    </a:fld>
                    <a:r>
                      <a:rPr lang="en-US" baseline="0">
                        <a:solidFill>
                          <a:schemeClr val="bg1"/>
                        </a:solidFill>
                      </a:rPr>
                      <a:t>, </a:t>
                    </a:r>
                    <a:fld id="{A0A82DE6-CDFB-4CF2-80B3-D4D79EA00DC6}"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872232089091479"/>
                      <c:h val="2.8628535046220548E-2"/>
                    </c:manualLayout>
                  </c15:layout>
                  <c15:dlblFieldTable/>
                  <c15:showDataLabelsRange val="1"/>
                </c:ext>
                <c:ext xmlns:c16="http://schemas.microsoft.com/office/drawing/2014/chart" uri="{C3380CC4-5D6E-409C-BE32-E72D297353CC}">
                  <c16:uniqueId val="{00000008-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Chart!$K$84</c:f>
              <c:numCache>
                <c:formatCode>_(* #,##0_);_(* \(#,##0\);_(* "-"??_);_(@_)</c:formatCode>
                <c:ptCount val="1"/>
                <c:pt idx="0">
                  <c:v>50</c:v>
                </c:pt>
              </c:numCache>
            </c:numRef>
          </c:val>
          <c:extLst>
            <c:ext xmlns:c15="http://schemas.microsoft.com/office/drawing/2012/chart" uri="{02D57815-91ED-43cb-92C2-25804820EDAC}">
              <c15:datalabelsRange>
                <c15:f>Chart!$L$84</c15:f>
                <c15:dlblRangeCache>
                  <c:ptCount val="1"/>
                  <c:pt idx="0">
                    <c:v>4%</c:v>
                  </c:pt>
                </c15:dlblRangeCache>
              </c15:datalabelsRange>
            </c:ext>
            <c:ext xmlns:c16="http://schemas.microsoft.com/office/drawing/2014/chart" uri="{C3380CC4-5D6E-409C-BE32-E72D297353CC}">
              <c16:uniqueId val="{00000009-1B45-4A53-9B01-8F0E2FE8FE2F}"/>
            </c:ext>
          </c:extLst>
        </c:ser>
        <c:ser>
          <c:idx val="5"/>
          <c:order val="5"/>
          <c:tx>
            <c:strRef>
              <c:f>Chart!$J$85</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71E2D5C-A61C-404A-9267-13DD49850D33}" type="CELLRANGE">
                      <a:rPr lang="en-US" baseline="0"/>
                      <a:pPr>
                        <a:defRPr>
                          <a:solidFill>
                            <a:schemeClr val="bg1"/>
                          </a:solidFill>
                        </a:defRPr>
                      </a:pPr>
                      <a:t>[CELLRANGE]</a:t>
                    </a:fld>
                    <a:r>
                      <a:rPr lang="en-US" baseline="0"/>
                      <a:t>, </a:t>
                    </a:r>
                    <a:fld id="{F0123CB6-4240-4217-99C5-FF3E1DA0E796}" type="SERIESNAME">
                      <a:rPr lang="en-US" baseline="0"/>
                      <a:pPr>
                        <a:defRPr>
                          <a:solidFill>
                            <a:schemeClr val="bg1"/>
                          </a:solidFill>
                        </a:defRPr>
                      </a:pPr>
                      <a:t>[SERIES NAME]</a:t>
                    </a:fld>
                    <a:r>
                      <a:rPr lang="en-US" baseline="0"/>
                      <a:t>, </a:t>
                    </a:r>
                    <a:fld id="{0B3A531D-658C-4088-8108-73CD36861A56}"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3577163371055544"/>
                      <c:h val="3.0857876190890504E-2"/>
                    </c:manualLayout>
                  </c15:layout>
                  <c15:dlblFieldTable/>
                  <c15:showDataLabelsRange val="1"/>
                </c:ext>
                <c:ext xmlns:c16="http://schemas.microsoft.com/office/drawing/2014/chart" uri="{C3380CC4-5D6E-409C-BE32-E72D297353CC}">
                  <c16:uniqueId val="{0000000A-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Chart!$K$85</c:f>
              <c:numCache>
                <c:formatCode>_(* #,##0_);_(* \(#,##0\);_(* "-"??_);_(@_)</c:formatCode>
                <c:ptCount val="1"/>
                <c:pt idx="0">
                  <c:v>10</c:v>
                </c:pt>
              </c:numCache>
            </c:numRef>
          </c:val>
          <c:extLst>
            <c:ext xmlns:c15="http://schemas.microsoft.com/office/drawing/2012/chart" uri="{02D57815-91ED-43cb-92C2-25804820EDAC}">
              <c15:datalabelsRange>
                <c15:f>Chart!$L$85</c15:f>
                <c15:dlblRangeCache>
                  <c:ptCount val="1"/>
                  <c:pt idx="0">
                    <c:v>1%</c:v>
                  </c:pt>
                </c15:dlblRangeCache>
              </c15:datalabelsRange>
            </c:ext>
            <c:ext xmlns:c16="http://schemas.microsoft.com/office/drawing/2014/chart" uri="{C3380CC4-5D6E-409C-BE32-E72D297353CC}">
              <c16:uniqueId val="{0000000B-1B45-4A53-9B01-8F0E2FE8FE2F}"/>
            </c:ext>
          </c:extLst>
        </c:ser>
        <c:ser>
          <c:idx val="6"/>
          <c:order val="6"/>
          <c:tx>
            <c:strRef>
              <c:f>Chart!$J$86</c:f>
              <c:strCache>
                <c:ptCount val="1"/>
                <c:pt idx="0">
                  <c:v>Lợi nhuận sau thuế</c:v>
                </c:pt>
              </c:strCache>
            </c:strRef>
          </c:tx>
          <c:spPr>
            <a:solidFill>
              <a:schemeClr val="accent1">
                <a:lumMod val="60000"/>
              </a:schemeClr>
            </a:solidFill>
            <a:ln>
              <a:noFill/>
            </a:ln>
            <a:effectLst/>
          </c:spPr>
          <c:invertIfNegative val="0"/>
          <c:dPt>
            <c:idx val="0"/>
            <c:invertIfNegative val="0"/>
            <c:bubble3D val="0"/>
            <c:spPr>
              <a:solidFill>
                <a:srgbClr val="0000FF"/>
              </a:solidFill>
              <a:ln>
                <a:noFill/>
              </a:ln>
              <a:effectLst/>
            </c:spPr>
            <c:extLst>
              <c:ext xmlns:c16="http://schemas.microsoft.com/office/drawing/2014/chart" uri="{C3380CC4-5D6E-409C-BE32-E72D297353CC}">
                <c16:uniqueId val="{0000000C-1B45-4A53-9B01-8F0E2FE8FE2F}"/>
              </c:ext>
            </c:extLst>
          </c:dPt>
          <c:dLbls>
            <c:dLbl>
              <c:idx val="0"/>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3843FBB1-931D-4951-8575-7250DF864C6C}" type="CELLRANGE">
                      <a:rPr lang="en-US" sz="800" b="1" baseline="0">
                        <a:solidFill>
                          <a:schemeClr val="bg1"/>
                        </a:solidFill>
                      </a:rPr>
                      <a:pPr>
                        <a:defRPr sz="800" b="1">
                          <a:solidFill>
                            <a:schemeClr val="bg1"/>
                          </a:solidFill>
                        </a:defRPr>
                      </a:pPr>
                      <a:t>[CELLRANGE]</a:t>
                    </a:fld>
                    <a:r>
                      <a:rPr lang="en-US" sz="800" b="1" baseline="0">
                        <a:solidFill>
                          <a:schemeClr val="bg1"/>
                        </a:solidFill>
                      </a:rPr>
                      <a:t>, </a:t>
                    </a:r>
                    <a:fld id="{D7CE25DF-DFD8-4480-82FD-B7A07CCBF827}" type="SERIESNAME">
                      <a:rPr lang="en-US" sz="800" b="1" baseline="0">
                        <a:solidFill>
                          <a:schemeClr val="bg1"/>
                        </a:solidFill>
                      </a:rPr>
                      <a:pPr>
                        <a:defRPr sz="800" b="1">
                          <a:solidFill>
                            <a:schemeClr val="bg1"/>
                          </a:solidFill>
                        </a:defRPr>
                      </a:pPr>
                      <a:t>[SERIES NAME]</a:t>
                    </a:fld>
                    <a:r>
                      <a:rPr lang="en-US" sz="800" b="1" baseline="0">
                        <a:solidFill>
                          <a:schemeClr val="bg1"/>
                        </a:solidFill>
                      </a:rPr>
                      <a:t>, </a:t>
                    </a:r>
                    <a:fld id="{094D24A8-6BDF-491C-876C-8CA08670F07B}" type="VALUE">
                      <a:rPr lang="en-US" sz="800" b="1" baseline="0">
                        <a:solidFill>
                          <a:schemeClr val="bg1"/>
                        </a:solidFill>
                      </a:rPr>
                      <a:pPr>
                        <a:defRPr sz="800" b="1">
                          <a:solidFill>
                            <a:schemeClr val="bg1"/>
                          </a:solidFill>
                        </a:defRPr>
                      </a:pPr>
                      <a:t>[VALUE]</a:t>
                    </a:fld>
                    <a:endParaRPr lang="en-US" sz="800"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8009803307025878"/>
                      <c:h val="3.4928872841171098E-2"/>
                    </c:manualLayout>
                  </c15:layout>
                  <c15:dlblFieldTable/>
                  <c15:showDataLabelsRange val="1"/>
                </c:ext>
                <c:ext xmlns:c16="http://schemas.microsoft.com/office/drawing/2014/chart" uri="{C3380CC4-5D6E-409C-BE32-E72D297353CC}">
                  <c16:uniqueId val="{0000000C-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Chart!$K$86</c:f>
              <c:numCache>
                <c:formatCode>_(* #,##0_);_(* \(#,##0\);_(* "-"??_);_(@_)</c:formatCode>
                <c:ptCount val="1"/>
                <c:pt idx="0">
                  <c:v>40</c:v>
                </c:pt>
              </c:numCache>
            </c:numRef>
          </c:val>
          <c:extLst>
            <c:ext xmlns:c15="http://schemas.microsoft.com/office/drawing/2012/chart" uri="{02D57815-91ED-43cb-92C2-25804820EDAC}">
              <c15:datalabelsRange>
                <c15:f>Chart!$L$86</c15:f>
                <c15:dlblRangeCache>
                  <c:ptCount val="1"/>
                  <c:pt idx="0">
                    <c:v>3%</c:v>
                  </c:pt>
                </c15:dlblRangeCache>
              </c15:datalabelsRange>
            </c:ext>
            <c:ext xmlns:c16="http://schemas.microsoft.com/office/drawing/2014/chart" uri="{C3380CC4-5D6E-409C-BE32-E72D297353CC}">
              <c16:uniqueId val="{0000000D-1B45-4A53-9B01-8F0E2FE8FE2F}"/>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A$3" max="12" min="1" page="10" val="3"/>
</file>

<file path=xl/ctrlProps/ctrlProp2.xml><?xml version="1.0" encoding="utf-8"?>
<formControlPr xmlns="http://schemas.microsoft.com/office/spreadsheetml/2009/9/main" objectType="Spin" dx="26" fmlaLink="$A$3" max="12" min="1" page="10" val="4"/>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59764</xdr:rowOff>
    </xdr:from>
    <xdr:to>
      <xdr:col>2</xdr:col>
      <xdr:colOff>67235</xdr:colOff>
      <xdr:row>1</xdr:row>
      <xdr:rowOff>170837</xdr:rowOff>
    </xdr:to>
    <xdr:pic>
      <xdr:nvPicPr>
        <xdr:cNvPr id="2" name="Picture 1" descr="A green and grey recycle sign&#10;&#10;Description automatically generated">
          <a:extLst>
            <a:ext uri="{FF2B5EF4-FFF2-40B4-BE49-F238E27FC236}">
              <a16:creationId xmlns:a16="http://schemas.microsoft.com/office/drawing/2014/main" id="{6E4CF422-C708-4D9C-B9C5-2C2D4C7B8C26}"/>
            </a:ext>
          </a:extLst>
        </xdr:cNvPr>
        <xdr:cNvPicPr>
          <a:picLocks noChangeAspect="1"/>
        </xdr:cNvPicPr>
      </xdr:nvPicPr>
      <xdr:blipFill>
        <a:blip xmlns:r="http://schemas.openxmlformats.org/officeDocument/2006/relationships" r:embed="rId1"/>
        <a:stretch>
          <a:fillRect/>
        </a:stretch>
      </xdr:blipFill>
      <xdr:spPr>
        <a:xfrm>
          <a:off x="0" y="59764"/>
          <a:ext cx="1356285" cy="2952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9217" name="Spinner 1" hidden="1">
              <a:extLst>
                <a:ext uri="{63B3BB69-23CF-44E3-9099-C40C66FF867C}">
                  <a14:compatExt spid="_x0000_s9217"/>
                </a:ext>
                <a:ext uri="{FF2B5EF4-FFF2-40B4-BE49-F238E27FC236}">
                  <a16:creationId xmlns:a16="http://schemas.microsoft.com/office/drawing/2014/main" id="{00000000-0008-0000-0500-00000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21505" name="Spinner 1" hidden="1">
              <a:extLst>
                <a:ext uri="{63B3BB69-23CF-44E3-9099-C40C66FF867C}">
                  <a14:compatExt spid="_x0000_s21505"/>
                </a:ext>
                <a:ext uri="{FF2B5EF4-FFF2-40B4-BE49-F238E27FC236}">
                  <a16:creationId xmlns:a16="http://schemas.microsoft.com/office/drawing/2014/main" id="{00000000-0008-0000-0600-00000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12</xdr:col>
      <xdr:colOff>314325</xdr:colOff>
      <xdr:row>40</xdr:row>
      <xdr:rowOff>69850</xdr:rowOff>
    </xdr:from>
    <xdr:to>
      <xdr:col>17</xdr:col>
      <xdr:colOff>546100</xdr:colOff>
      <xdr:row>76</xdr:row>
      <xdr:rowOff>12700</xdr:rowOff>
    </xdr:to>
    <xdr:graphicFrame macro="">
      <xdr:nvGraphicFramePr>
        <xdr:cNvPr id="5" name="Chart 4">
          <a:extLst>
            <a:ext uri="{FF2B5EF4-FFF2-40B4-BE49-F238E27FC236}">
              <a16:creationId xmlns:a16="http://schemas.microsoft.com/office/drawing/2014/main" id="{2B7F6D55-9D7A-544C-34DC-738C6E651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209550</xdr:colOff>
      <xdr:row>0</xdr:row>
      <xdr:rowOff>171450</xdr:rowOff>
    </xdr:from>
    <xdr:to>
      <xdr:col>18</xdr:col>
      <xdr:colOff>152400</xdr:colOff>
      <xdr:row>37</xdr:row>
      <xdr:rowOff>114300</xdr:rowOff>
    </xdr:to>
    <xdr:graphicFrame macro="">
      <xdr:nvGraphicFramePr>
        <xdr:cNvPr id="6" name="Chart 5">
          <a:extLst>
            <a:ext uri="{FF2B5EF4-FFF2-40B4-BE49-F238E27FC236}">
              <a16:creationId xmlns:a16="http://schemas.microsoft.com/office/drawing/2014/main" id="{35EE0DF0-3270-411E-84BB-1985CAD91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317500</xdr:colOff>
      <xdr:row>121</xdr:row>
      <xdr:rowOff>63500</xdr:rowOff>
    </xdr:from>
    <xdr:to>
      <xdr:col>17</xdr:col>
      <xdr:colOff>549275</xdr:colOff>
      <xdr:row>155</xdr:row>
      <xdr:rowOff>6350</xdr:rowOff>
    </xdr:to>
    <xdr:graphicFrame macro="">
      <xdr:nvGraphicFramePr>
        <xdr:cNvPr id="9" name="Chart 8">
          <a:extLst>
            <a:ext uri="{FF2B5EF4-FFF2-40B4-BE49-F238E27FC236}">
              <a16:creationId xmlns:a16="http://schemas.microsoft.com/office/drawing/2014/main" id="{7389E082-B7BD-4DD1-B5DE-216131F44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349251</xdr:colOff>
      <xdr:row>77</xdr:row>
      <xdr:rowOff>25400</xdr:rowOff>
    </xdr:from>
    <xdr:to>
      <xdr:col>17</xdr:col>
      <xdr:colOff>539750</xdr:colOff>
      <xdr:row>114</xdr:row>
      <xdr:rowOff>107950</xdr:rowOff>
    </xdr:to>
    <xdr:graphicFrame macro="">
      <xdr:nvGraphicFramePr>
        <xdr:cNvPr id="8" name="Chart 7">
          <a:extLst>
            <a:ext uri="{FF2B5EF4-FFF2-40B4-BE49-F238E27FC236}">
              <a16:creationId xmlns:a16="http://schemas.microsoft.com/office/drawing/2014/main" id="{67A35073-F0AB-4C83-8148-DDF9AAA1F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292100</xdr:colOff>
      <xdr:row>79</xdr:row>
      <xdr:rowOff>12700</xdr:rowOff>
    </xdr:from>
    <xdr:to>
      <xdr:col>17</xdr:col>
      <xdr:colOff>330200</xdr:colOff>
      <xdr:row>82</xdr:row>
      <xdr:rowOff>101601</xdr:rowOff>
    </xdr:to>
    <xdr:sp macro="" textlink="">
      <xdr:nvSpPr>
        <xdr:cNvPr id="2" name="Oval 1">
          <a:extLst>
            <a:ext uri="{FF2B5EF4-FFF2-40B4-BE49-F238E27FC236}">
              <a16:creationId xmlns:a16="http://schemas.microsoft.com/office/drawing/2014/main" id="{61A97B66-04F9-4567-8609-5C9CD0A0D1D1}"/>
            </a:ext>
          </a:extLst>
        </xdr:cNvPr>
        <xdr:cNvSpPr/>
      </xdr:nvSpPr>
      <xdr:spPr>
        <a:xfrm>
          <a:off x="3943350" y="14636750"/>
          <a:ext cx="2476500" cy="641351"/>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467380</xdr:colOff>
      <xdr:row>79</xdr:row>
      <xdr:rowOff>82550</xdr:rowOff>
    </xdr:from>
    <xdr:to>
      <xdr:col>16</xdr:col>
      <xdr:colOff>101600</xdr:colOff>
      <xdr:row>82</xdr:row>
      <xdr:rowOff>69850</xdr:rowOff>
    </xdr:to>
    <xdr:sp macro="" textlink="">
      <xdr:nvSpPr>
        <xdr:cNvPr id="3" name="TextBox 2">
          <a:extLst>
            <a:ext uri="{FF2B5EF4-FFF2-40B4-BE49-F238E27FC236}">
              <a16:creationId xmlns:a16="http://schemas.microsoft.com/office/drawing/2014/main" id="{B37FDB62-FA9F-F6A0-9B04-EC7A1EB6F200}"/>
            </a:ext>
          </a:extLst>
        </xdr:cNvPr>
        <xdr:cNvSpPr txBox="1"/>
      </xdr:nvSpPr>
      <xdr:spPr>
        <a:xfrm>
          <a:off x="4728230" y="14706600"/>
          <a:ext cx="853420"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a:pPr algn="ctr"/>
          <a:r>
            <a:rPr lang="en-US" sz="1200" b="1">
              <a:solidFill>
                <a:srgbClr val="FF0000"/>
              </a:solidFill>
            </a:rPr>
            <a:t>1,149</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0.13262</cdr:x>
      <cdr:y>0.057</cdr:y>
    </cdr:from>
    <cdr:to>
      <cdr:x>0.91191</cdr:x>
      <cdr:y>0.15459</cdr:y>
    </cdr:to>
    <cdr:sp macro="" textlink="">
      <cdr:nvSpPr>
        <cdr:cNvPr id="2" name="Oval 1">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434974" y="374650"/>
          <a:ext cx="2555875"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0.38916</cdr:x>
      <cdr:y>0.0657</cdr:y>
    </cdr:from>
    <cdr:to>
      <cdr:x>0.66312</cdr:x>
      <cdr:y>0.14783</cdr:y>
    </cdr:to>
    <cdr:sp macro="" textlink="">
      <cdr:nvSpPr>
        <cdr:cNvPr id="3"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276350" y="431800"/>
          <a:ext cx="898525"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BÁN</a:t>
          </a:r>
          <a:endParaRPr lang="en-US" sz="1400" b="1">
            <a:solidFill>
              <a:srgbClr val="0000FF"/>
            </a:solidFill>
          </a:endParaRPr>
        </a:p>
        <a:p xmlns:a="http://schemas.openxmlformats.org/drawingml/2006/main">
          <a:pPr algn="ctr"/>
          <a:r>
            <a:rPr lang="en-US" sz="1400" b="1">
              <a:solidFill>
                <a:srgbClr val="FF0000"/>
              </a:solidFill>
            </a:rPr>
            <a:t>1,191</a:t>
          </a:r>
        </a:p>
      </cdr:txBody>
    </cdr:sp>
  </cdr:relSizeAnchor>
</c:userShapes>
</file>

<file path=xl/drawings/drawing6.xml><?xml version="1.0" encoding="utf-8"?>
<c:userShapes xmlns:c="http://schemas.openxmlformats.org/drawingml/2006/chart">
  <cdr:relSizeAnchor xmlns:cdr="http://schemas.openxmlformats.org/drawingml/2006/chartDrawing">
    <cdr:from>
      <cdr:x>0.41623</cdr:x>
      <cdr:y>0.06784</cdr:y>
    </cdr:from>
    <cdr:to>
      <cdr:x>0.66578</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498600" y="463550"/>
          <a:ext cx="898525"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BÁN</a:t>
          </a:r>
          <a:endParaRPr lang="en-US" sz="1400" b="1">
            <a:solidFill>
              <a:srgbClr val="0000FF"/>
            </a:solidFill>
          </a:endParaRPr>
        </a:p>
        <a:p xmlns:a="http://schemas.openxmlformats.org/drawingml/2006/main">
          <a:pPr algn="ctr"/>
          <a:r>
            <a:rPr lang="en-US" sz="1400" b="1">
              <a:solidFill>
                <a:srgbClr val="FF0000"/>
              </a:solidFill>
            </a:rPr>
            <a:t>1,121</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7.xml><?xml version="1.0" encoding="utf-8"?>
<c:userShapes xmlns:c="http://schemas.openxmlformats.org/drawingml/2006/chart">
  <cdr:relSizeAnchor xmlns:cdr="http://schemas.openxmlformats.org/drawingml/2006/chartDrawing">
    <cdr:from>
      <cdr:x>0.43756</cdr:x>
      <cdr:y>0.06346</cdr:y>
    </cdr:from>
    <cdr:to>
      <cdr:x>0.69777</cdr:x>
      <cdr:y>0.15046</cdr:y>
    </cdr:to>
    <cdr:sp macro="" textlink="">
      <cdr:nvSpPr>
        <cdr:cNvPr id="2"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435100" y="393700"/>
          <a:ext cx="853420"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xmlns:a="http://schemas.openxmlformats.org/drawingml/2006/main">
          <a:pPr algn="ctr"/>
          <a:r>
            <a:rPr lang="en-US" sz="1200" b="1">
              <a:solidFill>
                <a:srgbClr val="FF0000"/>
              </a:solidFill>
            </a:rPr>
            <a:t>1,127</a:t>
          </a:r>
        </a:p>
      </cdr:txBody>
    </cdr:sp>
  </cdr:relSizeAnchor>
  <cdr:relSizeAnchor xmlns:cdr="http://schemas.openxmlformats.org/drawingml/2006/chartDrawing">
    <cdr:from>
      <cdr:x>0.15489</cdr:x>
      <cdr:y>0.05834</cdr:y>
    </cdr:from>
    <cdr:to>
      <cdr:x>0.90997</cdr:x>
      <cdr:y>0.16172</cdr:y>
    </cdr:to>
    <cdr:sp macro="" textlink="">
      <cdr:nvSpPr>
        <cdr:cNvPr id="3" name="Oval 2">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508000" y="361950"/>
          <a:ext cx="24765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8.xml><?xml version="1.0" encoding="utf-8"?>
<c:userShapes xmlns:c="http://schemas.openxmlformats.org/drawingml/2006/chart">
  <cdr:relSizeAnchor xmlns:cdr="http://schemas.openxmlformats.org/drawingml/2006/chartDrawing">
    <cdr:from>
      <cdr:x>0.35965</cdr:x>
      <cdr:y>0.43188</cdr:y>
    </cdr:from>
    <cdr:to>
      <cdr:x>0.64035</cdr:x>
      <cdr:y>0.56812</cdr:y>
    </cdr:to>
    <cdr:sp macro="" textlink="">
      <cdr:nvSpPr>
        <cdr:cNvPr id="2" name="TextBox 1">
          <a:extLst xmlns:a="http://schemas.openxmlformats.org/drawingml/2006/main">
            <a:ext uri="{FF2B5EF4-FFF2-40B4-BE49-F238E27FC236}">
              <a16:creationId xmlns:a16="http://schemas.microsoft.com/office/drawing/2014/main" id="{479EC068-91D2-155B-C21C-2DCCE6E8276C}"/>
            </a:ext>
          </a:extLst>
        </cdr:cNvPr>
        <cdr:cNvSpPr txBox="1"/>
      </cdr:nvSpPr>
      <cdr:spPr>
        <a:xfrm xmlns:a="http://schemas.openxmlformats.org/drawingml/2006/main">
          <a:off x="1171575" y="289877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9.xml><?xml version="1.0" encoding="utf-8"?>
<xdr:wsDr xmlns:xdr="http://schemas.openxmlformats.org/drawingml/2006/spreadsheetDrawing" xmlns:a="http://schemas.openxmlformats.org/drawingml/2006/main">
  <xdr:twoCellAnchor>
    <xdr:from>
      <xdr:col>2</xdr:col>
      <xdr:colOff>170089</xdr:colOff>
      <xdr:row>47</xdr:row>
      <xdr:rowOff>131352</xdr:rowOff>
    </xdr:from>
    <xdr:to>
      <xdr:col>35</xdr:col>
      <xdr:colOff>613929</xdr:colOff>
      <xdr:row>78</xdr:row>
      <xdr:rowOff>91168</xdr:rowOff>
    </xdr:to>
    <xdr:pic>
      <xdr:nvPicPr>
        <xdr:cNvPr id="2" name="Picture 345">
          <a:extLst>
            <a:ext uri="{FF2B5EF4-FFF2-40B4-BE49-F238E27FC236}">
              <a16:creationId xmlns:a16="http://schemas.microsoft.com/office/drawing/2014/main" id="{95A3368E-4A42-4564-92F3-AD29D7E0CF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3732" y="8975995"/>
          <a:ext cx="15475197" cy="55841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132777</xdr:colOff>
      <xdr:row>2</xdr:row>
      <xdr:rowOff>217711</xdr:rowOff>
    </xdr:from>
    <xdr:to>
      <xdr:col>23</xdr:col>
      <xdr:colOff>961571</xdr:colOff>
      <xdr:row>40</xdr:row>
      <xdr:rowOff>132564</xdr:rowOff>
    </xdr:to>
    <xdr:grpSp>
      <xdr:nvGrpSpPr>
        <xdr:cNvPr id="499" name="Group 498">
          <a:extLst>
            <a:ext uri="{FF2B5EF4-FFF2-40B4-BE49-F238E27FC236}">
              <a16:creationId xmlns:a16="http://schemas.microsoft.com/office/drawing/2014/main" id="{CC68F57B-71D8-4999-91B5-766A14E4C7AB}"/>
            </a:ext>
          </a:extLst>
        </xdr:cNvPr>
        <xdr:cNvGrpSpPr/>
      </xdr:nvGrpSpPr>
      <xdr:grpSpPr>
        <a:xfrm>
          <a:off x="132777" y="611411"/>
          <a:ext cx="14824194" cy="7179253"/>
          <a:chOff x="301662" y="4281096"/>
          <a:chExt cx="16543020" cy="8351083"/>
        </a:xfrm>
      </xdr:grpSpPr>
      <xdr:sp macro="" textlink="">
        <xdr:nvSpPr>
          <xdr:cNvPr id="500" name="Rectangle: Rounded Corners 499">
            <a:extLst>
              <a:ext uri="{FF2B5EF4-FFF2-40B4-BE49-F238E27FC236}">
                <a16:creationId xmlns:a16="http://schemas.microsoft.com/office/drawing/2014/main" id="{60C08FFF-A8EC-FC83-8115-BD1FA9BFA14D}"/>
              </a:ext>
            </a:extLst>
          </xdr:cNvPr>
          <xdr:cNvSpPr/>
        </xdr:nvSpPr>
        <xdr:spPr>
          <a:xfrm>
            <a:off x="301662" y="4398799"/>
            <a:ext cx="829236" cy="366209"/>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B0</a:t>
            </a:r>
          </a:p>
        </xdr:txBody>
      </xdr:sp>
      <xdr:sp macro="" textlink="">
        <xdr:nvSpPr>
          <xdr:cNvPr id="501" name="Rectangle: Rounded Corners 500">
            <a:extLst>
              <a:ext uri="{FF2B5EF4-FFF2-40B4-BE49-F238E27FC236}">
                <a16:creationId xmlns:a16="http://schemas.microsoft.com/office/drawing/2014/main" id="{98B88903-62D0-D04A-1914-4DFFFE462D17}"/>
              </a:ext>
            </a:extLst>
          </xdr:cNvPr>
          <xdr:cNvSpPr/>
        </xdr:nvSpPr>
        <xdr:spPr>
          <a:xfrm>
            <a:off x="3173511" y="4325917"/>
            <a:ext cx="101166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B6.2</a:t>
            </a:r>
          </a:p>
          <a:p>
            <a:pPr algn="ctr"/>
            <a:r>
              <a:rPr lang="en-US" sz="1100">
                <a:solidFill>
                  <a:sysClr val="windowText" lastClr="000000"/>
                </a:solidFill>
              </a:rPr>
              <a:t>sau phân</a:t>
            </a:r>
            <a:r>
              <a:rPr lang="en-US" sz="1100" baseline="0">
                <a:solidFill>
                  <a:sysClr val="windowText" lastClr="000000"/>
                </a:solidFill>
              </a:rPr>
              <a:t> loại</a:t>
            </a:r>
            <a:endParaRPr lang="en-US" sz="1100">
              <a:solidFill>
                <a:sysClr val="windowText" lastClr="000000"/>
              </a:solidFill>
            </a:endParaRPr>
          </a:p>
        </xdr:txBody>
      </xdr:sp>
      <xdr:sp macro="" textlink="">
        <xdr:nvSpPr>
          <xdr:cNvPr id="502" name="Rectangle: Rounded Corners 501">
            <a:extLst>
              <a:ext uri="{FF2B5EF4-FFF2-40B4-BE49-F238E27FC236}">
                <a16:creationId xmlns:a16="http://schemas.microsoft.com/office/drawing/2014/main" id="{C2FD26DB-F36E-942E-2428-F93CF7C1679D}"/>
              </a:ext>
            </a:extLst>
          </xdr:cNvPr>
          <xdr:cNvSpPr/>
        </xdr:nvSpPr>
        <xdr:spPr>
          <a:xfrm>
            <a:off x="3173511" y="6622394"/>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B1.1 </a:t>
            </a:r>
          </a:p>
          <a:p>
            <a:pPr algn="ctr"/>
            <a:r>
              <a:rPr lang="en-US" sz="1100">
                <a:solidFill>
                  <a:sysClr val="windowText" lastClr="000000"/>
                </a:solidFill>
              </a:rPr>
              <a:t>sau phân</a:t>
            </a:r>
            <a:r>
              <a:rPr lang="en-US" sz="1100" baseline="0">
                <a:solidFill>
                  <a:sysClr val="windowText" lastClr="000000"/>
                </a:solidFill>
              </a:rPr>
              <a:t> loại</a:t>
            </a:r>
            <a:endParaRPr lang="en-US" sz="1100">
              <a:solidFill>
                <a:sysClr val="windowText" lastClr="000000"/>
              </a:solidFill>
            </a:endParaRPr>
          </a:p>
        </xdr:txBody>
      </xdr:sp>
      <xdr:sp macro="" textlink="">
        <xdr:nvSpPr>
          <xdr:cNvPr id="503" name="Rectangle: Rounded Corners 502">
            <a:extLst>
              <a:ext uri="{FF2B5EF4-FFF2-40B4-BE49-F238E27FC236}">
                <a16:creationId xmlns:a16="http://schemas.microsoft.com/office/drawing/2014/main" id="{80AB1BAF-64B7-1322-C170-55C4CCE40A4C}"/>
              </a:ext>
            </a:extLst>
          </xdr:cNvPr>
          <xdr:cNvSpPr/>
        </xdr:nvSpPr>
        <xdr:spPr>
          <a:xfrm>
            <a:off x="1588098" y="4398798"/>
            <a:ext cx="835062"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Phân</a:t>
            </a:r>
            <a:r>
              <a:rPr lang="en-US" sz="1100" b="1" baseline="0">
                <a:solidFill>
                  <a:schemeClr val="bg1"/>
                </a:solidFill>
              </a:rPr>
              <a:t> loại</a:t>
            </a:r>
            <a:endParaRPr lang="en-US" sz="1100" b="1">
              <a:solidFill>
                <a:schemeClr val="bg1"/>
              </a:solidFill>
            </a:endParaRPr>
          </a:p>
        </xdr:txBody>
      </xdr:sp>
      <xdr:sp macro="" textlink="">
        <xdr:nvSpPr>
          <xdr:cNvPr id="504" name="Rectangle: Rounded Corners 503">
            <a:extLst>
              <a:ext uri="{FF2B5EF4-FFF2-40B4-BE49-F238E27FC236}">
                <a16:creationId xmlns:a16="http://schemas.microsoft.com/office/drawing/2014/main" id="{B2B629A7-0210-77C3-DC22-C42216E22B38}"/>
              </a:ext>
            </a:extLst>
          </xdr:cNvPr>
          <xdr:cNvSpPr/>
        </xdr:nvSpPr>
        <xdr:spPr>
          <a:xfrm>
            <a:off x="3173511" y="7446632"/>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Phó</a:t>
            </a:r>
            <a:r>
              <a:rPr lang="en-US" sz="1100" baseline="0">
                <a:solidFill>
                  <a:sysClr val="windowText" lastClr="000000"/>
                </a:solidFill>
              </a:rPr>
              <a:t> sản + Hao hụt </a:t>
            </a:r>
            <a:endParaRPr lang="en-US" sz="1100">
              <a:solidFill>
                <a:sysClr val="windowText" lastClr="000000"/>
              </a:solidFill>
            </a:endParaRPr>
          </a:p>
        </xdr:txBody>
      </xdr:sp>
      <xdr:sp macro="" textlink="">
        <xdr:nvSpPr>
          <xdr:cNvPr id="505" name="Rectangle: Rounded Corners 504">
            <a:extLst>
              <a:ext uri="{FF2B5EF4-FFF2-40B4-BE49-F238E27FC236}">
                <a16:creationId xmlns:a16="http://schemas.microsoft.com/office/drawing/2014/main" id="{7A209C2E-D08A-03B5-285B-83C5D2011D86}"/>
              </a:ext>
            </a:extLst>
          </xdr:cNvPr>
          <xdr:cNvSpPr/>
        </xdr:nvSpPr>
        <xdr:spPr>
          <a:xfrm>
            <a:off x="5505674" y="4294095"/>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B6.2.A0</a:t>
            </a:r>
          </a:p>
          <a:p>
            <a:pPr algn="ctr"/>
            <a:r>
              <a:rPr lang="en-US" sz="1100">
                <a:solidFill>
                  <a:sysClr val="windowText" lastClr="000000"/>
                </a:solidFill>
              </a:rPr>
              <a:t>chưa rửa</a:t>
            </a:r>
          </a:p>
        </xdr:txBody>
      </xdr:sp>
      <xdr:sp macro="" textlink="">
        <xdr:nvSpPr>
          <xdr:cNvPr id="506" name="Rectangle: Rounded Corners 505">
            <a:extLst>
              <a:ext uri="{FF2B5EF4-FFF2-40B4-BE49-F238E27FC236}">
                <a16:creationId xmlns:a16="http://schemas.microsoft.com/office/drawing/2014/main" id="{0793C6EB-5C39-A992-CC23-4572D31F17BE}"/>
              </a:ext>
            </a:extLst>
          </xdr:cNvPr>
          <xdr:cNvSpPr/>
        </xdr:nvSpPr>
        <xdr:spPr>
          <a:xfrm>
            <a:off x="4432151" y="4398798"/>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07" name="Rectangle: Rounded Corners 506">
            <a:extLst>
              <a:ext uri="{FF2B5EF4-FFF2-40B4-BE49-F238E27FC236}">
                <a16:creationId xmlns:a16="http://schemas.microsoft.com/office/drawing/2014/main" id="{174A2B02-B6B4-E7AE-B3D5-A1E31AEF5C42}"/>
              </a:ext>
            </a:extLst>
          </xdr:cNvPr>
          <xdr:cNvSpPr/>
        </xdr:nvSpPr>
        <xdr:spPr>
          <a:xfrm>
            <a:off x="6784938" y="4398798"/>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sp macro="" textlink="">
        <xdr:nvSpPr>
          <xdr:cNvPr id="508" name="Rectangle: Rounded Corners 507">
            <a:extLst>
              <a:ext uri="{FF2B5EF4-FFF2-40B4-BE49-F238E27FC236}">
                <a16:creationId xmlns:a16="http://schemas.microsoft.com/office/drawing/2014/main" id="{ADB46D72-85B9-3A37-F589-6D710B69A008}"/>
              </a:ext>
            </a:extLst>
          </xdr:cNvPr>
          <xdr:cNvSpPr/>
        </xdr:nvSpPr>
        <xdr:spPr>
          <a:xfrm>
            <a:off x="7988001" y="4281096"/>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B6.2</a:t>
            </a:r>
          </a:p>
          <a:p>
            <a:pPr algn="ctr"/>
            <a:r>
              <a:rPr lang="en-US" sz="1100">
                <a:solidFill>
                  <a:sysClr val="windowText" lastClr="000000"/>
                </a:solidFill>
              </a:rPr>
              <a:t>sau rửa</a:t>
            </a:r>
          </a:p>
        </xdr:txBody>
      </xdr:sp>
      <xdr:sp macro="" textlink="">
        <xdr:nvSpPr>
          <xdr:cNvPr id="509" name="Rectangle: Rounded Corners 508">
            <a:extLst>
              <a:ext uri="{FF2B5EF4-FFF2-40B4-BE49-F238E27FC236}">
                <a16:creationId xmlns:a16="http://schemas.microsoft.com/office/drawing/2014/main" id="{F7D51502-956C-48C2-96F9-49D6BE9C9DE7}"/>
              </a:ext>
            </a:extLst>
          </xdr:cNvPr>
          <xdr:cNvSpPr/>
        </xdr:nvSpPr>
        <xdr:spPr>
          <a:xfrm>
            <a:off x="9244405" y="4398798"/>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510" name="Rectangle: Rounded Corners 509">
            <a:extLst>
              <a:ext uri="{FF2B5EF4-FFF2-40B4-BE49-F238E27FC236}">
                <a16:creationId xmlns:a16="http://schemas.microsoft.com/office/drawing/2014/main" id="{EDB469C2-C343-CE88-AFFB-B1512366769A}"/>
              </a:ext>
            </a:extLst>
          </xdr:cNvPr>
          <xdr:cNvSpPr/>
        </xdr:nvSpPr>
        <xdr:spPr>
          <a:xfrm>
            <a:off x="10347226" y="4343848"/>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511" name="Straight Connector 510">
            <a:extLst>
              <a:ext uri="{FF2B5EF4-FFF2-40B4-BE49-F238E27FC236}">
                <a16:creationId xmlns:a16="http://schemas.microsoft.com/office/drawing/2014/main" id="{50A56190-11CA-F5B3-948C-9B08F4FDB8B1}"/>
              </a:ext>
            </a:extLst>
          </xdr:cNvPr>
          <xdr:cNvCxnSpPr>
            <a:stCxn id="500" idx="3"/>
            <a:endCxn id="503" idx="1"/>
          </xdr:cNvCxnSpPr>
        </xdr:nvCxnSpPr>
        <xdr:spPr>
          <a:xfrm>
            <a:off x="1130898" y="4581903"/>
            <a:ext cx="457200" cy="0"/>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512" name="Straight Connector 511">
            <a:extLst>
              <a:ext uri="{FF2B5EF4-FFF2-40B4-BE49-F238E27FC236}">
                <a16:creationId xmlns:a16="http://schemas.microsoft.com/office/drawing/2014/main" id="{8CF047A5-BE96-E30D-B271-C6BFF5B09B9E}"/>
              </a:ext>
            </a:extLst>
          </xdr:cNvPr>
          <xdr:cNvCxnSpPr>
            <a:stCxn id="503" idx="3"/>
            <a:endCxn id="501" idx="1"/>
          </xdr:cNvCxnSpPr>
        </xdr:nvCxnSpPr>
        <xdr:spPr>
          <a:xfrm>
            <a:off x="2423160" y="4581902"/>
            <a:ext cx="750351" cy="9506"/>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513" name="Straight Connector 512">
            <a:extLst>
              <a:ext uri="{FF2B5EF4-FFF2-40B4-BE49-F238E27FC236}">
                <a16:creationId xmlns:a16="http://schemas.microsoft.com/office/drawing/2014/main" id="{74EE135F-2C27-BB70-9D9D-F6D22E6E8718}"/>
              </a:ext>
            </a:extLst>
          </xdr:cNvPr>
          <xdr:cNvCxnSpPr>
            <a:stCxn id="501" idx="3"/>
            <a:endCxn id="506" idx="1"/>
          </xdr:cNvCxnSpPr>
        </xdr:nvCxnSpPr>
        <xdr:spPr>
          <a:xfrm flipV="1">
            <a:off x="4185178" y="4581902"/>
            <a:ext cx="246973" cy="9506"/>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14" name="Straight Connector 513">
            <a:extLst>
              <a:ext uri="{FF2B5EF4-FFF2-40B4-BE49-F238E27FC236}">
                <a16:creationId xmlns:a16="http://schemas.microsoft.com/office/drawing/2014/main" id="{841502F8-DF8C-8D51-B460-CCBAE927A5C9}"/>
              </a:ext>
            </a:extLst>
          </xdr:cNvPr>
          <xdr:cNvCxnSpPr>
            <a:stCxn id="506" idx="3"/>
            <a:endCxn id="505" idx="1"/>
          </xdr:cNvCxnSpPr>
        </xdr:nvCxnSpPr>
        <xdr:spPr>
          <a:xfrm>
            <a:off x="5260938" y="4581903"/>
            <a:ext cx="244736" cy="6907"/>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15" name="Straight Connector 514">
            <a:extLst>
              <a:ext uri="{FF2B5EF4-FFF2-40B4-BE49-F238E27FC236}">
                <a16:creationId xmlns:a16="http://schemas.microsoft.com/office/drawing/2014/main" id="{C9B62228-A173-1B05-20CE-B6AE9E52D4B8}"/>
              </a:ext>
            </a:extLst>
          </xdr:cNvPr>
          <xdr:cNvCxnSpPr>
            <a:stCxn id="505" idx="3"/>
            <a:endCxn id="507" idx="1"/>
          </xdr:cNvCxnSpPr>
        </xdr:nvCxnSpPr>
        <xdr:spPr>
          <a:xfrm flipV="1">
            <a:off x="6518238" y="4581903"/>
            <a:ext cx="266700" cy="6907"/>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16" name="Straight Connector 515">
            <a:extLst>
              <a:ext uri="{FF2B5EF4-FFF2-40B4-BE49-F238E27FC236}">
                <a16:creationId xmlns:a16="http://schemas.microsoft.com/office/drawing/2014/main" id="{DB54FCCF-D953-F377-64A9-76FAC28DB0D1}"/>
              </a:ext>
            </a:extLst>
          </xdr:cNvPr>
          <xdr:cNvCxnSpPr>
            <a:stCxn id="507" idx="3"/>
            <a:endCxn id="508" idx="1"/>
          </xdr:cNvCxnSpPr>
        </xdr:nvCxnSpPr>
        <xdr:spPr>
          <a:xfrm flipV="1">
            <a:off x="7614621" y="4578949"/>
            <a:ext cx="373380" cy="2954"/>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17" name="Straight Connector 516">
            <a:extLst>
              <a:ext uri="{FF2B5EF4-FFF2-40B4-BE49-F238E27FC236}">
                <a16:creationId xmlns:a16="http://schemas.microsoft.com/office/drawing/2014/main" id="{EF7775F3-C895-CB40-3E8A-6258F6F0209A}"/>
              </a:ext>
            </a:extLst>
          </xdr:cNvPr>
          <xdr:cNvCxnSpPr>
            <a:stCxn id="508" idx="3"/>
            <a:endCxn id="509" idx="1"/>
          </xdr:cNvCxnSpPr>
        </xdr:nvCxnSpPr>
        <xdr:spPr>
          <a:xfrm>
            <a:off x="9000565" y="4578949"/>
            <a:ext cx="243840"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18" name="Straight Connector 517">
            <a:extLst>
              <a:ext uri="{FF2B5EF4-FFF2-40B4-BE49-F238E27FC236}">
                <a16:creationId xmlns:a16="http://schemas.microsoft.com/office/drawing/2014/main" id="{EAC3253C-ACD4-8BF7-9502-9768F409BAE8}"/>
              </a:ext>
            </a:extLst>
          </xdr:cNvPr>
          <xdr:cNvCxnSpPr>
            <a:stCxn id="509" idx="3"/>
            <a:endCxn id="510" idx="1"/>
          </xdr:cNvCxnSpPr>
        </xdr:nvCxnSpPr>
        <xdr:spPr>
          <a:xfrm flipV="1">
            <a:off x="10074985" y="4581902"/>
            <a:ext cx="272241" cy="1"/>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19" name="Connector: Elbow 518">
            <a:extLst>
              <a:ext uri="{FF2B5EF4-FFF2-40B4-BE49-F238E27FC236}">
                <a16:creationId xmlns:a16="http://schemas.microsoft.com/office/drawing/2014/main" id="{81866944-4304-E17B-9023-A1D0EC252B1E}"/>
              </a:ext>
            </a:extLst>
          </xdr:cNvPr>
          <xdr:cNvCxnSpPr>
            <a:stCxn id="503" idx="3"/>
            <a:endCxn id="502" idx="1"/>
          </xdr:cNvCxnSpPr>
        </xdr:nvCxnSpPr>
        <xdr:spPr>
          <a:xfrm>
            <a:off x="2423160" y="4581902"/>
            <a:ext cx="750351" cy="2305982"/>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cxnSp macro="">
        <xdr:nvCxnSpPr>
          <xdr:cNvPr id="520" name="Connector: Elbow 519">
            <a:extLst>
              <a:ext uri="{FF2B5EF4-FFF2-40B4-BE49-F238E27FC236}">
                <a16:creationId xmlns:a16="http://schemas.microsoft.com/office/drawing/2014/main" id="{611C69CD-09C4-18D0-E83A-F59A1AAD6303}"/>
              </a:ext>
            </a:extLst>
          </xdr:cNvPr>
          <xdr:cNvCxnSpPr>
            <a:stCxn id="503" idx="3"/>
            <a:endCxn id="504" idx="1"/>
          </xdr:cNvCxnSpPr>
        </xdr:nvCxnSpPr>
        <xdr:spPr>
          <a:xfrm>
            <a:off x="2423160" y="4581902"/>
            <a:ext cx="750351" cy="3130221"/>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21" name="TextBox 520">
            <a:extLst>
              <a:ext uri="{FF2B5EF4-FFF2-40B4-BE49-F238E27FC236}">
                <a16:creationId xmlns:a16="http://schemas.microsoft.com/office/drawing/2014/main" id="{BD79B15A-8C1B-C8F3-F10C-66961B7149A4}"/>
              </a:ext>
            </a:extLst>
          </xdr:cNvPr>
          <xdr:cNvSpPr txBox="1"/>
        </xdr:nvSpPr>
        <xdr:spPr>
          <a:xfrm>
            <a:off x="2671484" y="4347882"/>
            <a:ext cx="501244"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~30%</a:t>
            </a:r>
          </a:p>
        </xdr:txBody>
      </xdr:sp>
      <xdr:sp macro="" textlink="">
        <xdr:nvSpPr>
          <xdr:cNvPr id="522" name="TextBox 521">
            <a:extLst>
              <a:ext uri="{FF2B5EF4-FFF2-40B4-BE49-F238E27FC236}">
                <a16:creationId xmlns:a16="http://schemas.microsoft.com/office/drawing/2014/main" id="{7E2362B4-7BEB-B3C0-DB1C-C82C321C4FE6}"/>
              </a:ext>
            </a:extLst>
          </xdr:cNvPr>
          <xdr:cNvSpPr txBox="1"/>
        </xdr:nvSpPr>
        <xdr:spPr>
          <a:xfrm>
            <a:off x="2774646" y="6632602"/>
            <a:ext cx="430502"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53%</a:t>
            </a:r>
          </a:p>
        </xdr:txBody>
      </xdr:sp>
      <xdr:sp macro="" textlink="">
        <xdr:nvSpPr>
          <xdr:cNvPr id="523" name="TextBox 522">
            <a:extLst>
              <a:ext uri="{FF2B5EF4-FFF2-40B4-BE49-F238E27FC236}">
                <a16:creationId xmlns:a16="http://schemas.microsoft.com/office/drawing/2014/main" id="{8F4106A2-72B8-11F9-F022-6880EF88CD33}"/>
              </a:ext>
            </a:extLst>
          </xdr:cNvPr>
          <xdr:cNvSpPr txBox="1"/>
        </xdr:nvSpPr>
        <xdr:spPr>
          <a:xfrm>
            <a:off x="2763754" y="7451994"/>
            <a:ext cx="42851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p>
        </xdr:txBody>
      </xdr:sp>
      <xdr:cxnSp macro="">
        <xdr:nvCxnSpPr>
          <xdr:cNvPr id="524" name="Connector: Elbow 523">
            <a:extLst>
              <a:ext uri="{FF2B5EF4-FFF2-40B4-BE49-F238E27FC236}">
                <a16:creationId xmlns:a16="http://schemas.microsoft.com/office/drawing/2014/main" id="{6E772324-1524-2DBA-9D37-61A76B51FAC1}"/>
              </a:ext>
            </a:extLst>
          </xdr:cNvPr>
          <xdr:cNvCxnSpPr>
            <a:stCxn id="505" idx="2"/>
            <a:endCxn id="525" idx="1"/>
          </xdr:cNvCxnSpPr>
        </xdr:nvCxnSpPr>
        <xdr:spPr>
          <a:xfrm rot="16200000" flipH="1">
            <a:off x="6000164" y="4895316"/>
            <a:ext cx="37656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25" name="TextBox 524">
            <a:extLst>
              <a:ext uri="{FF2B5EF4-FFF2-40B4-BE49-F238E27FC236}">
                <a16:creationId xmlns:a16="http://schemas.microsoft.com/office/drawing/2014/main" id="{F1FD2E95-CEDC-CAF9-BF1C-DE7855887DAE}"/>
              </a:ext>
            </a:extLst>
          </xdr:cNvPr>
          <xdr:cNvSpPr txBox="1"/>
        </xdr:nvSpPr>
        <xdr:spPr>
          <a:xfrm>
            <a:off x="6364941" y="5127813"/>
            <a:ext cx="13308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78.6% </a:t>
            </a:r>
            <a:r>
              <a:rPr lang="en-US" sz="1100"/>
              <a:t>Vảy</a:t>
            </a:r>
            <a:r>
              <a:rPr lang="en-US" sz="1100" baseline="0"/>
              <a:t> chưa rửa</a:t>
            </a:r>
            <a:endParaRPr lang="en-US" sz="1100"/>
          </a:p>
        </xdr:txBody>
      </xdr:sp>
      <xdr:cxnSp macro="">
        <xdr:nvCxnSpPr>
          <xdr:cNvPr id="526" name="Connector: Elbow 525">
            <a:extLst>
              <a:ext uri="{FF2B5EF4-FFF2-40B4-BE49-F238E27FC236}">
                <a16:creationId xmlns:a16="http://schemas.microsoft.com/office/drawing/2014/main" id="{E4C8DCA7-F255-1F47-E7AB-5A8B1412F08E}"/>
              </a:ext>
            </a:extLst>
          </xdr:cNvPr>
          <xdr:cNvCxnSpPr>
            <a:stCxn id="505" idx="2"/>
            <a:endCxn id="527" idx="1"/>
          </xdr:cNvCxnSpPr>
        </xdr:nvCxnSpPr>
        <xdr:spPr>
          <a:xfrm rot="16200000" flipH="1">
            <a:off x="5856728" y="5038752"/>
            <a:ext cx="663440"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27" name="TextBox 526">
            <a:extLst>
              <a:ext uri="{FF2B5EF4-FFF2-40B4-BE49-F238E27FC236}">
                <a16:creationId xmlns:a16="http://schemas.microsoft.com/office/drawing/2014/main" id="{64956333-846F-750A-398E-5A594518A28D}"/>
              </a:ext>
            </a:extLst>
          </xdr:cNvPr>
          <xdr:cNvSpPr txBox="1"/>
        </xdr:nvSpPr>
        <xdr:spPr>
          <a:xfrm>
            <a:off x="6364941" y="5414685"/>
            <a:ext cx="9448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13.2% </a:t>
            </a:r>
            <a:r>
              <a:rPr lang="en-US" sz="1100"/>
              <a:t>Olefin</a:t>
            </a:r>
          </a:p>
        </xdr:txBody>
      </xdr:sp>
      <xdr:sp macro="" textlink="">
        <xdr:nvSpPr>
          <xdr:cNvPr id="528" name="TextBox 527">
            <a:extLst>
              <a:ext uri="{FF2B5EF4-FFF2-40B4-BE49-F238E27FC236}">
                <a16:creationId xmlns:a16="http://schemas.microsoft.com/office/drawing/2014/main" id="{02B3B25F-59E3-B0B3-6622-17CA0E904FE6}"/>
              </a:ext>
            </a:extLst>
          </xdr:cNvPr>
          <xdr:cNvSpPr txBox="1"/>
        </xdr:nvSpPr>
        <xdr:spPr>
          <a:xfrm>
            <a:off x="6364941" y="5643285"/>
            <a:ext cx="9509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1.8% </a:t>
            </a:r>
            <a:r>
              <a:rPr lang="en-US" sz="1100"/>
              <a:t>Bụi</a:t>
            </a:r>
            <a:r>
              <a:rPr lang="en-US" sz="1100" baseline="0"/>
              <a:t> cám</a:t>
            </a:r>
            <a:endParaRPr lang="en-US" sz="1100"/>
          </a:p>
        </xdr:txBody>
      </xdr:sp>
      <xdr:sp macro="" textlink="">
        <xdr:nvSpPr>
          <xdr:cNvPr id="529" name="TextBox 528">
            <a:extLst>
              <a:ext uri="{FF2B5EF4-FFF2-40B4-BE49-F238E27FC236}">
                <a16:creationId xmlns:a16="http://schemas.microsoft.com/office/drawing/2014/main" id="{139DF009-74F0-B928-D89A-549D85050551}"/>
              </a:ext>
            </a:extLst>
          </xdr:cNvPr>
          <xdr:cNvSpPr txBox="1"/>
        </xdr:nvSpPr>
        <xdr:spPr>
          <a:xfrm>
            <a:off x="6364941" y="6096003"/>
            <a:ext cx="953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4.9% </a:t>
            </a:r>
            <a:r>
              <a:rPr lang="en-US" sz="1100"/>
              <a:t>Hao</a:t>
            </a:r>
            <a:r>
              <a:rPr lang="en-US" sz="1100" baseline="0"/>
              <a:t> hụt</a:t>
            </a:r>
            <a:endParaRPr lang="en-US" sz="1100"/>
          </a:p>
        </xdr:txBody>
      </xdr:sp>
      <xdr:sp macro="" textlink="">
        <xdr:nvSpPr>
          <xdr:cNvPr id="530" name="TextBox 529">
            <a:extLst>
              <a:ext uri="{FF2B5EF4-FFF2-40B4-BE49-F238E27FC236}">
                <a16:creationId xmlns:a16="http://schemas.microsoft.com/office/drawing/2014/main" id="{BF6B0F86-997A-8C20-DE70-2623E23A7035}"/>
              </a:ext>
            </a:extLst>
          </xdr:cNvPr>
          <xdr:cNvSpPr txBox="1"/>
        </xdr:nvSpPr>
        <xdr:spPr>
          <a:xfrm>
            <a:off x="6364941" y="5876368"/>
            <a:ext cx="12434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1.5% </a:t>
            </a:r>
            <a:r>
              <a:rPr lang="en-US" sz="1100"/>
              <a:t>Phó</a:t>
            </a:r>
            <a:r>
              <a:rPr lang="en-US" sz="1100" baseline="0"/>
              <a:t> sản khác</a:t>
            </a:r>
            <a:endParaRPr lang="en-US" sz="1100"/>
          </a:p>
        </xdr:txBody>
      </xdr:sp>
      <xdr:cxnSp macro="">
        <xdr:nvCxnSpPr>
          <xdr:cNvPr id="531" name="Connector: Elbow 530">
            <a:extLst>
              <a:ext uri="{FF2B5EF4-FFF2-40B4-BE49-F238E27FC236}">
                <a16:creationId xmlns:a16="http://schemas.microsoft.com/office/drawing/2014/main" id="{CDE8AA0C-4F7B-0511-627C-BAFAA50C90DC}"/>
              </a:ext>
            </a:extLst>
          </xdr:cNvPr>
          <xdr:cNvCxnSpPr>
            <a:stCxn id="505" idx="2"/>
            <a:endCxn id="528" idx="1"/>
          </xdr:cNvCxnSpPr>
        </xdr:nvCxnSpPr>
        <xdr:spPr>
          <a:xfrm rot="16200000" flipH="1">
            <a:off x="5742428" y="5153052"/>
            <a:ext cx="892040"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2" name="Connector: Elbow 531">
            <a:extLst>
              <a:ext uri="{FF2B5EF4-FFF2-40B4-BE49-F238E27FC236}">
                <a16:creationId xmlns:a16="http://schemas.microsoft.com/office/drawing/2014/main" id="{870BCDB0-EADC-FE62-569A-BD3071828FDC}"/>
              </a:ext>
            </a:extLst>
          </xdr:cNvPr>
          <xdr:cNvCxnSpPr>
            <a:stCxn id="505" idx="2"/>
            <a:endCxn id="530" idx="1"/>
          </xdr:cNvCxnSpPr>
        </xdr:nvCxnSpPr>
        <xdr:spPr>
          <a:xfrm rot="16200000" flipH="1">
            <a:off x="5625887" y="5269593"/>
            <a:ext cx="1125123"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3" name="Connector: Elbow 532">
            <a:extLst>
              <a:ext uri="{FF2B5EF4-FFF2-40B4-BE49-F238E27FC236}">
                <a16:creationId xmlns:a16="http://schemas.microsoft.com/office/drawing/2014/main" id="{72A0C9B1-009D-6F82-F614-3BEB31F53228}"/>
              </a:ext>
            </a:extLst>
          </xdr:cNvPr>
          <xdr:cNvCxnSpPr>
            <a:stCxn id="505" idx="2"/>
            <a:endCxn id="529" idx="1"/>
          </xdr:cNvCxnSpPr>
        </xdr:nvCxnSpPr>
        <xdr:spPr>
          <a:xfrm rot="16200000" flipH="1">
            <a:off x="5516069" y="5379411"/>
            <a:ext cx="134475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4" name="Connector: Elbow 533">
            <a:extLst>
              <a:ext uri="{FF2B5EF4-FFF2-40B4-BE49-F238E27FC236}">
                <a16:creationId xmlns:a16="http://schemas.microsoft.com/office/drawing/2014/main" id="{9199ABF9-2C2E-1A72-6BC4-DA480CB6E9AA}"/>
              </a:ext>
            </a:extLst>
          </xdr:cNvPr>
          <xdr:cNvCxnSpPr>
            <a:stCxn id="508" idx="2"/>
            <a:endCxn id="535" idx="1"/>
          </xdr:cNvCxnSpPr>
        </xdr:nvCxnSpPr>
        <xdr:spPr>
          <a:xfrm rot="16200000" flipH="1">
            <a:off x="8457166" y="4913918"/>
            <a:ext cx="383292"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35" name="TextBox 534">
            <a:extLst>
              <a:ext uri="{FF2B5EF4-FFF2-40B4-BE49-F238E27FC236}">
                <a16:creationId xmlns:a16="http://schemas.microsoft.com/office/drawing/2014/main" id="{F0296F41-59C3-B610-098D-E06590741EF5}"/>
              </a:ext>
            </a:extLst>
          </xdr:cNvPr>
          <xdr:cNvSpPr txBox="1"/>
        </xdr:nvSpPr>
        <xdr:spPr>
          <a:xfrm>
            <a:off x="8803341" y="5127813"/>
            <a:ext cx="10672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88.3% </a:t>
            </a:r>
            <a:r>
              <a:rPr lang="en-US" sz="1100"/>
              <a:t>Vảy</a:t>
            </a:r>
            <a:r>
              <a:rPr lang="en-US" sz="1100" baseline="0"/>
              <a:t> sạch</a:t>
            </a:r>
            <a:endParaRPr lang="en-US" sz="1100"/>
          </a:p>
        </xdr:txBody>
      </xdr:sp>
      <xdr:sp macro="" textlink="">
        <xdr:nvSpPr>
          <xdr:cNvPr id="536" name="TextBox 535">
            <a:extLst>
              <a:ext uri="{FF2B5EF4-FFF2-40B4-BE49-F238E27FC236}">
                <a16:creationId xmlns:a16="http://schemas.microsoft.com/office/drawing/2014/main" id="{D450C7F8-1784-A780-923E-DFBC741053E3}"/>
              </a:ext>
            </a:extLst>
          </xdr:cNvPr>
          <xdr:cNvSpPr txBox="1"/>
        </xdr:nvSpPr>
        <xdr:spPr>
          <a:xfrm>
            <a:off x="8803341" y="5414685"/>
            <a:ext cx="8685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2.1% </a:t>
            </a:r>
            <a:r>
              <a:rPr lang="en-US" sz="1100"/>
              <a:t>Tomra</a:t>
            </a:r>
          </a:p>
        </xdr:txBody>
      </xdr:sp>
      <xdr:sp macro="" textlink="">
        <xdr:nvSpPr>
          <xdr:cNvPr id="537" name="TextBox 536">
            <a:extLst>
              <a:ext uri="{FF2B5EF4-FFF2-40B4-BE49-F238E27FC236}">
                <a16:creationId xmlns:a16="http://schemas.microsoft.com/office/drawing/2014/main" id="{04EE706A-ADF2-3017-3E64-5EF8B3131492}"/>
              </a:ext>
            </a:extLst>
          </xdr:cNvPr>
          <xdr:cNvSpPr txBox="1"/>
        </xdr:nvSpPr>
        <xdr:spPr>
          <a:xfrm>
            <a:off x="8803341" y="5643285"/>
            <a:ext cx="12036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2.6% </a:t>
            </a:r>
            <a:r>
              <a:rPr lang="en-US" sz="1100"/>
              <a:t>Bụi</a:t>
            </a:r>
            <a:r>
              <a:rPr lang="en-US" sz="1100" baseline="0"/>
              <a:t> sàn rung</a:t>
            </a:r>
            <a:endParaRPr lang="en-US" sz="1100"/>
          </a:p>
        </xdr:txBody>
      </xdr:sp>
      <xdr:sp macro="" textlink="">
        <xdr:nvSpPr>
          <xdr:cNvPr id="538" name="TextBox 537">
            <a:extLst>
              <a:ext uri="{FF2B5EF4-FFF2-40B4-BE49-F238E27FC236}">
                <a16:creationId xmlns:a16="http://schemas.microsoft.com/office/drawing/2014/main" id="{25BF01EA-0DD2-7CCB-807A-B2F83D6487E7}"/>
              </a:ext>
            </a:extLst>
          </xdr:cNvPr>
          <xdr:cNvSpPr txBox="1"/>
        </xdr:nvSpPr>
        <xdr:spPr>
          <a:xfrm>
            <a:off x="8803341" y="5876368"/>
            <a:ext cx="96545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4.6% </a:t>
            </a:r>
            <a:r>
              <a:rPr lang="en-US" sz="1100"/>
              <a:t>Bụi</a:t>
            </a:r>
            <a:r>
              <a:rPr lang="en-US" sz="1100" baseline="0"/>
              <a:t> băm</a:t>
            </a:r>
            <a:endParaRPr lang="en-US" sz="1100"/>
          </a:p>
        </xdr:txBody>
      </xdr:sp>
      <xdr:sp macro="" textlink="">
        <xdr:nvSpPr>
          <xdr:cNvPr id="539" name="TextBox 538">
            <a:extLst>
              <a:ext uri="{FF2B5EF4-FFF2-40B4-BE49-F238E27FC236}">
                <a16:creationId xmlns:a16="http://schemas.microsoft.com/office/drawing/2014/main" id="{C0724780-A174-691E-3B8D-DB479003197C}"/>
              </a:ext>
            </a:extLst>
          </xdr:cNvPr>
          <xdr:cNvSpPr txBox="1"/>
        </xdr:nvSpPr>
        <xdr:spPr>
          <a:xfrm>
            <a:off x="8803341" y="6096003"/>
            <a:ext cx="953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2.4% </a:t>
            </a:r>
            <a:r>
              <a:rPr lang="en-US" sz="1100"/>
              <a:t>Hao</a:t>
            </a:r>
            <a:r>
              <a:rPr lang="en-US" sz="1100" baseline="0"/>
              <a:t> hụt</a:t>
            </a:r>
            <a:endParaRPr lang="en-US" sz="1100"/>
          </a:p>
        </xdr:txBody>
      </xdr:sp>
      <xdr:cxnSp macro="">
        <xdr:nvCxnSpPr>
          <xdr:cNvPr id="540" name="Connector: Elbow 539">
            <a:extLst>
              <a:ext uri="{FF2B5EF4-FFF2-40B4-BE49-F238E27FC236}">
                <a16:creationId xmlns:a16="http://schemas.microsoft.com/office/drawing/2014/main" id="{3CB63080-6E81-4F14-1950-2B68B37F4647}"/>
              </a:ext>
            </a:extLst>
          </xdr:cNvPr>
          <xdr:cNvCxnSpPr>
            <a:stCxn id="508" idx="2"/>
            <a:endCxn id="536" idx="1"/>
          </xdr:cNvCxnSpPr>
        </xdr:nvCxnSpPr>
        <xdr:spPr>
          <a:xfrm rot="16200000" flipH="1">
            <a:off x="8313730" y="5057354"/>
            <a:ext cx="670164"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1" name="Connector: Elbow 540">
            <a:extLst>
              <a:ext uri="{FF2B5EF4-FFF2-40B4-BE49-F238E27FC236}">
                <a16:creationId xmlns:a16="http://schemas.microsoft.com/office/drawing/2014/main" id="{088471FD-B222-B043-E952-A2A82F911752}"/>
              </a:ext>
            </a:extLst>
          </xdr:cNvPr>
          <xdr:cNvCxnSpPr>
            <a:stCxn id="508" idx="2"/>
            <a:endCxn id="537" idx="1"/>
          </xdr:cNvCxnSpPr>
        </xdr:nvCxnSpPr>
        <xdr:spPr>
          <a:xfrm rot="16200000" flipH="1">
            <a:off x="8199430" y="5171654"/>
            <a:ext cx="898764"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2" name="Connector: Elbow 541">
            <a:extLst>
              <a:ext uri="{FF2B5EF4-FFF2-40B4-BE49-F238E27FC236}">
                <a16:creationId xmlns:a16="http://schemas.microsoft.com/office/drawing/2014/main" id="{97583506-F626-31E4-5B9E-A22EA5DDCD41}"/>
              </a:ext>
            </a:extLst>
          </xdr:cNvPr>
          <xdr:cNvCxnSpPr>
            <a:stCxn id="508" idx="2"/>
            <a:endCxn id="538" idx="1"/>
          </xdr:cNvCxnSpPr>
        </xdr:nvCxnSpPr>
        <xdr:spPr>
          <a:xfrm rot="16200000" flipH="1">
            <a:off x="8082889" y="5288195"/>
            <a:ext cx="1131847"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3" name="Connector: Elbow 542">
            <a:extLst>
              <a:ext uri="{FF2B5EF4-FFF2-40B4-BE49-F238E27FC236}">
                <a16:creationId xmlns:a16="http://schemas.microsoft.com/office/drawing/2014/main" id="{4D0A8BCE-CB1C-ED75-F66E-8CB9F44D3FC8}"/>
              </a:ext>
            </a:extLst>
          </xdr:cNvPr>
          <xdr:cNvCxnSpPr>
            <a:stCxn id="508" idx="2"/>
            <a:endCxn id="539" idx="1"/>
          </xdr:cNvCxnSpPr>
        </xdr:nvCxnSpPr>
        <xdr:spPr>
          <a:xfrm rot="16200000" flipH="1">
            <a:off x="7973071" y="5398013"/>
            <a:ext cx="1351482"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4" name="Connector: Elbow 543">
            <a:extLst>
              <a:ext uri="{FF2B5EF4-FFF2-40B4-BE49-F238E27FC236}">
                <a16:creationId xmlns:a16="http://schemas.microsoft.com/office/drawing/2014/main" id="{680F4E7C-1CE5-E100-BD15-452BD32F8616}"/>
              </a:ext>
            </a:extLst>
          </xdr:cNvPr>
          <xdr:cNvCxnSpPr>
            <a:stCxn id="510" idx="2"/>
            <a:endCxn id="545" idx="1"/>
          </xdr:cNvCxnSpPr>
        </xdr:nvCxnSpPr>
        <xdr:spPr>
          <a:xfrm rot="16200000" flipH="1">
            <a:off x="10760952" y="4913775"/>
            <a:ext cx="439322"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5" name="TextBox 544">
            <a:extLst>
              <a:ext uri="{FF2B5EF4-FFF2-40B4-BE49-F238E27FC236}">
                <a16:creationId xmlns:a16="http://schemas.microsoft.com/office/drawing/2014/main" id="{24443CA1-7BBA-0189-E0F1-66A471FB0843}"/>
              </a:ext>
            </a:extLst>
          </xdr:cNvPr>
          <xdr:cNvSpPr txBox="1"/>
        </xdr:nvSpPr>
        <xdr:spPr>
          <a:xfrm>
            <a:off x="11107270" y="5127813"/>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Tạo</a:t>
            </a:r>
            <a:r>
              <a:rPr lang="en-US" sz="1100" b="0" baseline="0"/>
              <a:t> hạt WSS01G-Nia</a:t>
            </a:r>
            <a:endParaRPr lang="en-US" sz="1100" b="0"/>
          </a:p>
        </xdr:txBody>
      </xdr:sp>
      <xdr:cxnSp macro="">
        <xdr:nvCxnSpPr>
          <xdr:cNvPr id="546" name="Connector: Elbow 545">
            <a:extLst>
              <a:ext uri="{FF2B5EF4-FFF2-40B4-BE49-F238E27FC236}">
                <a16:creationId xmlns:a16="http://schemas.microsoft.com/office/drawing/2014/main" id="{63879451-C400-3AB1-CDFB-B9B8B0F43D81}"/>
              </a:ext>
            </a:extLst>
          </xdr:cNvPr>
          <xdr:cNvCxnSpPr>
            <a:stCxn id="510" idx="2"/>
            <a:endCxn id="547" idx="1"/>
          </xdr:cNvCxnSpPr>
        </xdr:nvCxnSpPr>
        <xdr:spPr>
          <a:xfrm rot="16200000" flipH="1">
            <a:off x="10617516" y="5057211"/>
            <a:ext cx="726194"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7" name="TextBox 546">
            <a:extLst>
              <a:ext uri="{FF2B5EF4-FFF2-40B4-BE49-F238E27FC236}">
                <a16:creationId xmlns:a16="http://schemas.microsoft.com/office/drawing/2014/main" id="{5D9B3E33-943A-C7CB-8F47-F6CA54DA3CFD}"/>
              </a:ext>
            </a:extLst>
          </xdr:cNvPr>
          <xdr:cNvSpPr txBox="1"/>
        </xdr:nvSpPr>
        <xdr:spPr>
          <a:xfrm>
            <a:off x="11107270" y="5414685"/>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iSS01G-Out</a:t>
            </a:r>
            <a:endParaRPr lang="en-US" sz="1100" b="0"/>
          </a:p>
        </xdr:txBody>
      </xdr:sp>
      <xdr:cxnSp macro="">
        <xdr:nvCxnSpPr>
          <xdr:cNvPr id="548" name="Connector: Elbow 547">
            <a:extLst>
              <a:ext uri="{FF2B5EF4-FFF2-40B4-BE49-F238E27FC236}">
                <a16:creationId xmlns:a16="http://schemas.microsoft.com/office/drawing/2014/main" id="{8F6565D1-7541-E1DE-22D5-0910F99BC1FB}"/>
              </a:ext>
            </a:extLst>
          </xdr:cNvPr>
          <xdr:cNvCxnSpPr>
            <a:stCxn id="510" idx="2"/>
            <a:endCxn id="549" idx="1"/>
          </xdr:cNvCxnSpPr>
        </xdr:nvCxnSpPr>
        <xdr:spPr>
          <a:xfrm rot="16200000" flipH="1">
            <a:off x="10503216" y="5171511"/>
            <a:ext cx="954794"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9" name="TextBox 548">
            <a:extLst>
              <a:ext uri="{FF2B5EF4-FFF2-40B4-BE49-F238E27FC236}">
                <a16:creationId xmlns:a16="http://schemas.microsoft.com/office/drawing/2014/main" id="{E8642B5F-B15B-8912-F282-7EF63F1197A4}"/>
              </a:ext>
            </a:extLst>
          </xdr:cNvPr>
          <xdr:cNvSpPr txBox="1"/>
        </xdr:nvSpPr>
        <xdr:spPr>
          <a:xfrm>
            <a:off x="11107270" y="5643285"/>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WSS03G-PW</a:t>
            </a:r>
            <a:endParaRPr lang="en-US" sz="1100" b="0"/>
          </a:p>
        </xdr:txBody>
      </xdr:sp>
      <xdr:cxnSp macro="">
        <xdr:nvCxnSpPr>
          <xdr:cNvPr id="550" name="Connector: Elbow 549">
            <a:extLst>
              <a:ext uri="{FF2B5EF4-FFF2-40B4-BE49-F238E27FC236}">
                <a16:creationId xmlns:a16="http://schemas.microsoft.com/office/drawing/2014/main" id="{6D3BBC80-90FE-ECBC-1056-B3D5C818CB72}"/>
              </a:ext>
            </a:extLst>
          </xdr:cNvPr>
          <xdr:cNvCxnSpPr>
            <a:stCxn id="510" idx="2"/>
            <a:endCxn id="551" idx="1"/>
          </xdr:cNvCxnSpPr>
        </xdr:nvCxnSpPr>
        <xdr:spPr>
          <a:xfrm rot="16200000" flipH="1">
            <a:off x="10386675" y="5288052"/>
            <a:ext cx="1187877"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1" name="TextBox 550">
            <a:extLst>
              <a:ext uri="{FF2B5EF4-FFF2-40B4-BE49-F238E27FC236}">
                <a16:creationId xmlns:a16="http://schemas.microsoft.com/office/drawing/2014/main" id="{8DA22224-5729-1C22-49F5-28B5F5E7B5C9}"/>
              </a:ext>
            </a:extLst>
          </xdr:cNvPr>
          <xdr:cNvSpPr txBox="1"/>
        </xdr:nvSpPr>
        <xdr:spPr>
          <a:xfrm>
            <a:off x="11107270" y="5876368"/>
            <a:ext cx="180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WSS05SB (Sợi ngắn)</a:t>
            </a:r>
            <a:endParaRPr lang="en-US" sz="1100" b="0"/>
          </a:p>
        </xdr:txBody>
      </xdr:sp>
      <xdr:cxnSp macro="">
        <xdr:nvCxnSpPr>
          <xdr:cNvPr id="552" name="Connector: Elbow 551">
            <a:extLst>
              <a:ext uri="{FF2B5EF4-FFF2-40B4-BE49-F238E27FC236}">
                <a16:creationId xmlns:a16="http://schemas.microsoft.com/office/drawing/2014/main" id="{64DECE67-E53C-E543-458A-340372292123}"/>
              </a:ext>
            </a:extLst>
          </xdr:cNvPr>
          <xdr:cNvCxnSpPr>
            <a:stCxn id="510" idx="2"/>
            <a:endCxn id="553" idx="1"/>
          </xdr:cNvCxnSpPr>
        </xdr:nvCxnSpPr>
        <xdr:spPr>
          <a:xfrm rot="16200000" flipH="1">
            <a:off x="10276857" y="5397869"/>
            <a:ext cx="1407512"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3" name="TextBox 552">
            <a:extLst>
              <a:ext uri="{FF2B5EF4-FFF2-40B4-BE49-F238E27FC236}">
                <a16:creationId xmlns:a16="http://schemas.microsoft.com/office/drawing/2014/main" id="{333876BC-56FB-A488-FB57-0BC010447F7A}"/>
              </a:ext>
            </a:extLst>
          </xdr:cNvPr>
          <xdr:cNvSpPr txBox="1"/>
        </xdr:nvSpPr>
        <xdr:spPr>
          <a:xfrm>
            <a:off x="11107271" y="6096003"/>
            <a:ext cx="1524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vảy FPET201-Out</a:t>
            </a:r>
            <a:endParaRPr lang="en-US" sz="1100" b="0"/>
          </a:p>
        </xdr:txBody>
      </xdr:sp>
      <xdr:sp macro="" textlink="">
        <xdr:nvSpPr>
          <xdr:cNvPr id="554" name="TextBox 553">
            <a:extLst>
              <a:ext uri="{FF2B5EF4-FFF2-40B4-BE49-F238E27FC236}">
                <a16:creationId xmlns:a16="http://schemas.microsoft.com/office/drawing/2014/main" id="{92F5C58A-DB4A-C2C6-9F7A-A8D1FF9F1A03}"/>
              </a:ext>
            </a:extLst>
          </xdr:cNvPr>
          <xdr:cNvSpPr txBox="1"/>
        </xdr:nvSpPr>
        <xdr:spPr>
          <a:xfrm>
            <a:off x="13016755" y="5127813"/>
            <a:ext cx="12449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r>
              <a:rPr lang="en-US" sz="1100" b="0"/>
              <a:t>B6.2 + 90%B1</a:t>
            </a:r>
            <a:r>
              <a:rPr lang="en-US" sz="1100" b="0" baseline="0"/>
              <a:t> </a:t>
            </a:r>
            <a:endParaRPr lang="en-US" sz="1100" b="1">
              <a:solidFill>
                <a:srgbClr val="7030A0"/>
              </a:solidFill>
            </a:endParaRPr>
          </a:p>
        </xdr:txBody>
      </xdr:sp>
      <xdr:cxnSp macro="">
        <xdr:nvCxnSpPr>
          <xdr:cNvPr id="555" name="Straight Connector 554">
            <a:extLst>
              <a:ext uri="{FF2B5EF4-FFF2-40B4-BE49-F238E27FC236}">
                <a16:creationId xmlns:a16="http://schemas.microsoft.com/office/drawing/2014/main" id="{A8C81F05-1498-EBE6-955B-6D8CBED8E068}"/>
              </a:ext>
            </a:extLst>
          </xdr:cNvPr>
          <xdr:cNvCxnSpPr>
            <a:stCxn id="545" idx="3"/>
            <a:endCxn id="554" idx="1"/>
          </xdr:cNvCxnSpPr>
        </xdr:nvCxnSpPr>
        <xdr:spPr>
          <a:xfrm flipV="1">
            <a:off x="12476684" y="5255836"/>
            <a:ext cx="540071" cy="4257"/>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6" name="TextBox 555">
            <a:extLst>
              <a:ext uri="{FF2B5EF4-FFF2-40B4-BE49-F238E27FC236}">
                <a16:creationId xmlns:a16="http://schemas.microsoft.com/office/drawing/2014/main" id="{99914ECD-29EE-2750-E276-96B7A1EEF32B}"/>
              </a:ext>
            </a:extLst>
          </xdr:cNvPr>
          <xdr:cNvSpPr txBox="1"/>
        </xdr:nvSpPr>
        <xdr:spPr>
          <a:xfrm>
            <a:off x="13016755" y="5414685"/>
            <a:ext cx="1243098" cy="263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30%</a:t>
            </a:r>
            <a:r>
              <a:rPr lang="en-US" sz="1100" b="0"/>
              <a:t>B6.2 + 70%B1 </a:t>
            </a:r>
            <a:endParaRPr lang="en-US" sz="1100" b="0">
              <a:solidFill>
                <a:srgbClr val="7030A0"/>
              </a:solidFill>
            </a:endParaRPr>
          </a:p>
        </xdr:txBody>
      </xdr:sp>
      <xdr:cxnSp macro="">
        <xdr:nvCxnSpPr>
          <xdr:cNvPr id="557" name="Straight Connector 556">
            <a:extLst>
              <a:ext uri="{FF2B5EF4-FFF2-40B4-BE49-F238E27FC236}">
                <a16:creationId xmlns:a16="http://schemas.microsoft.com/office/drawing/2014/main" id="{C157232B-7C26-FA37-5D0C-E621AE2390B8}"/>
              </a:ext>
            </a:extLst>
          </xdr:cNvPr>
          <xdr:cNvCxnSpPr>
            <a:stCxn id="547" idx="3"/>
            <a:endCxn id="556" idx="1"/>
          </xdr:cNvCxnSpPr>
        </xdr:nvCxnSpPr>
        <xdr:spPr>
          <a:xfrm flipV="1">
            <a:off x="12489893" y="5546239"/>
            <a:ext cx="526862" cy="725"/>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8" name="TextBox 557">
            <a:extLst>
              <a:ext uri="{FF2B5EF4-FFF2-40B4-BE49-F238E27FC236}">
                <a16:creationId xmlns:a16="http://schemas.microsoft.com/office/drawing/2014/main" id="{FB27D2E5-F47A-A08E-4445-5FD352FD969C}"/>
              </a:ext>
            </a:extLst>
          </xdr:cNvPr>
          <xdr:cNvSpPr txBox="1"/>
        </xdr:nvSpPr>
        <xdr:spPr>
          <a:xfrm>
            <a:off x="13016755" y="5643285"/>
            <a:ext cx="3827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55%</a:t>
            </a:r>
            <a:r>
              <a:rPr lang="en-US" sz="1100" b="0"/>
              <a:t>B6.2 + 30%B1 + 15%B2.2 </a:t>
            </a:r>
            <a:endParaRPr lang="en-US" sz="1100" b="0">
              <a:solidFill>
                <a:srgbClr val="7030A0"/>
              </a:solidFill>
            </a:endParaRPr>
          </a:p>
        </xdr:txBody>
      </xdr:sp>
      <xdr:cxnSp macro="">
        <xdr:nvCxnSpPr>
          <xdr:cNvPr id="559" name="Straight Connector 558">
            <a:extLst>
              <a:ext uri="{FF2B5EF4-FFF2-40B4-BE49-F238E27FC236}">
                <a16:creationId xmlns:a16="http://schemas.microsoft.com/office/drawing/2014/main" id="{13BAB0DE-4A7B-B110-C299-672C48C4376A}"/>
              </a:ext>
            </a:extLst>
          </xdr:cNvPr>
          <xdr:cNvCxnSpPr>
            <a:stCxn id="549" idx="3"/>
            <a:endCxn id="558" idx="1"/>
          </xdr:cNvCxnSpPr>
        </xdr:nvCxnSpPr>
        <xdr:spPr>
          <a:xfrm>
            <a:off x="12489893" y="5775565"/>
            <a:ext cx="526862"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0" name="TextBox 559">
            <a:extLst>
              <a:ext uri="{FF2B5EF4-FFF2-40B4-BE49-F238E27FC236}">
                <a16:creationId xmlns:a16="http://schemas.microsoft.com/office/drawing/2014/main" id="{1551B150-A651-1528-669B-9213746F32DF}"/>
              </a:ext>
            </a:extLst>
          </xdr:cNvPr>
          <xdr:cNvSpPr txBox="1"/>
        </xdr:nvSpPr>
        <xdr:spPr>
          <a:xfrm>
            <a:off x="13016755" y="5876368"/>
            <a:ext cx="37203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95%</a:t>
            </a:r>
            <a:r>
              <a:rPr lang="en-US" sz="1100" b="0">
                <a:solidFill>
                  <a:schemeClr val="tx1"/>
                </a:solidFill>
                <a:effectLst/>
                <a:latin typeface="+mn-lt"/>
                <a:ea typeface="+mn-ea"/>
                <a:cs typeface="+mn-cs"/>
              </a:rPr>
              <a:t>B6.2 + 5%B5 </a:t>
            </a:r>
            <a:endParaRPr lang="en-US">
              <a:solidFill>
                <a:srgbClr val="7030A0"/>
              </a:solidFill>
              <a:effectLst/>
            </a:endParaRPr>
          </a:p>
        </xdr:txBody>
      </xdr:sp>
      <xdr:cxnSp macro="">
        <xdr:nvCxnSpPr>
          <xdr:cNvPr id="561" name="Straight Connector 560">
            <a:extLst>
              <a:ext uri="{FF2B5EF4-FFF2-40B4-BE49-F238E27FC236}">
                <a16:creationId xmlns:a16="http://schemas.microsoft.com/office/drawing/2014/main" id="{076D2226-755C-00C0-DFF3-9A8E65AD87D2}"/>
              </a:ext>
            </a:extLst>
          </xdr:cNvPr>
          <xdr:cNvCxnSpPr>
            <a:stCxn id="551" idx="3"/>
            <a:endCxn id="560" idx="1"/>
          </xdr:cNvCxnSpPr>
        </xdr:nvCxnSpPr>
        <xdr:spPr>
          <a:xfrm>
            <a:off x="12909176" y="6008648"/>
            <a:ext cx="107579"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2" name="TextBox 561">
            <a:extLst>
              <a:ext uri="{FF2B5EF4-FFF2-40B4-BE49-F238E27FC236}">
                <a16:creationId xmlns:a16="http://schemas.microsoft.com/office/drawing/2014/main" id="{A39ADDE9-D9BD-7574-DC16-C2BEFF38781A}"/>
              </a:ext>
            </a:extLst>
          </xdr:cNvPr>
          <xdr:cNvSpPr txBox="1"/>
        </xdr:nvSpPr>
        <xdr:spPr>
          <a:xfrm>
            <a:off x="13016755" y="6096003"/>
            <a:ext cx="3442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65%</a:t>
            </a:r>
            <a:r>
              <a:rPr lang="en-US" sz="1100" b="0">
                <a:solidFill>
                  <a:schemeClr val="tx1"/>
                </a:solidFill>
                <a:effectLst/>
                <a:latin typeface="+mn-lt"/>
                <a:ea typeface="+mn-ea"/>
                <a:cs typeface="+mn-cs"/>
              </a:rPr>
              <a:t>B6.2 + 15%B1 + 20%B5 </a:t>
            </a:r>
            <a:endParaRPr lang="en-US">
              <a:solidFill>
                <a:srgbClr val="7030A0"/>
              </a:solidFill>
              <a:effectLst/>
            </a:endParaRPr>
          </a:p>
        </xdr:txBody>
      </xdr:sp>
      <xdr:cxnSp macro="">
        <xdr:nvCxnSpPr>
          <xdr:cNvPr id="563" name="Straight Connector 562">
            <a:extLst>
              <a:ext uri="{FF2B5EF4-FFF2-40B4-BE49-F238E27FC236}">
                <a16:creationId xmlns:a16="http://schemas.microsoft.com/office/drawing/2014/main" id="{F5520D13-099B-A1CD-66C5-8E04C0838233}"/>
              </a:ext>
            </a:extLst>
          </xdr:cNvPr>
          <xdr:cNvCxnSpPr>
            <a:stCxn id="553" idx="3"/>
            <a:endCxn id="562" idx="1"/>
          </xdr:cNvCxnSpPr>
        </xdr:nvCxnSpPr>
        <xdr:spPr>
          <a:xfrm>
            <a:off x="12631272" y="6228283"/>
            <a:ext cx="385483"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4" name="Rectangle: Rounded Corners 563">
            <a:extLst>
              <a:ext uri="{FF2B5EF4-FFF2-40B4-BE49-F238E27FC236}">
                <a16:creationId xmlns:a16="http://schemas.microsoft.com/office/drawing/2014/main" id="{99A37CD1-651E-1F93-E893-C54F7714DAB6}"/>
              </a:ext>
            </a:extLst>
          </xdr:cNvPr>
          <xdr:cNvSpPr/>
        </xdr:nvSpPr>
        <xdr:spPr>
          <a:xfrm>
            <a:off x="3173511" y="9090146"/>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B2.2 + B5</a:t>
            </a:r>
          </a:p>
        </xdr:txBody>
      </xdr:sp>
      <xdr:cxnSp macro="">
        <xdr:nvCxnSpPr>
          <xdr:cNvPr id="565" name="Connector: Elbow 564">
            <a:extLst>
              <a:ext uri="{FF2B5EF4-FFF2-40B4-BE49-F238E27FC236}">
                <a16:creationId xmlns:a16="http://schemas.microsoft.com/office/drawing/2014/main" id="{D323C9EE-2F07-5433-0A53-932F27A74470}"/>
              </a:ext>
            </a:extLst>
          </xdr:cNvPr>
          <xdr:cNvCxnSpPr>
            <a:stCxn id="503" idx="3"/>
            <a:endCxn id="564" idx="1"/>
          </xdr:cNvCxnSpPr>
        </xdr:nvCxnSpPr>
        <xdr:spPr>
          <a:xfrm>
            <a:off x="2423160" y="4581902"/>
            <a:ext cx="750351" cy="4773734"/>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66" name="TextBox 565">
            <a:extLst>
              <a:ext uri="{FF2B5EF4-FFF2-40B4-BE49-F238E27FC236}">
                <a16:creationId xmlns:a16="http://schemas.microsoft.com/office/drawing/2014/main" id="{D16DB153-FA6D-A0FF-AD8A-8AE1E307FE5C}"/>
              </a:ext>
            </a:extLst>
          </xdr:cNvPr>
          <xdr:cNvSpPr txBox="1"/>
        </xdr:nvSpPr>
        <xdr:spPr>
          <a:xfrm>
            <a:off x="2774648" y="9106038"/>
            <a:ext cx="359343"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a:t>
            </a:r>
          </a:p>
        </xdr:txBody>
      </xdr:sp>
      <xdr:sp macro="" textlink="">
        <xdr:nvSpPr>
          <xdr:cNvPr id="567" name="Rectangle: Rounded Corners 566">
            <a:extLst>
              <a:ext uri="{FF2B5EF4-FFF2-40B4-BE49-F238E27FC236}">
                <a16:creationId xmlns:a16="http://schemas.microsoft.com/office/drawing/2014/main" id="{6C112408-E1BE-7C1B-C70B-DECD6B5A7123}"/>
              </a:ext>
            </a:extLst>
          </xdr:cNvPr>
          <xdr:cNvSpPr/>
        </xdr:nvSpPr>
        <xdr:spPr>
          <a:xfrm>
            <a:off x="3173511" y="11186684"/>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B4</a:t>
            </a:r>
          </a:p>
        </xdr:txBody>
      </xdr:sp>
      <xdr:cxnSp macro="">
        <xdr:nvCxnSpPr>
          <xdr:cNvPr id="568" name="Connector: Elbow 567">
            <a:extLst>
              <a:ext uri="{FF2B5EF4-FFF2-40B4-BE49-F238E27FC236}">
                <a16:creationId xmlns:a16="http://schemas.microsoft.com/office/drawing/2014/main" id="{053F48FC-1623-0599-CCC2-FE235F8DBAE1}"/>
              </a:ext>
            </a:extLst>
          </xdr:cNvPr>
          <xdr:cNvCxnSpPr>
            <a:stCxn id="503" idx="3"/>
            <a:endCxn id="567" idx="1"/>
          </xdr:cNvCxnSpPr>
        </xdr:nvCxnSpPr>
        <xdr:spPr>
          <a:xfrm>
            <a:off x="2423160" y="4581902"/>
            <a:ext cx="750351" cy="6870272"/>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69" name="TextBox 568">
            <a:extLst>
              <a:ext uri="{FF2B5EF4-FFF2-40B4-BE49-F238E27FC236}">
                <a16:creationId xmlns:a16="http://schemas.microsoft.com/office/drawing/2014/main" id="{FCCB1844-DA43-683E-DA35-1B6371D0B7E6}"/>
              </a:ext>
            </a:extLst>
          </xdr:cNvPr>
          <xdr:cNvSpPr txBox="1"/>
        </xdr:nvSpPr>
        <xdr:spPr>
          <a:xfrm>
            <a:off x="2785544" y="11118292"/>
            <a:ext cx="359343"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a:t>
            </a:r>
          </a:p>
        </xdr:txBody>
      </xdr:sp>
      <xdr:sp macro="" textlink="">
        <xdr:nvSpPr>
          <xdr:cNvPr id="570" name="Rectangle: Rounded Corners 569">
            <a:extLst>
              <a:ext uri="{FF2B5EF4-FFF2-40B4-BE49-F238E27FC236}">
                <a16:creationId xmlns:a16="http://schemas.microsoft.com/office/drawing/2014/main" id="{CDDFBE60-6E18-4D72-428E-C56AB08EFF96}"/>
              </a:ext>
            </a:extLst>
          </xdr:cNvPr>
          <xdr:cNvSpPr/>
        </xdr:nvSpPr>
        <xdr:spPr>
          <a:xfrm>
            <a:off x="5505674" y="6590799"/>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B1.A0</a:t>
            </a:r>
          </a:p>
          <a:p>
            <a:pPr algn="ctr"/>
            <a:r>
              <a:rPr lang="en-US" sz="1100">
                <a:solidFill>
                  <a:sysClr val="windowText" lastClr="000000"/>
                </a:solidFill>
              </a:rPr>
              <a:t>chưa rửa</a:t>
            </a:r>
          </a:p>
        </xdr:txBody>
      </xdr:sp>
      <xdr:sp macro="" textlink="">
        <xdr:nvSpPr>
          <xdr:cNvPr id="571" name="Rectangle: Rounded Corners 570">
            <a:extLst>
              <a:ext uri="{FF2B5EF4-FFF2-40B4-BE49-F238E27FC236}">
                <a16:creationId xmlns:a16="http://schemas.microsoft.com/office/drawing/2014/main" id="{7D12D31C-0D3D-B5A6-862F-828357DDD72E}"/>
              </a:ext>
            </a:extLst>
          </xdr:cNvPr>
          <xdr:cNvSpPr/>
        </xdr:nvSpPr>
        <xdr:spPr>
          <a:xfrm>
            <a:off x="4432151" y="6706039"/>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72" name="Rectangle: Rounded Corners 571">
            <a:extLst>
              <a:ext uri="{FF2B5EF4-FFF2-40B4-BE49-F238E27FC236}">
                <a16:creationId xmlns:a16="http://schemas.microsoft.com/office/drawing/2014/main" id="{A45195FD-3428-E453-3F24-0C68547D0D73}"/>
              </a:ext>
            </a:extLst>
          </xdr:cNvPr>
          <xdr:cNvSpPr/>
        </xdr:nvSpPr>
        <xdr:spPr>
          <a:xfrm>
            <a:off x="6784938" y="6706039"/>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cxnSp macro="">
        <xdr:nvCxnSpPr>
          <xdr:cNvPr id="573" name="Straight Connector 572">
            <a:extLst>
              <a:ext uri="{FF2B5EF4-FFF2-40B4-BE49-F238E27FC236}">
                <a16:creationId xmlns:a16="http://schemas.microsoft.com/office/drawing/2014/main" id="{CFB18A94-34D1-B837-DE64-E5C84B6CAE3A}"/>
              </a:ext>
            </a:extLst>
          </xdr:cNvPr>
          <xdr:cNvCxnSpPr>
            <a:stCxn id="502" idx="3"/>
            <a:endCxn id="571" idx="1"/>
          </xdr:cNvCxnSpPr>
        </xdr:nvCxnSpPr>
        <xdr:spPr>
          <a:xfrm>
            <a:off x="4169938" y="6887885"/>
            <a:ext cx="262214" cy="1258"/>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74" name="Straight Connector 573">
            <a:extLst>
              <a:ext uri="{FF2B5EF4-FFF2-40B4-BE49-F238E27FC236}">
                <a16:creationId xmlns:a16="http://schemas.microsoft.com/office/drawing/2014/main" id="{C85A6586-F0D4-0C3A-7B47-4A05822BAAAC}"/>
              </a:ext>
            </a:extLst>
          </xdr:cNvPr>
          <xdr:cNvCxnSpPr>
            <a:stCxn id="571" idx="3"/>
            <a:endCxn id="570" idx="1"/>
          </xdr:cNvCxnSpPr>
        </xdr:nvCxnSpPr>
        <xdr:spPr>
          <a:xfrm flipV="1">
            <a:off x="5260938" y="6885514"/>
            <a:ext cx="244735" cy="3629"/>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75" name="Straight Connector 574">
            <a:extLst>
              <a:ext uri="{FF2B5EF4-FFF2-40B4-BE49-F238E27FC236}">
                <a16:creationId xmlns:a16="http://schemas.microsoft.com/office/drawing/2014/main" id="{7B2235CC-F012-EC2B-48B0-569DDBC97084}"/>
              </a:ext>
            </a:extLst>
          </xdr:cNvPr>
          <xdr:cNvCxnSpPr>
            <a:stCxn id="570" idx="3"/>
            <a:endCxn id="572" idx="1"/>
          </xdr:cNvCxnSpPr>
        </xdr:nvCxnSpPr>
        <xdr:spPr>
          <a:xfrm>
            <a:off x="6518237" y="6885514"/>
            <a:ext cx="266701" cy="3629"/>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76" name="Rectangle: Rounded Corners 575">
            <a:extLst>
              <a:ext uri="{FF2B5EF4-FFF2-40B4-BE49-F238E27FC236}">
                <a16:creationId xmlns:a16="http://schemas.microsoft.com/office/drawing/2014/main" id="{AAD11C95-2E05-57D1-378D-C5C4B290EC17}"/>
              </a:ext>
            </a:extLst>
          </xdr:cNvPr>
          <xdr:cNvSpPr/>
        </xdr:nvSpPr>
        <xdr:spPr>
          <a:xfrm>
            <a:off x="5505674" y="9056070"/>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B2.2/B5</a:t>
            </a:r>
          </a:p>
          <a:p>
            <a:pPr algn="ctr"/>
            <a:r>
              <a:rPr lang="en-US" sz="1100">
                <a:solidFill>
                  <a:sysClr val="windowText" lastClr="000000"/>
                </a:solidFill>
              </a:rPr>
              <a:t>chưa rửa</a:t>
            </a:r>
          </a:p>
        </xdr:txBody>
      </xdr:sp>
      <xdr:sp macro="" textlink="">
        <xdr:nvSpPr>
          <xdr:cNvPr id="577" name="Rectangle: Rounded Corners 576">
            <a:extLst>
              <a:ext uri="{FF2B5EF4-FFF2-40B4-BE49-F238E27FC236}">
                <a16:creationId xmlns:a16="http://schemas.microsoft.com/office/drawing/2014/main" id="{A607B42A-C4E0-783C-376B-CC7149C8D8A0}"/>
              </a:ext>
            </a:extLst>
          </xdr:cNvPr>
          <xdr:cNvSpPr/>
        </xdr:nvSpPr>
        <xdr:spPr>
          <a:xfrm>
            <a:off x="4432151" y="9171308"/>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78" name="Rectangle: Rounded Corners 577">
            <a:extLst>
              <a:ext uri="{FF2B5EF4-FFF2-40B4-BE49-F238E27FC236}">
                <a16:creationId xmlns:a16="http://schemas.microsoft.com/office/drawing/2014/main" id="{AA78E4A5-8382-0800-B6F7-3842DF3CEFD4}"/>
              </a:ext>
            </a:extLst>
          </xdr:cNvPr>
          <xdr:cNvSpPr/>
        </xdr:nvSpPr>
        <xdr:spPr>
          <a:xfrm>
            <a:off x="6784938" y="9160773"/>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cxnSp macro="">
        <xdr:nvCxnSpPr>
          <xdr:cNvPr id="579" name="Straight Connector 578">
            <a:extLst>
              <a:ext uri="{FF2B5EF4-FFF2-40B4-BE49-F238E27FC236}">
                <a16:creationId xmlns:a16="http://schemas.microsoft.com/office/drawing/2014/main" id="{6615A1F7-1C30-5CC4-AE32-7FA96ED8DF42}"/>
              </a:ext>
            </a:extLst>
          </xdr:cNvPr>
          <xdr:cNvCxnSpPr>
            <a:stCxn id="564" idx="3"/>
            <a:endCxn id="577" idx="1"/>
          </xdr:cNvCxnSpPr>
        </xdr:nvCxnSpPr>
        <xdr:spPr>
          <a:xfrm flipV="1">
            <a:off x="4169938" y="9354413"/>
            <a:ext cx="262214" cy="1223"/>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0" name="Straight Connector 579">
            <a:extLst>
              <a:ext uri="{FF2B5EF4-FFF2-40B4-BE49-F238E27FC236}">
                <a16:creationId xmlns:a16="http://schemas.microsoft.com/office/drawing/2014/main" id="{0D2BB679-A6CD-AF93-FAAC-802998663A62}"/>
              </a:ext>
            </a:extLst>
          </xdr:cNvPr>
          <xdr:cNvCxnSpPr>
            <a:stCxn id="577" idx="3"/>
            <a:endCxn id="576" idx="1"/>
          </xdr:cNvCxnSpPr>
        </xdr:nvCxnSpPr>
        <xdr:spPr>
          <a:xfrm flipV="1">
            <a:off x="5260938" y="9350785"/>
            <a:ext cx="244735" cy="3628"/>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1" name="Straight Connector 580">
            <a:extLst>
              <a:ext uri="{FF2B5EF4-FFF2-40B4-BE49-F238E27FC236}">
                <a16:creationId xmlns:a16="http://schemas.microsoft.com/office/drawing/2014/main" id="{87BB9B1A-2E45-E379-ADA4-3F5C44284FFB}"/>
              </a:ext>
            </a:extLst>
          </xdr:cNvPr>
          <xdr:cNvCxnSpPr>
            <a:stCxn id="576" idx="3"/>
            <a:endCxn id="578" idx="1"/>
          </xdr:cNvCxnSpPr>
        </xdr:nvCxnSpPr>
        <xdr:spPr>
          <a:xfrm flipV="1">
            <a:off x="6518237" y="9343877"/>
            <a:ext cx="266701" cy="6907"/>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82" name="Rectangle: Rounded Corners 581">
            <a:extLst>
              <a:ext uri="{FF2B5EF4-FFF2-40B4-BE49-F238E27FC236}">
                <a16:creationId xmlns:a16="http://schemas.microsoft.com/office/drawing/2014/main" id="{12BB8AFF-011E-8116-632C-5A7E70B8F59D}"/>
              </a:ext>
            </a:extLst>
          </xdr:cNvPr>
          <xdr:cNvSpPr/>
        </xdr:nvSpPr>
        <xdr:spPr>
          <a:xfrm>
            <a:off x="5505674" y="11152609"/>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B4.A0</a:t>
            </a:r>
          </a:p>
          <a:p>
            <a:pPr algn="ctr"/>
            <a:r>
              <a:rPr lang="en-US" sz="1100">
                <a:solidFill>
                  <a:sysClr val="windowText" lastClr="000000"/>
                </a:solidFill>
              </a:rPr>
              <a:t>chưa rửa</a:t>
            </a:r>
          </a:p>
        </xdr:txBody>
      </xdr:sp>
      <xdr:sp macro="" textlink="">
        <xdr:nvSpPr>
          <xdr:cNvPr id="583" name="Rectangle: Rounded Corners 582">
            <a:extLst>
              <a:ext uri="{FF2B5EF4-FFF2-40B4-BE49-F238E27FC236}">
                <a16:creationId xmlns:a16="http://schemas.microsoft.com/office/drawing/2014/main" id="{E47D9FAE-CE60-7EB0-527B-8923443AC6D0}"/>
              </a:ext>
            </a:extLst>
          </xdr:cNvPr>
          <xdr:cNvSpPr/>
        </xdr:nvSpPr>
        <xdr:spPr>
          <a:xfrm>
            <a:off x="4432151" y="11267844"/>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84" name="Rectangle: Rounded Corners 583">
            <a:extLst>
              <a:ext uri="{FF2B5EF4-FFF2-40B4-BE49-F238E27FC236}">
                <a16:creationId xmlns:a16="http://schemas.microsoft.com/office/drawing/2014/main" id="{AC6E883E-4D8A-A87F-4C18-F4258B947C5C}"/>
              </a:ext>
            </a:extLst>
          </xdr:cNvPr>
          <xdr:cNvSpPr/>
        </xdr:nvSpPr>
        <xdr:spPr>
          <a:xfrm>
            <a:off x="6784938" y="11267844"/>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 </a:t>
            </a:r>
          </a:p>
        </xdr:txBody>
      </xdr:sp>
      <xdr:cxnSp macro="">
        <xdr:nvCxnSpPr>
          <xdr:cNvPr id="585" name="Straight Connector 584">
            <a:extLst>
              <a:ext uri="{FF2B5EF4-FFF2-40B4-BE49-F238E27FC236}">
                <a16:creationId xmlns:a16="http://schemas.microsoft.com/office/drawing/2014/main" id="{FAF82E16-30E7-B1DD-4E48-E5C1498026FA}"/>
              </a:ext>
            </a:extLst>
          </xdr:cNvPr>
          <xdr:cNvCxnSpPr>
            <a:stCxn id="567" idx="3"/>
            <a:endCxn id="583" idx="1"/>
          </xdr:cNvCxnSpPr>
        </xdr:nvCxnSpPr>
        <xdr:spPr>
          <a:xfrm flipV="1">
            <a:off x="4169938" y="11450948"/>
            <a:ext cx="262214" cy="1226"/>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6" name="Straight Connector 585">
            <a:extLst>
              <a:ext uri="{FF2B5EF4-FFF2-40B4-BE49-F238E27FC236}">
                <a16:creationId xmlns:a16="http://schemas.microsoft.com/office/drawing/2014/main" id="{38EE7840-86DB-FA8E-2A76-3C72D9BE4922}"/>
              </a:ext>
            </a:extLst>
          </xdr:cNvPr>
          <xdr:cNvCxnSpPr>
            <a:stCxn id="583" idx="3"/>
            <a:endCxn id="582" idx="1"/>
          </xdr:cNvCxnSpPr>
        </xdr:nvCxnSpPr>
        <xdr:spPr>
          <a:xfrm flipV="1">
            <a:off x="5260938" y="11447325"/>
            <a:ext cx="244735" cy="3623"/>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7" name="Straight Connector 586">
            <a:extLst>
              <a:ext uri="{FF2B5EF4-FFF2-40B4-BE49-F238E27FC236}">
                <a16:creationId xmlns:a16="http://schemas.microsoft.com/office/drawing/2014/main" id="{815B4DC4-1BA1-2E17-A10E-041F59203EF2}"/>
              </a:ext>
            </a:extLst>
          </xdr:cNvPr>
          <xdr:cNvCxnSpPr>
            <a:stCxn id="582" idx="3"/>
            <a:endCxn id="584" idx="1"/>
          </xdr:cNvCxnSpPr>
        </xdr:nvCxnSpPr>
        <xdr:spPr>
          <a:xfrm>
            <a:off x="6518237" y="11447325"/>
            <a:ext cx="266701" cy="3623"/>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88" name="Connector: Elbow 587">
            <a:extLst>
              <a:ext uri="{FF2B5EF4-FFF2-40B4-BE49-F238E27FC236}">
                <a16:creationId xmlns:a16="http://schemas.microsoft.com/office/drawing/2014/main" id="{96EF4B0E-6837-FEB9-7ED9-2F8942DD9DFD}"/>
              </a:ext>
            </a:extLst>
          </xdr:cNvPr>
          <xdr:cNvCxnSpPr>
            <a:stCxn id="570" idx="2"/>
            <a:endCxn id="589" idx="1"/>
          </xdr:cNvCxnSpPr>
        </xdr:nvCxnSpPr>
        <xdr:spPr>
          <a:xfrm rot="16200000" flipH="1">
            <a:off x="5997024" y="7195160"/>
            <a:ext cx="382849"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89" name="TextBox 588">
            <a:extLst>
              <a:ext uri="{FF2B5EF4-FFF2-40B4-BE49-F238E27FC236}">
                <a16:creationId xmlns:a16="http://schemas.microsoft.com/office/drawing/2014/main" id="{A535B795-70B1-85E6-CB09-EBB03A5740C0}"/>
              </a:ext>
            </a:extLst>
          </xdr:cNvPr>
          <xdr:cNvSpPr txBox="1"/>
        </xdr:nvSpPr>
        <xdr:spPr>
          <a:xfrm>
            <a:off x="6364941" y="7435055"/>
            <a:ext cx="140771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91.39% </a:t>
            </a:r>
            <a:r>
              <a:rPr lang="en-US" sz="1100"/>
              <a:t>Vảy</a:t>
            </a:r>
            <a:r>
              <a:rPr lang="en-US" sz="1100" baseline="0"/>
              <a:t> chưa rửa</a:t>
            </a:r>
            <a:endParaRPr lang="en-US" sz="1100"/>
          </a:p>
        </xdr:txBody>
      </xdr:sp>
      <xdr:sp macro="" textlink="">
        <xdr:nvSpPr>
          <xdr:cNvPr id="590" name="TextBox 589">
            <a:extLst>
              <a:ext uri="{FF2B5EF4-FFF2-40B4-BE49-F238E27FC236}">
                <a16:creationId xmlns:a16="http://schemas.microsoft.com/office/drawing/2014/main" id="{B539F7D5-A56E-EC88-EBBA-95E1E669A155}"/>
              </a:ext>
            </a:extLst>
          </xdr:cNvPr>
          <xdr:cNvSpPr txBox="1"/>
        </xdr:nvSpPr>
        <xdr:spPr>
          <a:xfrm>
            <a:off x="6364941" y="7719509"/>
            <a:ext cx="102264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8.07% </a:t>
            </a:r>
            <a:r>
              <a:rPr lang="en-US" sz="1100" b="0"/>
              <a:t>Phó</a:t>
            </a:r>
            <a:r>
              <a:rPr lang="en-US" sz="1100" b="0" baseline="0"/>
              <a:t> sản</a:t>
            </a:r>
            <a:endParaRPr lang="en-US" sz="1100"/>
          </a:p>
        </xdr:txBody>
      </xdr:sp>
      <xdr:sp macro="" textlink="">
        <xdr:nvSpPr>
          <xdr:cNvPr id="591" name="TextBox 590">
            <a:extLst>
              <a:ext uri="{FF2B5EF4-FFF2-40B4-BE49-F238E27FC236}">
                <a16:creationId xmlns:a16="http://schemas.microsoft.com/office/drawing/2014/main" id="{AB29DAE8-8F3F-F9CF-8451-9C4B828570EF}"/>
              </a:ext>
            </a:extLst>
          </xdr:cNvPr>
          <xdr:cNvSpPr txBox="1"/>
        </xdr:nvSpPr>
        <xdr:spPr>
          <a:xfrm>
            <a:off x="6364941" y="7982892"/>
            <a:ext cx="1327365"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0.54% </a:t>
            </a:r>
            <a:r>
              <a:rPr lang="en-US" sz="1100" b="0"/>
              <a:t>Hao</a:t>
            </a:r>
            <a:r>
              <a:rPr lang="en-US" sz="1100" b="0" baseline="0"/>
              <a:t> hụt khác</a:t>
            </a:r>
            <a:endParaRPr lang="en-US" sz="1100"/>
          </a:p>
        </xdr:txBody>
      </xdr:sp>
      <xdr:cxnSp macro="">
        <xdr:nvCxnSpPr>
          <xdr:cNvPr id="592" name="Connector: Elbow 591">
            <a:extLst>
              <a:ext uri="{FF2B5EF4-FFF2-40B4-BE49-F238E27FC236}">
                <a16:creationId xmlns:a16="http://schemas.microsoft.com/office/drawing/2014/main" id="{BD85949E-728E-A0CF-44DC-BA3F63F6CD3B}"/>
              </a:ext>
            </a:extLst>
          </xdr:cNvPr>
          <xdr:cNvCxnSpPr>
            <a:endCxn id="590" idx="1"/>
          </xdr:cNvCxnSpPr>
        </xdr:nvCxnSpPr>
        <xdr:spPr>
          <a:xfrm rot="16200000" flipH="1">
            <a:off x="6012826" y="7495416"/>
            <a:ext cx="351245"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93" name="Connector: Elbow 592">
            <a:extLst>
              <a:ext uri="{FF2B5EF4-FFF2-40B4-BE49-F238E27FC236}">
                <a16:creationId xmlns:a16="http://schemas.microsoft.com/office/drawing/2014/main" id="{9FF6F9EC-7C8C-A66C-EDCC-D197394CB096}"/>
              </a:ext>
            </a:extLst>
          </xdr:cNvPr>
          <xdr:cNvCxnSpPr>
            <a:endCxn id="591" idx="1"/>
          </xdr:cNvCxnSpPr>
        </xdr:nvCxnSpPr>
        <xdr:spPr>
          <a:xfrm rot="16200000" flipH="1">
            <a:off x="5997023" y="7742994"/>
            <a:ext cx="382851"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94" name="Rectangle: Rounded Corners 593">
            <a:extLst>
              <a:ext uri="{FF2B5EF4-FFF2-40B4-BE49-F238E27FC236}">
                <a16:creationId xmlns:a16="http://schemas.microsoft.com/office/drawing/2014/main" id="{F18D51E5-F45C-7272-9C57-6D4F88208C52}"/>
              </a:ext>
            </a:extLst>
          </xdr:cNvPr>
          <xdr:cNvSpPr/>
        </xdr:nvSpPr>
        <xdr:spPr>
          <a:xfrm>
            <a:off x="7988001" y="6588336"/>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B1.1</a:t>
            </a:r>
          </a:p>
          <a:p>
            <a:pPr algn="ctr"/>
            <a:r>
              <a:rPr lang="en-US" sz="1100">
                <a:solidFill>
                  <a:sysClr val="windowText" lastClr="000000"/>
                </a:solidFill>
              </a:rPr>
              <a:t>sau rửa</a:t>
            </a:r>
          </a:p>
        </xdr:txBody>
      </xdr:sp>
      <xdr:sp macro="" textlink="">
        <xdr:nvSpPr>
          <xdr:cNvPr id="595" name="Rectangle: Rounded Corners 594">
            <a:extLst>
              <a:ext uri="{FF2B5EF4-FFF2-40B4-BE49-F238E27FC236}">
                <a16:creationId xmlns:a16="http://schemas.microsoft.com/office/drawing/2014/main" id="{FB1D5B7A-40F1-261F-D6A1-6792BD5235DD}"/>
              </a:ext>
            </a:extLst>
          </xdr:cNvPr>
          <xdr:cNvSpPr/>
        </xdr:nvSpPr>
        <xdr:spPr>
          <a:xfrm>
            <a:off x="9244405" y="6706038"/>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596" name="Rectangle: Rounded Corners 595">
            <a:extLst>
              <a:ext uri="{FF2B5EF4-FFF2-40B4-BE49-F238E27FC236}">
                <a16:creationId xmlns:a16="http://schemas.microsoft.com/office/drawing/2014/main" id="{B9475C64-A131-82D7-F7EF-2B01B72C20C4}"/>
              </a:ext>
            </a:extLst>
          </xdr:cNvPr>
          <xdr:cNvSpPr/>
        </xdr:nvSpPr>
        <xdr:spPr>
          <a:xfrm>
            <a:off x="10347226" y="6651088"/>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597" name="Straight Connector 596">
            <a:extLst>
              <a:ext uri="{FF2B5EF4-FFF2-40B4-BE49-F238E27FC236}">
                <a16:creationId xmlns:a16="http://schemas.microsoft.com/office/drawing/2014/main" id="{63AE0716-CC06-4E67-7ED3-672C3EF7FFB1}"/>
              </a:ext>
            </a:extLst>
          </xdr:cNvPr>
          <xdr:cNvCxnSpPr>
            <a:stCxn id="572" idx="3"/>
            <a:endCxn id="594" idx="1"/>
          </xdr:cNvCxnSpPr>
        </xdr:nvCxnSpPr>
        <xdr:spPr>
          <a:xfrm flipV="1">
            <a:off x="7614621" y="6886189"/>
            <a:ext cx="373380" cy="2955"/>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98" name="Straight Connector 597">
            <a:extLst>
              <a:ext uri="{FF2B5EF4-FFF2-40B4-BE49-F238E27FC236}">
                <a16:creationId xmlns:a16="http://schemas.microsoft.com/office/drawing/2014/main" id="{C04958CF-3DAA-8509-EB24-3B3750CF9310}"/>
              </a:ext>
            </a:extLst>
          </xdr:cNvPr>
          <xdr:cNvCxnSpPr>
            <a:stCxn id="594" idx="3"/>
            <a:endCxn id="595" idx="1"/>
          </xdr:cNvCxnSpPr>
        </xdr:nvCxnSpPr>
        <xdr:spPr>
          <a:xfrm>
            <a:off x="9000565" y="6886189"/>
            <a:ext cx="243841"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99" name="Straight Connector 598">
            <a:extLst>
              <a:ext uri="{FF2B5EF4-FFF2-40B4-BE49-F238E27FC236}">
                <a16:creationId xmlns:a16="http://schemas.microsoft.com/office/drawing/2014/main" id="{016CE421-D288-E20A-1938-031C145FE47F}"/>
              </a:ext>
            </a:extLst>
          </xdr:cNvPr>
          <xdr:cNvCxnSpPr>
            <a:stCxn id="595" idx="3"/>
            <a:endCxn id="596" idx="1"/>
          </xdr:cNvCxnSpPr>
        </xdr:nvCxnSpPr>
        <xdr:spPr>
          <a:xfrm>
            <a:off x="10074985" y="6889142"/>
            <a:ext cx="272241" cy="407"/>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00" name="Connector: Elbow 599">
            <a:extLst>
              <a:ext uri="{FF2B5EF4-FFF2-40B4-BE49-F238E27FC236}">
                <a16:creationId xmlns:a16="http://schemas.microsoft.com/office/drawing/2014/main" id="{72818262-8063-B919-C75B-92F5628E49C2}"/>
              </a:ext>
            </a:extLst>
          </xdr:cNvPr>
          <xdr:cNvCxnSpPr>
            <a:stCxn id="594" idx="2"/>
            <a:endCxn id="601" idx="1"/>
          </xdr:cNvCxnSpPr>
        </xdr:nvCxnSpPr>
        <xdr:spPr>
          <a:xfrm rot="16200000" flipH="1">
            <a:off x="8451898" y="7226425"/>
            <a:ext cx="393828"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01" name="TextBox 600">
            <a:extLst>
              <a:ext uri="{FF2B5EF4-FFF2-40B4-BE49-F238E27FC236}">
                <a16:creationId xmlns:a16="http://schemas.microsoft.com/office/drawing/2014/main" id="{32B8D4C3-D993-C396-CBB4-0ACE1E7CF9FE}"/>
              </a:ext>
            </a:extLst>
          </xdr:cNvPr>
          <xdr:cNvSpPr txBox="1"/>
        </xdr:nvSpPr>
        <xdr:spPr>
          <a:xfrm>
            <a:off x="8803341" y="7445589"/>
            <a:ext cx="10672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96.3% </a:t>
            </a:r>
            <a:r>
              <a:rPr lang="en-US" sz="1100"/>
              <a:t>Vảy</a:t>
            </a:r>
            <a:r>
              <a:rPr lang="en-US" sz="1100" baseline="0"/>
              <a:t> sạch</a:t>
            </a:r>
            <a:endParaRPr lang="en-US" sz="1100"/>
          </a:p>
        </xdr:txBody>
      </xdr:sp>
      <xdr:cxnSp macro="">
        <xdr:nvCxnSpPr>
          <xdr:cNvPr id="602" name="Connector: Elbow 601">
            <a:extLst>
              <a:ext uri="{FF2B5EF4-FFF2-40B4-BE49-F238E27FC236}">
                <a16:creationId xmlns:a16="http://schemas.microsoft.com/office/drawing/2014/main" id="{A64C5AF9-45D7-738A-3709-EC3B58CA6927}"/>
              </a:ext>
            </a:extLst>
          </xdr:cNvPr>
          <xdr:cNvCxnSpPr>
            <a:stCxn id="594" idx="2"/>
            <a:endCxn id="603" idx="1"/>
          </xdr:cNvCxnSpPr>
        </xdr:nvCxnSpPr>
        <xdr:spPr>
          <a:xfrm rot="16200000" flipH="1">
            <a:off x="8327603" y="7350720"/>
            <a:ext cx="642418"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03" name="TextBox 602">
            <a:extLst>
              <a:ext uri="{FF2B5EF4-FFF2-40B4-BE49-F238E27FC236}">
                <a16:creationId xmlns:a16="http://schemas.microsoft.com/office/drawing/2014/main" id="{F6459CD0-1DEE-B71F-DC28-E33A76AC1AD7}"/>
              </a:ext>
            </a:extLst>
          </xdr:cNvPr>
          <xdr:cNvSpPr txBox="1"/>
        </xdr:nvSpPr>
        <xdr:spPr>
          <a:xfrm>
            <a:off x="8803341" y="7698437"/>
            <a:ext cx="16826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3.58% </a:t>
            </a:r>
            <a:r>
              <a:rPr lang="en-US" sz="1100"/>
              <a:t>Phó</a:t>
            </a:r>
            <a:r>
              <a:rPr lang="en-US" sz="1100" baseline="0"/>
              <a:t> sản + hao hụt</a:t>
            </a:r>
            <a:endParaRPr lang="en-US" sz="1100"/>
          </a:p>
        </xdr:txBody>
      </xdr:sp>
      <xdr:cxnSp macro="">
        <xdr:nvCxnSpPr>
          <xdr:cNvPr id="604" name="Connector: Elbow 603">
            <a:extLst>
              <a:ext uri="{FF2B5EF4-FFF2-40B4-BE49-F238E27FC236}">
                <a16:creationId xmlns:a16="http://schemas.microsoft.com/office/drawing/2014/main" id="{8E7E8BA9-E1F6-5F61-2327-62184AF35DF2}"/>
              </a:ext>
            </a:extLst>
          </xdr:cNvPr>
          <xdr:cNvCxnSpPr>
            <a:stCxn id="596" idx="2"/>
            <a:endCxn id="605" idx="1"/>
          </xdr:cNvCxnSpPr>
        </xdr:nvCxnSpPr>
        <xdr:spPr>
          <a:xfrm rot="16200000" flipH="1">
            <a:off x="10766219" y="7215747"/>
            <a:ext cx="428787"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5" name="TextBox 604">
            <a:extLst>
              <a:ext uri="{FF2B5EF4-FFF2-40B4-BE49-F238E27FC236}">
                <a16:creationId xmlns:a16="http://schemas.microsoft.com/office/drawing/2014/main" id="{E2655E0A-E780-78A2-F86B-196059C3A457}"/>
              </a:ext>
            </a:extLst>
          </xdr:cNvPr>
          <xdr:cNvSpPr txBox="1"/>
        </xdr:nvSpPr>
        <xdr:spPr>
          <a:xfrm>
            <a:off x="11107270" y="7424519"/>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WSS01G</a:t>
            </a:r>
            <a:endParaRPr lang="en-US" sz="1100" b="0"/>
          </a:p>
        </xdr:txBody>
      </xdr:sp>
      <xdr:cxnSp macro="">
        <xdr:nvCxnSpPr>
          <xdr:cNvPr id="606" name="Connector: Elbow 605">
            <a:extLst>
              <a:ext uri="{FF2B5EF4-FFF2-40B4-BE49-F238E27FC236}">
                <a16:creationId xmlns:a16="http://schemas.microsoft.com/office/drawing/2014/main" id="{8F09DEE1-E7FF-5143-B5E8-16AD9D8FCEA5}"/>
              </a:ext>
            </a:extLst>
          </xdr:cNvPr>
          <xdr:cNvCxnSpPr>
            <a:stCxn id="596" idx="2"/>
            <a:endCxn id="607" idx="1"/>
          </xdr:cNvCxnSpPr>
        </xdr:nvCxnSpPr>
        <xdr:spPr>
          <a:xfrm rot="16200000" flipH="1">
            <a:off x="10645062" y="7336903"/>
            <a:ext cx="671101"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7" name="TextBox 606">
            <a:extLst>
              <a:ext uri="{FF2B5EF4-FFF2-40B4-BE49-F238E27FC236}">
                <a16:creationId xmlns:a16="http://schemas.microsoft.com/office/drawing/2014/main" id="{81579D17-A961-5C88-052D-350DC586E01B}"/>
              </a:ext>
            </a:extLst>
          </xdr:cNvPr>
          <xdr:cNvSpPr txBox="1"/>
        </xdr:nvSpPr>
        <xdr:spPr>
          <a:xfrm>
            <a:off x="11107270" y="7666832"/>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iSS01G</a:t>
            </a:r>
            <a:endParaRPr lang="en-US" sz="1100" b="0"/>
          </a:p>
        </xdr:txBody>
      </xdr:sp>
      <xdr:cxnSp macro="">
        <xdr:nvCxnSpPr>
          <xdr:cNvPr id="608" name="Connector: Elbow 607">
            <a:extLst>
              <a:ext uri="{FF2B5EF4-FFF2-40B4-BE49-F238E27FC236}">
                <a16:creationId xmlns:a16="http://schemas.microsoft.com/office/drawing/2014/main" id="{4535FCAF-887B-F987-2DFA-DEFDDEF0C902}"/>
              </a:ext>
            </a:extLst>
          </xdr:cNvPr>
          <xdr:cNvCxnSpPr>
            <a:stCxn id="596" idx="2"/>
            <a:endCxn id="609" idx="1"/>
          </xdr:cNvCxnSpPr>
        </xdr:nvCxnSpPr>
        <xdr:spPr>
          <a:xfrm rot="16200000" flipH="1">
            <a:off x="10534441" y="7447526"/>
            <a:ext cx="892344"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9" name="TextBox 608">
            <a:extLst>
              <a:ext uri="{FF2B5EF4-FFF2-40B4-BE49-F238E27FC236}">
                <a16:creationId xmlns:a16="http://schemas.microsoft.com/office/drawing/2014/main" id="{357BD24C-5C56-7034-3A6B-A7B30A118935}"/>
              </a:ext>
            </a:extLst>
          </xdr:cNvPr>
          <xdr:cNvSpPr txBox="1"/>
        </xdr:nvSpPr>
        <xdr:spPr>
          <a:xfrm>
            <a:off x="11107271" y="7888075"/>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iSS01084G</a:t>
            </a:r>
            <a:endParaRPr lang="en-US" sz="1100" b="0"/>
          </a:p>
        </xdr:txBody>
      </xdr:sp>
      <xdr:cxnSp macro="">
        <xdr:nvCxnSpPr>
          <xdr:cNvPr id="610" name="Connector: Elbow 609">
            <a:extLst>
              <a:ext uri="{FF2B5EF4-FFF2-40B4-BE49-F238E27FC236}">
                <a16:creationId xmlns:a16="http://schemas.microsoft.com/office/drawing/2014/main" id="{F5AF5556-A7D6-2102-B9C9-38E4F48F28C3}"/>
              </a:ext>
            </a:extLst>
          </xdr:cNvPr>
          <xdr:cNvCxnSpPr>
            <a:stCxn id="596" idx="2"/>
            <a:endCxn id="611" idx="1"/>
          </xdr:cNvCxnSpPr>
        </xdr:nvCxnSpPr>
        <xdr:spPr>
          <a:xfrm rot="16200000" flipH="1">
            <a:off x="10423821" y="7558146"/>
            <a:ext cx="1113585"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11" name="TextBox 610">
            <a:extLst>
              <a:ext uri="{FF2B5EF4-FFF2-40B4-BE49-F238E27FC236}">
                <a16:creationId xmlns:a16="http://schemas.microsoft.com/office/drawing/2014/main" id="{FD2C8B9E-AAB1-CCC1-5344-1C06C60D479C}"/>
              </a:ext>
            </a:extLst>
          </xdr:cNvPr>
          <xdr:cNvSpPr txBox="1"/>
        </xdr:nvSpPr>
        <xdr:spPr>
          <a:xfrm>
            <a:off x="11107271" y="8109317"/>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a:t>
            </a:r>
            <a:endParaRPr lang="en-US" sz="1100" b="0"/>
          </a:p>
        </xdr:txBody>
      </xdr:sp>
      <xdr:sp macro="" textlink="">
        <xdr:nvSpPr>
          <xdr:cNvPr id="612" name="Rectangle: Rounded Corners 611">
            <a:extLst>
              <a:ext uri="{FF2B5EF4-FFF2-40B4-BE49-F238E27FC236}">
                <a16:creationId xmlns:a16="http://schemas.microsoft.com/office/drawing/2014/main" id="{944C96CA-0C18-79C0-FC8F-02D5A1BE287B}"/>
              </a:ext>
            </a:extLst>
          </xdr:cNvPr>
          <xdr:cNvSpPr/>
        </xdr:nvSpPr>
        <xdr:spPr>
          <a:xfrm>
            <a:off x="7988001" y="9043072"/>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B2.2/B5</a:t>
            </a:r>
          </a:p>
          <a:p>
            <a:pPr algn="ctr"/>
            <a:r>
              <a:rPr lang="en-US" sz="1100">
                <a:solidFill>
                  <a:sysClr val="windowText" lastClr="000000"/>
                </a:solidFill>
              </a:rPr>
              <a:t>sau rửa</a:t>
            </a:r>
          </a:p>
        </xdr:txBody>
      </xdr:sp>
      <xdr:sp macro="" textlink="">
        <xdr:nvSpPr>
          <xdr:cNvPr id="613" name="Rectangle: Rounded Corners 612">
            <a:extLst>
              <a:ext uri="{FF2B5EF4-FFF2-40B4-BE49-F238E27FC236}">
                <a16:creationId xmlns:a16="http://schemas.microsoft.com/office/drawing/2014/main" id="{8D196166-1E18-8962-E203-CD95EBCD77AE}"/>
              </a:ext>
            </a:extLst>
          </xdr:cNvPr>
          <xdr:cNvSpPr/>
        </xdr:nvSpPr>
        <xdr:spPr>
          <a:xfrm>
            <a:off x="9244405" y="9160774"/>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614" name="Rectangle: Rounded Corners 613">
            <a:extLst>
              <a:ext uri="{FF2B5EF4-FFF2-40B4-BE49-F238E27FC236}">
                <a16:creationId xmlns:a16="http://schemas.microsoft.com/office/drawing/2014/main" id="{5EF99230-5538-1B13-4B29-74D7C5ADB10C}"/>
              </a:ext>
            </a:extLst>
          </xdr:cNvPr>
          <xdr:cNvSpPr/>
        </xdr:nvSpPr>
        <xdr:spPr>
          <a:xfrm>
            <a:off x="10347226" y="9105823"/>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615" name="Straight Connector 614">
            <a:extLst>
              <a:ext uri="{FF2B5EF4-FFF2-40B4-BE49-F238E27FC236}">
                <a16:creationId xmlns:a16="http://schemas.microsoft.com/office/drawing/2014/main" id="{5ADDA011-2500-E336-0D5D-67DC506A989F}"/>
              </a:ext>
            </a:extLst>
          </xdr:cNvPr>
          <xdr:cNvCxnSpPr>
            <a:stCxn id="578" idx="3"/>
            <a:endCxn id="612" idx="1"/>
          </xdr:cNvCxnSpPr>
        </xdr:nvCxnSpPr>
        <xdr:spPr>
          <a:xfrm flipV="1">
            <a:off x="7614621" y="9340924"/>
            <a:ext cx="373380" cy="2953"/>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616" name="Straight Connector 615">
            <a:extLst>
              <a:ext uri="{FF2B5EF4-FFF2-40B4-BE49-F238E27FC236}">
                <a16:creationId xmlns:a16="http://schemas.microsoft.com/office/drawing/2014/main" id="{0CC42B62-8BA8-080C-5D33-D6D215BBB15C}"/>
              </a:ext>
            </a:extLst>
          </xdr:cNvPr>
          <xdr:cNvCxnSpPr>
            <a:stCxn id="612" idx="3"/>
            <a:endCxn id="613" idx="1"/>
          </xdr:cNvCxnSpPr>
        </xdr:nvCxnSpPr>
        <xdr:spPr>
          <a:xfrm>
            <a:off x="9000565" y="9340924"/>
            <a:ext cx="243841"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17" name="Straight Connector 616">
            <a:extLst>
              <a:ext uri="{FF2B5EF4-FFF2-40B4-BE49-F238E27FC236}">
                <a16:creationId xmlns:a16="http://schemas.microsoft.com/office/drawing/2014/main" id="{4EA794EA-2D2C-DF20-2A54-994F60294381}"/>
              </a:ext>
            </a:extLst>
          </xdr:cNvPr>
          <xdr:cNvCxnSpPr>
            <a:stCxn id="613" idx="3"/>
            <a:endCxn id="614" idx="1"/>
          </xdr:cNvCxnSpPr>
        </xdr:nvCxnSpPr>
        <xdr:spPr>
          <a:xfrm>
            <a:off x="10074985" y="9343878"/>
            <a:ext cx="272241" cy="406"/>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18" name="Connector: Elbow 617">
            <a:extLst>
              <a:ext uri="{FF2B5EF4-FFF2-40B4-BE49-F238E27FC236}">
                <a16:creationId xmlns:a16="http://schemas.microsoft.com/office/drawing/2014/main" id="{0DB8B0AE-BA7F-4672-70CA-F0D0F4CEE9B3}"/>
              </a:ext>
            </a:extLst>
          </xdr:cNvPr>
          <xdr:cNvCxnSpPr>
            <a:stCxn id="614" idx="2"/>
            <a:endCxn id="619" idx="1"/>
          </xdr:cNvCxnSpPr>
        </xdr:nvCxnSpPr>
        <xdr:spPr>
          <a:xfrm rot="16200000" flipH="1">
            <a:off x="10773615" y="9663086"/>
            <a:ext cx="413995"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19" name="TextBox 618">
            <a:extLst>
              <a:ext uri="{FF2B5EF4-FFF2-40B4-BE49-F238E27FC236}">
                <a16:creationId xmlns:a16="http://schemas.microsoft.com/office/drawing/2014/main" id="{D20B4FD3-BFB2-46C1-41AE-B8FEFDFF8457}"/>
              </a:ext>
            </a:extLst>
          </xdr:cNvPr>
          <xdr:cNvSpPr txBox="1"/>
        </xdr:nvSpPr>
        <xdr:spPr>
          <a:xfrm>
            <a:off x="11107270" y="9868719"/>
            <a:ext cx="136941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WSS01G-Nia</a:t>
            </a:r>
            <a:endParaRPr lang="en-US" sz="1100" b="0"/>
          </a:p>
        </xdr:txBody>
      </xdr:sp>
      <xdr:sp macro="" textlink="">
        <xdr:nvSpPr>
          <xdr:cNvPr id="620" name="TextBox 619">
            <a:extLst>
              <a:ext uri="{FF2B5EF4-FFF2-40B4-BE49-F238E27FC236}">
                <a16:creationId xmlns:a16="http://schemas.microsoft.com/office/drawing/2014/main" id="{4B582F77-4EDA-F5E2-EC45-3013D8323558}"/>
              </a:ext>
            </a:extLst>
          </xdr:cNvPr>
          <xdr:cNvSpPr txBox="1"/>
        </xdr:nvSpPr>
        <xdr:spPr>
          <a:xfrm>
            <a:off x="13016755" y="9868719"/>
            <a:ext cx="12449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r>
              <a:rPr lang="en-US" sz="1100" b="0"/>
              <a:t>B2.2 + 90%B1</a:t>
            </a:r>
            <a:endParaRPr lang="en-US" sz="1100" b="1">
              <a:solidFill>
                <a:srgbClr val="7030A0"/>
              </a:solidFill>
            </a:endParaRPr>
          </a:p>
        </xdr:txBody>
      </xdr:sp>
      <xdr:cxnSp macro="">
        <xdr:nvCxnSpPr>
          <xdr:cNvPr id="621" name="Straight Connector 620">
            <a:extLst>
              <a:ext uri="{FF2B5EF4-FFF2-40B4-BE49-F238E27FC236}">
                <a16:creationId xmlns:a16="http://schemas.microsoft.com/office/drawing/2014/main" id="{AEC09EAD-BB8E-6EE7-23A7-5DFED5CBEEFD}"/>
              </a:ext>
            </a:extLst>
          </xdr:cNvPr>
          <xdr:cNvCxnSpPr>
            <a:stCxn id="619" idx="3"/>
            <a:endCxn id="620" idx="1"/>
          </xdr:cNvCxnSpPr>
        </xdr:nvCxnSpPr>
        <xdr:spPr>
          <a:xfrm>
            <a:off x="12476684" y="9996741"/>
            <a:ext cx="540071"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22" name="Connector: Elbow 621">
            <a:extLst>
              <a:ext uri="{FF2B5EF4-FFF2-40B4-BE49-F238E27FC236}">
                <a16:creationId xmlns:a16="http://schemas.microsoft.com/office/drawing/2014/main" id="{CC1D9E1F-6121-B2CB-DF8C-85695CB3EE62}"/>
              </a:ext>
            </a:extLst>
          </xdr:cNvPr>
          <xdr:cNvCxnSpPr>
            <a:stCxn id="614" idx="2"/>
            <a:endCxn id="623" idx="1"/>
          </xdr:cNvCxnSpPr>
        </xdr:nvCxnSpPr>
        <xdr:spPr>
          <a:xfrm rot="16200000" flipH="1">
            <a:off x="10640175" y="9796526"/>
            <a:ext cx="680875"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23" name="TextBox 622">
            <a:extLst>
              <a:ext uri="{FF2B5EF4-FFF2-40B4-BE49-F238E27FC236}">
                <a16:creationId xmlns:a16="http://schemas.microsoft.com/office/drawing/2014/main" id="{84AD7E14-0444-E37C-D973-90D12EFF1E65}"/>
              </a:ext>
            </a:extLst>
          </xdr:cNvPr>
          <xdr:cNvSpPr txBox="1"/>
        </xdr:nvSpPr>
        <xdr:spPr>
          <a:xfrm>
            <a:off x="11107270" y="10131342"/>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WSS03G-PW</a:t>
            </a:r>
            <a:endParaRPr lang="en-US" sz="1100" b="0"/>
          </a:p>
        </xdr:txBody>
      </xdr:sp>
      <xdr:sp macro="" textlink="">
        <xdr:nvSpPr>
          <xdr:cNvPr id="624" name="TextBox 623">
            <a:extLst>
              <a:ext uri="{FF2B5EF4-FFF2-40B4-BE49-F238E27FC236}">
                <a16:creationId xmlns:a16="http://schemas.microsoft.com/office/drawing/2014/main" id="{90399655-B3A7-1123-8412-565D0D53E320}"/>
              </a:ext>
            </a:extLst>
          </xdr:cNvPr>
          <xdr:cNvSpPr txBox="1"/>
        </xdr:nvSpPr>
        <xdr:spPr>
          <a:xfrm>
            <a:off x="13016755" y="10131342"/>
            <a:ext cx="3827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15%</a:t>
            </a:r>
            <a:r>
              <a:rPr lang="en-US" sz="1100" b="0"/>
              <a:t>B2.2 + </a:t>
            </a:r>
            <a:r>
              <a:rPr lang="en-US" sz="1100" b="0">
                <a:solidFill>
                  <a:schemeClr val="tx1"/>
                </a:solidFill>
                <a:effectLst/>
                <a:latin typeface="+mn-lt"/>
                <a:ea typeface="+mn-ea"/>
                <a:cs typeface="+mn-cs"/>
              </a:rPr>
              <a:t>55%B6.2 + 30%B1  </a:t>
            </a:r>
            <a:endParaRPr lang="en-US" sz="1100" b="0">
              <a:solidFill>
                <a:srgbClr val="7030A0"/>
              </a:solidFill>
            </a:endParaRPr>
          </a:p>
        </xdr:txBody>
      </xdr:sp>
      <xdr:cxnSp macro="">
        <xdr:nvCxnSpPr>
          <xdr:cNvPr id="625" name="Straight Connector 624">
            <a:extLst>
              <a:ext uri="{FF2B5EF4-FFF2-40B4-BE49-F238E27FC236}">
                <a16:creationId xmlns:a16="http://schemas.microsoft.com/office/drawing/2014/main" id="{458D825B-CE4E-A610-C8A8-669771799DDC}"/>
              </a:ext>
            </a:extLst>
          </xdr:cNvPr>
          <xdr:cNvCxnSpPr>
            <a:stCxn id="623" idx="3"/>
            <a:endCxn id="624" idx="1"/>
          </xdr:cNvCxnSpPr>
        </xdr:nvCxnSpPr>
        <xdr:spPr>
          <a:xfrm>
            <a:off x="12489892" y="10263622"/>
            <a:ext cx="526862"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26" name="Connector: Elbow 625">
            <a:extLst>
              <a:ext uri="{FF2B5EF4-FFF2-40B4-BE49-F238E27FC236}">
                <a16:creationId xmlns:a16="http://schemas.microsoft.com/office/drawing/2014/main" id="{3F70817F-86D9-B14B-F1B1-A10268D763CA}"/>
              </a:ext>
            </a:extLst>
          </xdr:cNvPr>
          <xdr:cNvCxnSpPr>
            <a:stCxn id="614" idx="2"/>
            <a:endCxn id="627" idx="1"/>
          </xdr:cNvCxnSpPr>
        </xdr:nvCxnSpPr>
        <xdr:spPr>
          <a:xfrm rot="16200000" flipH="1">
            <a:off x="10510231" y="9926469"/>
            <a:ext cx="940762"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27" name="TextBox 626">
            <a:extLst>
              <a:ext uri="{FF2B5EF4-FFF2-40B4-BE49-F238E27FC236}">
                <a16:creationId xmlns:a16="http://schemas.microsoft.com/office/drawing/2014/main" id="{C63C578F-C727-7913-3088-5A6122BE06CE}"/>
              </a:ext>
            </a:extLst>
          </xdr:cNvPr>
          <xdr:cNvSpPr txBox="1"/>
        </xdr:nvSpPr>
        <xdr:spPr>
          <a:xfrm>
            <a:off x="11107270" y="10395485"/>
            <a:ext cx="136941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WSS01S</a:t>
            </a:r>
            <a:endParaRPr lang="en-US" sz="1100" b="0"/>
          </a:p>
        </xdr:txBody>
      </xdr:sp>
      <xdr:sp macro="" textlink="">
        <xdr:nvSpPr>
          <xdr:cNvPr id="628" name="TextBox 627">
            <a:extLst>
              <a:ext uri="{FF2B5EF4-FFF2-40B4-BE49-F238E27FC236}">
                <a16:creationId xmlns:a16="http://schemas.microsoft.com/office/drawing/2014/main" id="{88FF71AE-DFB9-D127-2ADA-CB7DCF4E4DAC}"/>
              </a:ext>
            </a:extLst>
          </xdr:cNvPr>
          <xdr:cNvSpPr txBox="1"/>
        </xdr:nvSpPr>
        <xdr:spPr>
          <a:xfrm>
            <a:off x="13016755" y="10395485"/>
            <a:ext cx="3053287"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50%</a:t>
            </a:r>
            <a:r>
              <a:rPr lang="en-US" sz="1100" b="0"/>
              <a:t>B5-A1/A2/A3 + 10%B7-A1/A2/A3 + </a:t>
            </a:r>
            <a:r>
              <a:rPr lang="en-US" sz="1100" b="0">
                <a:solidFill>
                  <a:schemeClr val="tx1"/>
                </a:solidFill>
                <a:effectLst/>
                <a:latin typeface="+mn-lt"/>
                <a:ea typeface="+mn-ea"/>
                <a:cs typeface="+mn-cs"/>
              </a:rPr>
              <a:t>40%B1-A3</a:t>
            </a:r>
            <a:endParaRPr lang="en-US" sz="1100" b="0">
              <a:solidFill>
                <a:srgbClr val="7030A0"/>
              </a:solidFill>
            </a:endParaRPr>
          </a:p>
        </xdr:txBody>
      </xdr:sp>
      <xdr:cxnSp macro="">
        <xdr:nvCxnSpPr>
          <xdr:cNvPr id="629" name="Straight Connector 628">
            <a:extLst>
              <a:ext uri="{FF2B5EF4-FFF2-40B4-BE49-F238E27FC236}">
                <a16:creationId xmlns:a16="http://schemas.microsoft.com/office/drawing/2014/main" id="{CBC90946-B5C2-A38B-FAB4-A86B596B04FA}"/>
              </a:ext>
            </a:extLst>
          </xdr:cNvPr>
          <xdr:cNvCxnSpPr>
            <a:stCxn id="627" idx="3"/>
            <a:endCxn id="628" idx="1"/>
          </xdr:cNvCxnSpPr>
        </xdr:nvCxnSpPr>
        <xdr:spPr>
          <a:xfrm>
            <a:off x="12476684" y="10523508"/>
            <a:ext cx="540071"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30" name="Connector: Elbow 629">
            <a:extLst>
              <a:ext uri="{FF2B5EF4-FFF2-40B4-BE49-F238E27FC236}">
                <a16:creationId xmlns:a16="http://schemas.microsoft.com/office/drawing/2014/main" id="{88EEFDB6-723C-2422-5381-0BD2760CC1BE}"/>
              </a:ext>
            </a:extLst>
          </xdr:cNvPr>
          <xdr:cNvCxnSpPr>
            <a:endCxn id="631" idx="1"/>
          </xdr:cNvCxnSpPr>
        </xdr:nvCxnSpPr>
        <xdr:spPr>
          <a:xfrm rot="16200000" flipH="1">
            <a:off x="10510231" y="10168782"/>
            <a:ext cx="940762"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31" name="TextBox 630">
            <a:extLst>
              <a:ext uri="{FF2B5EF4-FFF2-40B4-BE49-F238E27FC236}">
                <a16:creationId xmlns:a16="http://schemas.microsoft.com/office/drawing/2014/main" id="{EAC93BF7-F11D-59E1-42BF-81914E2AB5C4}"/>
              </a:ext>
            </a:extLst>
          </xdr:cNvPr>
          <xdr:cNvSpPr txBox="1"/>
        </xdr:nvSpPr>
        <xdr:spPr>
          <a:xfrm>
            <a:off x="11107270" y="10637799"/>
            <a:ext cx="1797606"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solidFill>
                  <a:schemeClr val="tx1"/>
                </a:solidFill>
                <a:effectLst/>
                <a:latin typeface="+mn-lt"/>
                <a:ea typeface="+mn-ea"/>
                <a:cs typeface="+mn-cs"/>
              </a:rPr>
              <a:t>Tạo</a:t>
            </a:r>
            <a:r>
              <a:rPr lang="en-US" sz="1100" b="0" baseline="0">
                <a:solidFill>
                  <a:schemeClr val="tx1"/>
                </a:solidFill>
                <a:effectLst/>
                <a:latin typeface="+mn-lt"/>
                <a:ea typeface="+mn-ea"/>
                <a:cs typeface="+mn-cs"/>
              </a:rPr>
              <a:t> hạt WSS05SB (Sợi ngắn)</a:t>
            </a:r>
            <a:endParaRPr lang="en-US">
              <a:effectLst/>
            </a:endParaRPr>
          </a:p>
        </xdr:txBody>
      </xdr:sp>
      <xdr:sp macro="" textlink="">
        <xdr:nvSpPr>
          <xdr:cNvPr id="632" name="TextBox 631">
            <a:extLst>
              <a:ext uri="{FF2B5EF4-FFF2-40B4-BE49-F238E27FC236}">
                <a16:creationId xmlns:a16="http://schemas.microsoft.com/office/drawing/2014/main" id="{90255E31-4CC5-C4CC-C933-A0AAB1D7DD16}"/>
              </a:ext>
            </a:extLst>
          </xdr:cNvPr>
          <xdr:cNvSpPr txBox="1"/>
        </xdr:nvSpPr>
        <xdr:spPr>
          <a:xfrm>
            <a:off x="13016755" y="10637799"/>
            <a:ext cx="1205296"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5%</a:t>
            </a:r>
            <a:r>
              <a:rPr lang="en-US" sz="1100" b="0">
                <a:solidFill>
                  <a:schemeClr val="tx1"/>
                </a:solidFill>
                <a:effectLst/>
                <a:latin typeface="+mn-lt"/>
                <a:ea typeface="+mn-ea"/>
                <a:cs typeface="+mn-cs"/>
              </a:rPr>
              <a:t>B5 + 95%B6.2 </a:t>
            </a:r>
            <a:endParaRPr lang="en-US">
              <a:effectLst/>
            </a:endParaRPr>
          </a:p>
        </xdr:txBody>
      </xdr:sp>
      <xdr:cxnSp macro="">
        <xdr:nvCxnSpPr>
          <xdr:cNvPr id="633" name="Straight Connector 632">
            <a:extLst>
              <a:ext uri="{FF2B5EF4-FFF2-40B4-BE49-F238E27FC236}">
                <a16:creationId xmlns:a16="http://schemas.microsoft.com/office/drawing/2014/main" id="{DF9D6799-1EEE-6540-BCBF-D516EBB5E613}"/>
              </a:ext>
            </a:extLst>
          </xdr:cNvPr>
          <xdr:cNvCxnSpPr>
            <a:stCxn id="631" idx="3"/>
            <a:endCxn id="632" idx="1"/>
          </xdr:cNvCxnSpPr>
        </xdr:nvCxnSpPr>
        <xdr:spPr>
          <a:xfrm>
            <a:off x="12904876" y="10765821"/>
            <a:ext cx="111879"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34" name="Rectangle: Rounded Corners 633">
            <a:extLst>
              <a:ext uri="{FF2B5EF4-FFF2-40B4-BE49-F238E27FC236}">
                <a16:creationId xmlns:a16="http://schemas.microsoft.com/office/drawing/2014/main" id="{2A7D449C-6606-C7C9-9654-33DC43AF230D}"/>
              </a:ext>
            </a:extLst>
          </xdr:cNvPr>
          <xdr:cNvSpPr/>
        </xdr:nvSpPr>
        <xdr:spPr>
          <a:xfrm>
            <a:off x="7988001" y="11150142"/>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B4</a:t>
            </a:r>
          </a:p>
          <a:p>
            <a:pPr algn="ctr"/>
            <a:r>
              <a:rPr lang="en-US" sz="1100">
                <a:solidFill>
                  <a:sysClr val="windowText" lastClr="000000"/>
                </a:solidFill>
              </a:rPr>
              <a:t>sau rửa</a:t>
            </a:r>
          </a:p>
        </xdr:txBody>
      </xdr:sp>
      <xdr:sp macro="" textlink="">
        <xdr:nvSpPr>
          <xdr:cNvPr id="635" name="Rectangle: Rounded Corners 634">
            <a:extLst>
              <a:ext uri="{FF2B5EF4-FFF2-40B4-BE49-F238E27FC236}">
                <a16:creationId xmlns:a16="http://schemas.microsoft.com/office/drawing/2014/main" id="{82D56DEA-6ACC-C5CD-3728-8D2C658D621E}"/>
              </a:ext>
            </a:extLst>
          </xdr:cNvPr>
          <xdr:cNvSpPr/>
        </xdr:nvSpPr>
        <xdr:spPr>
          <a:xfrm>
            <a:off x="9244405" y="11267845"/>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Gia</a:t>
            </a:r>
            <a:r>
              <a:rPr lang="en-US" sz="1100" b="1" baseline="0">
                <a:solidFill>
                  <a:schemeClr val="bg1"/>
                </a:solidFill>
              </a:rPr>
              <a:t> công</a:t>
            </a:r>
            <a:endParaRPr lang="en-US" sz="1100" b="1">
              <a:solidFill>
                <a:schemeClr val="bg1"/>
              </a:solidFill>
            </a:endParaRPr>
          </a:p>
        </xdr:txBody>
      </xdr:sp>
      <xdr:sp macro="" textlink="">
        <xdr:nvSpPr>
          <xdr:cNvPr id="636" name="Rectangle: Rounded Corners 635">
            <a:extLst>
              <a:ext uri="{FF2B5EF4-FFF2-40B4-BE49-F238E27FC236}">
                <a16:creationId xmlns:a16="http://schemas.microsoft.com/office/drawing/2014/main" id="{FF3DC0D6-625B-8EE2-15B7-E12DB0364605}"/>
              </a:ext>
            </a:extLst>
          </xdr:cNvPr>
          <xdr:cNvSpPr/>
        </xdr:nvSpPr>
        <xdr:spPr>
          <a:xfrm>
            <a:off x="10347226" y="11212893"/>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Dây</a:t>
            </a:r>
            <a:r>
              <a:rPr lang="en-US" sz="1100" baseline="0">
                <a:solidFill>
                  <a:sysClr val="windowText" lastClr="000000"/>
                </a:solidFill>
              </a:rPr>
              <a:t> đai</a:t>
            </a:r>
            <a:endParaRPr lang="en-US" sz="1100">
              <a:solidFill>
                <a:sysClr val="windowText" lastClr="000000"/>
              </a:solidFill>
            </a:endParaRPr>
          </a:p>
        </xdr:txBody>
      </xdr:sp>
      <xdr:cxnSp macro="">
        <xdr:nvCxnSpPr>
          <xdr:cNvPr id="637" name="Straight Connector 636">
            <a:extLst>
              <a:ext uri="{FF2B5EF4-FFF2-40B4-BE49-F238E27FC236}">
                <a16:creationId xmlns:a16="http://schemas.microsoft.com/office/drawing/2014/main" id="{307B6321-17C0-7466-C2C1-ED1B1E73EF19}"/>
              </a:ext>
            </a:extLst>
          </xdr:cNvPr>
          <xdr:cNvCxnSpPr>
            <a:stCxn id="584" idx="3"/>
            <a:endCxn id="634" idx="1"/>
          </xdr:cNvCxnSpPr>
        </xdr:nvCxnSpPr>
        <xdr:spPr>
          <a:xfrm flipV="1">
            <a:off x="7614621" y="11447994"/>
            <a:ext cx="373380" cy="2954"/>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638" name="Straight Connector 637">
            <a:extLst>
              <a:ext uri="{FF2B5EF4-FFF2-40B4-BE49-F238E27FC236}">
                <a16:creationId xmlns:a16="http://schemas.microsoft.com/office/drawing/2014/main" id="{4C3592EA-BFC1-62E9-6944-4AF6C67DEF86}"/>
              </a:ext>
            </a:extLst>
          </xdr:cNvPr>
          <xdr:cNvCxnSpPr>
            <a:stCxn id="634" idx="3"/>
            <a:endCxn id="635" idx="1"/>
          </xdr:cNvCxnSpPr>
        </xdr:nvCxnSpPr>
        <xdr:spPr>
          <a:xfrm>
            <a:off x="9000565" y="11447994"/>
            <a:ext cx="243841" cy="2956"/>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39" name="Straight Connector 638">
            <a:extLst>
              <a:ext uri="{FF2B5EF4-FFF2-40B4-BE49-F238E27FC236}">
                <a16:creationId xmlns:a16="http://schemas.microsoft.com/office/drawing/2014/main" id="{9A90A5B1-2D12-EBFB-9748-8956FEAC189F}"/>
              </a:ext>
            </a:extLst>
          </xdr:cNvPr>
          <xdr:cNvCxnSpPr>
            <a:stCxn id="635" idx="3"/>
            <a:endCxn id="636" idx="1"/>
          </xdr:cNvCxnSpPr>
        </xdr:nvCxnSpPr>
        <xdr:spPr>
          <a:xfrm>
            <a:off x="10074985" y="11450950"/>
            <a:ext cx="272241" cy="405"/>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40" name="Connector: Elbow 639">
            <a:extLst>
              <a:ext uri="{FF2B5EF4-FFF2-40B4-BE49-F238E27FC236}">
                <a16:creationId xmlns:a16="http://schemas.microsoft.com/office/drawing/2014/main" id="{7532FD99-90A5-932A-EF36-90FCE0DFE770}"/>
              </a:ext>
            </a:extLst>
          </xdr:cNvPr>
          <xdr:cNvCxnSpPr>
            <a:stCxn id="576" idx="2"/>
            <a:endCxn id="641" idx="1"/>
          </xdr:cNvCxnSpPr>
        </xdr:nvCxnSpPr>
        <xdr:spPr>
          <a:xfrm rot="16200000" flipH="1">
            <a:off x="5997024" y="9660431"/>
            <a:ext cx="38284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1" name="TextBox 640">
            <a:extLst>
              <a:ext uri="{FF2B5EF4-FFF2-40B4-BE49-F238E27FC236}">
                <a16:creationId xmlns:a16="http://schemas.microsoft.com/office/drawing/2014/main" id="{6038AAA7-1343-3B0F-FEF6-9726B3201CE3}"/>
              </a:ext>
            </a:extLst>
          </xdr:cNvPr>
          <xdr:cNvSpPr txBox="1"/>
        </xdr:nvSpPr>
        <xdr:spPr>
          <a:xfrm>
            <a:off x="6364941" y="9900325"/>
            <a:ext cx="169518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95.96% </a:t>
            </a:r>
            <a:r>
              <a:rPr lang="en-US" sz="1100"/>
              <a:t>Vảy</a:t>
            </a:r>
            <a:r>
              <a:rPr lang="en-US" sz="1100" baseline="0"/>
              <a:t> B2.2 chưa rửa</a:t>
            </a:r>
            <a:endParaRPr lang="en-US" sz="1100"/>
          </a:p>
        </xdr:txBody>
      </xdr:sp>
      <xdr:cxnSp macro="">
        <xdr:nvCxnSpPr>
          <xdr:cNvPr id="642" name="Connector: Elbow 641">
            <a:extLst>
              <a:ext uri="{FF2B5EF4-FFF2-40B4-BE49-F238E27FC236}">
                <a16:creationId xmlns:a16="http://schemas.microsoft.com/office/drawing/2014/main" id="{8132B48B-DAB7-370E-2BF5-0FCB25528D1B}"/>
              </a:ext>
            </a:extLst>
          </xdr:cNvPr>
          <xdr:cNvCxnSpPr>
            <a:stCxn id="576" idx="2"/>
            <a:endCxn id="643" idx="1"/>
          </xdr:cNvCxnSpPr>
        </xdr:nvCxnSpPr>
        <xdr:spPr>
          <a:xfrm rot="16200000" flipH="1">
            <a:off x="5881136" y="9776320"/>
            <a:ext cx="614627"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3" name="TextBox 642">
            <a:extLst>
              <a:ext uri="{FF2B5EF4-FFF2-40B4-BE49-F238E27FC236}">
                <a16:creationId xmlns:a16="http://schemas.microsoft.com/office/drawing/2014/main" id="{AE3C414B-6227-1FA4-36FC-1E5D31980ED7}"/>
              </a:ext>
            </a:extLst>
          </xdr:cNvPr>
          <xdr:cNvSpPr txBox="1"/>
        </xdr:nvSpPr>
        <xdr:spPr>
          <a:xfrm>
            <a:off x="6364942" y="10132104"/>
            <a:ext cx="102264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3.23% </a:t>
            </a:r>
            <a:r>
              <a:rPr lang="en-US" sz="1100"/>
              <a:t>Phó</a:t>
            </a:r>
            <a:r>
              <a:rPr lang="en-US" sz="1100" baseline="0"/>
              <a:t> sản</a:t>
            </a:r>
            <a:endParaRPr lang="en-US" sz="1100"/>
          </a:p>
        </xdr:txBody>
      </xdr:sp>
      <xdr:cxnSp macro="">
        <xdr:nvCxnSpPr>
          <xdr:cNvPr id="644" name="Connector: Elbow 643">
            <a:extLst>
              <a:ext uri="{FF2B5EF4-FFF2-40B4-BE49-F238E27FC236}">
                <a16:creationId xmlns:a16="http://schemas.microsoft.com/office/drawing/2014/main" id="{BA1181F2-5ECD-DB52-8A59-760BA3FB846B}"/>
              </a:ext>
            </a:extLst>
          </xdr:cNvPr>
          <xdr:cNvCxnSpPr>
            <a:stCxn id="576" idx="2"/>
            <a:endCxn id="645" idx="1"/>
          </xdr:cNvCxnSpPr>
        </xdr:nvCxnSpPr>
        <xdr:spPr>
          <a:xfrm rot="16200000" flipH="1">
            <a:off x="5770514" y="9886942"/>
            <a:ext cx="835870"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5" name="TextBox 644">
            <a:extLst>
              <a:ext uri="{FF2B5EF4-FFF2-40B4-BE49-F238E27FC236}">
                <a16:creationId xmlns:a16="http://schemas.microsoft.com/office/drawing/2014/main" id="{A8E545BB-1FF8-D1AB-A2B1-FFFED842D7B3}"/>
              </a:ext>
            </a:extLst>
          </xdr:cNvPr>
          <xdr:cNvSpPr txBox="1"/>
        </xdr:nvSpPr>
        <xdr:spPr>
          <a:xfrm>
            <a:off x="6364942" y="10353347"/>
            <a:ext cx="1440681"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0.81% </a:t>
            </a:r>
            <a:r>
              <a:rPr lang="en-US" sz="1100"/>
              <a:t>Hao hụt khác</a:t>
            </a:r>
          </a:p>
        </xdr:txBody>
      </xdr:sp>
      <xdr:cxnSp macro="">
        <xdr:nvCxnSpPr>
          <xdr:cNvPr id="646" name="Connector: Elbow 645">
            <a:extLst>
              <a:ext uri="{FF2B5EF4-FFF2-40B4-BE49-F238E27FC236}">
                <a16:creationId xmlns:a16="http://schemas.microsoft.com/office/drawing/2014/main" id="{99B395FF-EEE3-7588-D719-151A4DFABF54}"/>
              </a:ext>
            </a:extLst>
          </xdr:cNvPr>
          <xdr:cNvCxnSpPr>
            <a:stCxn id="612" idx="2"/>
            <a:endCxn id="647" idx="1"/>
          </xdr:cNvCxnSpPr>
        </xdr:nvCxnSpPr>
        <xdr:spPr>
          <a:xfrm rot="16200000" flipH="1">
            <a:off x="8459476" y="9673584"/>
            <a:ext cx="389569" cy="319953"/>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47" name="TextBox 646">
            <a:extLst>
              <a:ext uri="{FF2B5EF4-FFF2-40B4-BE49-F238E27FC236}">
                <a16:creationId xmlns:a16="http://schemas.microsoft.com/office/drawing/2014/main" id="{86F9DA8B-4779-DD97-C23A-9290F068C88F}"/>
              </a:ext>
            </a:extLst>
          </xdr:cNvPr>
          <xdr:cNvSpPr txBox="1"/>
        </xdr:nvSpPr>
        <xdr:spPr>
          <a:xfrm>
            <a:off x="8814236" y="9900323"/>
            <a:ext cx="1257722"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97.63% </a:t>
            </a:r>
            <a:r>
              <a:rPr lang="en-US" sz="1100"/>
              <a:t>Vảy</a:t>
            </a:r>
            <a:r>
              <a:rPr lang="en-US" sz="1100" baseline="0"/>
              <a:t> sạch</a:t>
            </a:r>
            <a:endParaRPr lang="en-US" sz="1100"/>
          </a:p>
        </xdr:txBody>
      </xdr:sp>
      <xdr:cxnSp macro="">
        <xdr:nvCxnSpPr>
          <xdr:cNvPr id="648" name="Connector: Elbow 647">
            <a:extLst>
              <a:ext uri="{FF2B5EF4-FFF2-40B4-BE49-F238E27FC236}">
                <a16:creationId xmlns:a16="http://schemas.microsoft.com/office/drawing/2014/main" id="{773EC62C-078D-EC95-A833-526F5A5A07EF}"/>
              </a:ext>
            </a:extLst>
          </xdr:cNvPr>
          <xdr:cNvCxnSpPr>
            <a:stCxn id="612" idx="2"/>
            <a:endCxn id="649" idx="1"/>
          </xdr:cNvCxnSpPr>
        </xdr:nvCxnSpPr>
        <xdr:spPr>
          <a:xfrm rot="16200000" flipH="1">
            <a:off x="8343586" y="9789473"/>
            <a:ext cx="621349" cy="319954"/>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49" name="TextBox 648">
            <a:extLst>
              <a:ext uri="{FF2B5EF4-FFF2-40B4-BE49-F238E27FC236}">
                <a16:creationId xmlns:a16="http://schemas.microsoft.com/office/drawing/2014/main" id="{B5CDEA49-5239-F41A-CDA9-FD3CDF4D51D3}"/>
              </a:ext>
            </a:extLst>
          </xdr:cNvPr>
          <xdr:cNvSpPr txBox="1"/>
        </xdr:nvSpPr>
        <xdr:spPr>
          <a:xfrm>
            <a:off x="8814237" y="10132103"/>
            <a:ext cx="175892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2.37% </a:t>
            </a:r>
            <a:r>
              <a:rPr lang="en-US" sz="1100"/>
              <a:t>Phó</a:t>
            </a:r>
            <a:r>
              <a:rPr lang="en-US" sz="1100" baseline="0"/>
              <a:t> sản + hao hụt</a:t>
            </a:r>
            <a:endParaRPr lang="en-US" sz="1100"/>
          </a:p>
        </xdr:txBody>
      </xdr:sp>
      <xdr:cxnSp macro="">
        <xdr:nvCxnSpPr>
          <xdr:cNvPr id="650" name="Connector: Elbow 649">
            <a:extLst>
              <a:ext uri="{FF2B5EF4-FFF2-40B4-BE49-F238E27FC236}">
                <a16:creationId xmlns:a16="http://schemas.microsoft.com/office/drawing/2014/main" id="{C2BF34EB-B207-4322-334B-683642513274}"/>
              </a:ext>
            </a:extLst>
          </xdr:cNvPr>
          <xdr:cNvCxnSpPr>
            <a:stCxn id="582" idx="2"/>
            <a:endCxn id="651" idx="1"/>
          </xdr:cNvCxnSpPr>
        </xdr:nvCxnSpPr>
        <xdr:spPr>
          <a:xfrm rot="16200000" flipH="1">
            <a:off x="6033902" y="11720094"/>
            <a:ext cx="309095"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1" name="TextBox 650">
            <a:extLst>
              <a:ext uri="{FF2B5EF4-FFF2-40B4-BE49-F238E27FC236}">
                <a16:creationId xmlns:a16="http://schemas.microsoft.com/office/drawing/2014/main" id="{46E7DC0A-D39A-0BF2-4E67-20EF1A0B960B}"/>
              </a:ext>
            </a:extLst>
          </xdr:cNvPr>
          <xdr:cNvSpPr txBox="1"/>
        </xdr:nvSpPr>
        <xdr:spPr>
          <a:xfrm>
            <a:off x="6364942" y="11923112"/>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96.08%</a:t>
            </a:r>
            <a:r>
              <a:rPr lang="en-US" sz="1100" b="1" baseline="0"/>
              <a:t> </a:t>
            </a:r>
            <a:r>
              <a:rPr lang="en-US" sz="1100"/>
              <a:t>Vảy</a:t>
            </a:r>
            <a:r>
              <a:rPr lang="en-US" sz="1100" baseline="0"/>
              <a:t> B4 chưa rửa</a:t>
            </a:r>
            <a:endParaRPr lang="en-US" sz="1100"/>
          </a:p>
        </xdr:txBody>
      </xdr:sp>
      <xdr:cxnSp macro="">
        <xdr:nvCxnSpPr>
          <xdr:cNvPr id="652" name="Connector: Elbow 651">
            <a:extLst>
              <a:ext uri="{FF2B5EF4-FFF2-40B4-BE49-F238E27FC236}">
                <a16:creationId xmlns:a16="http://schemas.microsoft.com/office/drawing/2014/main" id="{A976567C-CCBB-8927-C049-B1CDDEF83ABB}"/>
              </a:ext>
            </a:extLst>
          </xdr:cNvPr>
          <xdr:cNvCxnSpPr>
            <a:stCxn id="582" idx="2"/>
            <a:endCxn id="653" idx="1"/>
          </xdr:cNvCxnSpPr>
        </xdr:nvCxnSpPr>
        <xdr:spPr>
          <a:xfrm rot="16200000" flipH="1">
            <a:off x="5912745" y="11841250"/>
            <a:ext cx="551409"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3" name="TextBox 652">
            <a:extLst>
              <a:ext uri="{FF2B5EF4-FFF2-40B4-BE49-F238E27FC236}">
                <a16:creationId xmlns:a16="http://schemas.microsoft.com/office/drawing/2014/main" id="{C722565E-34FC-A552-34D4-B2C1CE5E4813}"/>
              </a:ext>
            </a:extLst>
          </xdr:cNvPr>
          <xdr:cNvSpPr txBox="1"/>
        </xdr:nvSpPr>
        <xdr:spPr>
          <a:xfrm>
            <a:off x="6364942" y="12165426"/>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3.86% </a:t>
            </a:r>
            <a:r>
              <a:rPr lang="en-US" sz="1100"/>
              <a:t>Phó</a:t>
            </a:r>
            <a:r>
              <a:rPr lang="en-US" sz="1100" baseline="0"/>
              <a:t> sản</a:t>
            </a:r>
            <a:endParaRPr lang="en-US" sz="1100"/>
          </a:p>
        </xdr:txBody>
      </xdr:sp>
      <xdr:cxnSp macro="">
        <xdr:nvCxnSpPr>
          <xdr:cNvPr id="654" name="Connector: Elbow 653">
            <a:extLst>
              <a:ext uri="{FF2B5EF4-FFF2-40B4-BE49-F238E27FC236}">
                <a16:creationId xmlns:a16="http://schemas.microsoft.com/office/drawing/2014/main" id="{F6B219D5-7FA2-5D97-41C9-FAE5442F7084}"/>
              </a:ext>
            </a:extLst>
          </xdr:cNvPr>
          <xdr:cNvCxnSpPr>
            <a:stCxn id="582" idx="2"/>
            <a:endCxn id="655" idx="1"/>
          </xdr:cNvCxnSpPr>
        </xdr:nvCxnSpPr>
        <xdr:spPr>
          <a:xfrm rot="16200000" flipH="1">
            <a:off x="5807391" y="11946604"/>
            <a:ext cx="762117" cy="352987"/>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5" name="TextBox 654">
            <a:extLst>
              <a:ext uri="{FF2B5EF4-FFF2-40B4-BE49-F238E27FC236}">
                <a16:creationId xmlns:a16="http://schemas.microsoft.com/office/drawing/2014/main" id="{BCE1E544-B970-ECFB-4A43-72E1BFD47B6D}"/>
              </a:ext>
            </a:extLst>
          </xdr:cNvPr>
          <xdr:cNvSpPr txBox="1"/>
        </xdr:nvSpPr>
        <xdr:spPr>
          <a:xfrm>
            <a:off x="6364943" y="12376134"/>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0.06% </a:t>
            </a:r>
            <a:r>
              <a:rPr lang="en-US" sz="1100"/>
              <a:t>Hao hụt</a:t>
            </a:r>
            <a:r>
              <a:rPr lang="en-US" sz="1100" baseline="0"/>
              <a:t> khác</a:t>
            </a:r>
            <a:endParaRPr lang="en-US" sz="1100"/>
          </a:p>
        </xdr:txBody>
      </xdr:sp>
      <xdr:cxnSp macro="">
        <xdr:nvCxnSpPr>
          <xdr:cNvPr id="656" name="Connector: Elbow 655">
            <a:extLst>
              <a:ext uri="{FF2B5EF4-FFF2-40B4-BE49-F238E27FC236}">
                <a16:creationId xmlns:a16="http://schemas.microsoft.com/office/drawing/2014/main" id="{A71892A5-0930-FB94-982F-5A5FED1F2D4D}"/>
              </a:ext>
            </a:extLst>
          </xdr:cNvPr>
          <xdr:cNvCxnSpPr>
            <a:stCxn id="634" idx="2"/>
            <a:endCxn id="657" idx="1"/>
          </xdr:cNvCxnSpPr>
        </xdr:nvCxnSpPr>
        <xdr:spPr>
          <a:xfrm rot="16200000" flipH="1">
            <a:off x="8496350" y="11743779"/>
            <a:ext cx="315819" cy="319953"/>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57" name="TextBox 656">
            <a:extLst>
              <a:ext uri="{FF2B5EF4-FFF2-40B4-BE49-F238E27FC236}">
                <a16:creationId xmlns:a16="http://schemas.microsoft.com/office/drawing/2014/main" id="{66CC578D-AE3E-4F6C-5EA3-E2C615323800}"/>
              </a:ext>
            </a:extLst>
          </xdr:cNvPr>
          <xdr:cNvSpPr txBox="1"/>
        </xdr:nvSpPr>
        <xdr:spPr>
          <a:xfrm>
            <a:off x="8814236" y="11933643"/>
            <a:ext cx="1257722"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98.95% </a:t>
            </a:r>
            <a:r>
              <a:rPr lang="en-US" sz="1100"/>
              <a:t>Vảy</a:t>
            </a:r>
            <a:r>
              <a:rPr lang="en-US" sz="1100" baseline="0"/>
              <a:t> sạch</a:t>
            </a:r>
            <a:endParaRPr lang="en-US" sz="1100"/>
          </a:p>
        </xdr:txBody>
      </xdr:sp>
      <xdr:cxnSp macro="">
        <xdr:nvCxnSpPr>
          <xdr:cNvPr id="658" name="Connector: Elbow 657">
            <a:extLst>
              <a:ext uri="{FF2B5EF4-FFF2-40B4-BE49-F238E27FC236}">
                <a16:creationId xmlns:a16="http://schemas.microsoft.com/office/drawing/2014/main" id="{BB497A07-1A30-71CA-C8FA-D4C2F09DE345}"/>
              </a:ext>
            </a:extLst>
          </xdr:cNvPr>
          <xdr:cNvCxnSpPr>
            <a:stCxn id="634" idx="2"/>
            <a:endCxn id="659" idx="1"/>
          </xdr:cNvCxnSpPr>
        </xdr:nvCxnSpPr>
        <xdr:spPr>
          <a:xfrm rot="16200000" flipH="1">
            <a:off x="8369925" y="11870204"/>
            <a:ext cx="568671" cy="319954"/>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59" name="TextBox 658">
            <a:extLst>
              <a:ext uri="{FF2B5EF4-FFF2-40B4-BE49-F238E27FC236}">
                <a16:creationId xmlns:a16="http://schemas.microsoft.com/office/drawing/2014/main" id="{88CCF0E4-0583-3F58-18B7-5B772446BB3D}"/>
              </a:ext>
            </a:extLst>
          </xdr:cNvPr>
          <xdr:cNvSpPr txBox="1"/>
        </xdr:nvSpPr>
        <xdr:spPr>
          <a:xfrm>
            <a:off x="8814237" y="12186495"/>
            <a:ext cx="175892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1.05% </a:t>
            </a:r>
            <a:r>
              <a:rPr lang="en-US" sz="1100"/>
              <a:t>Phó</a:t>
            </a:r>
            <a:r>
              <a:rPr lang="en-US" sz="1100" baseline="0"/>
              <a:t> sản + hao hụt</a:t>
            </a:r>
            <a:endParaRPr lang="en-US" sz="1100"/>
          </a:p>
        </xdr:txBody>
      </xdr:sp>
      <xdr:cxnSp macro="">
        <xdr:nvCxnSpPr>
          <xdr:cNvPr id="660" name="Connector: Elbow 659">
            <a:extLst>
              <a:ext uri="{FF2B5EF4-FFF2-40B4-BE49-F238E27FC236}">
                <a16:creationId xmlns:a16="http://schemas.microsoft.com/office/drawing/2014/main" id="{7E4B5520-DC9F-15E7-E5C9-D5A907F526FE}"/>
              </a:ext>
            </a:extLst>
          </xdr:cNvPr>
          <xdr:cNvCxnSpPr>
            <a:stCxn id="614" idx="2"/>
            <a:endCxn id="661" idx="1"/>
          </xdr:cNvCxnSpPr>
        </xdr:nvCxnSpPr>
        <xdr:spPr>
          <a:xfrm rot="16200000" flipH="1">
            <a:off x="10250519" y="10186182"/>
            <a:ext cx="1460189"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61" name="TextBox 660">
            <a:extLst>
              <a:ext uri="{FF2B5EF4-FFF2-40B4-BE49-F238E27FC236}">
                <a16:creationId xmlns:a16="http://schemas.microsoft.com/office/drawing/2014/main" id="{A8699F28-584C-826C-CFF4-519E86108F31}"/>
              </a:ext>
            </a:extLst>
          </xdr:cNvPr>
          <xdr:cNvSpPr txBox="1"/>
        </xdr:nvSpPr>
        <xdr:spPr>
          <a:xfrm>
            <a:off x="11107271" y="10910655"/>
            <a:ext cx="1524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vảy FPET201-Out</a:t>
            </a:r>
            <a:endParaRPr lang="en-US" sz="1100" b="0"/>
          </a:p>
        </xdr:txBody>
      </xdr:sp>
      <xdr:sp macro="" textlink="">
        <xdr:nvSpPr>
          <xdr:cNvPr id="662" name="TextBox 661">
            <a:extLst>
              <a:ext uri="{FF2B5EF4-FFF2-40B4-BE49-F238E27FC236}">
                <a16:creationId xmlns:a16="http://schemas.microsoft.com/office/drawing/2014/main" id="{A9389CB2-7A0F-C494-7466-94B59171D2C2}"/>
              </a:ext>
            </a:extLst>
          </xdr:cNvPr>
          <xdr:cNvSpPr txBox="1"/>
        </xdr:nvSpPr>
        <xdr:spPr>
          <a:xfrm>
            <a:off x="13016755" y="10910655"/>
            <a:ext cx="3442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20%</a:t>
            </a:r>
            <a:r>
              <a:rPr lang="en-US" sz="1100" b="0">
                <a:solidFill>
                  <a:schemeClr val="tx1"/>
                </a:solidFill>
                <a:effectLst/>
                <a:latin typeface="+mn-lt"/>
                <a:ea typeface="+mn-ea"/>
                <a:cs typeface="+mn-cs"/>
              </a:rPr>
              <a:t>B5 + 65%B6.2 + 15%B1 </a:t>
            </a:r>
            <a:endParaRPr lang="en-US">
              <a:solidFill>
                <a:srgbClr val="7030A0"/>
              </a:solidFill>
              <a:effectLst/>
            </a:endParaRPr>
          </a:p>
        </xdr:txBody>
      </xdr:sp>
      <xdr:cxnSp macro="">
        <xdr:nvCxnSpPr>
          <xdr:cNvPr id="663" name="Straight Connector 662">
            <a:extLst>
              <a:ext uri="{FF2B5EF4-FFF2-40B4-BE49-F238E27FC236}">
                <a16:creationId xmlns:a16="http://schemas.microsoft.com/office/drawing/2014/main" id="{FEE6BFAA-49B3-B485-2D32-AD57F65B6DD6}"/>
              </a:ext>
            </a:extLst>
          </xdr:cNvPr>
          <xdr:cNvCxnSpPr>
            <a:stCxn id="661" idx="3"/>
            <a:endCxn id="662" idx="1"/>
          </xdr:cNvCxnSpPr>
        </xdr:nvCxnSpPr>
        <xdr:spPr>
          <a:xfrm>
            <a:off x="12631272" y="11042934"/>
            <a:ext cx="385483"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58</xdr:col>
      <xdr:colOff>205443</xdr:colOff>
      <xdr:row>28</xdr:row>
      <xdr:rowOff>114203</xdr:rowOff>
    </xdr:from>
    <xdr:to>
      <xdr:col>72</xdr:col>
      <xdr:colOff>86060</xdr:colOff>
      <xdr:row>41</xdr:row>
      <xdr:rowOff>150159</xdr:rowOff>
    </xdr:to>
    <xdr:pic>
      <xdr:nvPicPr>
        <xdr:cNvPr id="3" name="Picture 2">
          <a:extLst>
            <a:ext uri="{FF2B5EF4-FFF2-40B4-BE49-F238E27FC236}">
              <a16:creationId xmlns:a16="http://schemas.microsoft.com/office/drawing/2014/main" id="{87804299-4C8B-74A9-828D-CA22434E6763}"/>
            </a:ext>
          </a:extLst>
        </xdr:cNvPr>
        <xdr:cNvPicPr>
          <a:picLocks noChangeAspect="1"/>
        </xdr:cNvPicPr>
      </xdr:nvPicPr>
      <xdr:blipFill>
        <a:blip xmlns:r="http://schemas.openxmlformats.org/officeDocument/2006/relationships" r:embed="rId1"/>
        <a:stretch>
          <a:fillRect/>
        </a:stretch>
      </xdr:blipFill>
      <xdr:spPr>
        <a:xfrm>
          <a:off x="25446693" y="5594253"/>
          <a:ext cx="9453802" cy="242990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59</xdr:col>
      <xdr:colOff>313393</xdr:colOff>
      <xdr:row>31</xdr:row>
      <xdr:rowOff>95153</xdr:rowOff>
    </xdr:from>
    <xdr:to>
      <xdr:col>79</xdr:col>
      <xdr:colOff>67009</xdr:colOff>
      <xdr:row>44</xdr:row>
      <xdr:rowOff>131108</xdr:rowOff>
    </xdr:to>
    <xdr:pic>
      <xdr:nvPicPr>
        <xdr:cNvPr id="2" name="Picture 1">
          <a:extLst>
            <a:ext uri="{FF2B5EF4-FFF2-40B4-BE49-F238E27FC236}">
              <a16:creationId xmlns:a16="http://schemas.microsoft.com/office/drawing/2014/main" id="{80B64E79-4EA8-41D4-B68A-CFC947A42ECC}"/>
            </a:ext>
          </a:extLst>
        </xdr:cNvPr>
        <xdr:cNvPicPr>
          <a:picLocks noChangeAspect="1"/>
        </xdr:cNvPicPr>
      </xdr:nvPicPr>
      <xdr:blipFill>
        <a:blip xmlns:r="http://schemas.openxmlformats.org/officeDocument/2006/relationships" r:embed="rId1"/>
        <a:stretch>
          <a:fillRect/>
        </a:stretch>
      </xdr:blipFill>
      <xdr:spPr>
        <a:xfrm>
          <a:off x="26151543" y="5448203"/>
          <a:ext cx="9450066" cy="24299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71786</xdr:colOff>
      <xdr:row>3</xdr:row>
      <xdr:rowOff>104913</xdr:rowOff>
    </xdr:from>
    <xdr:to>
      <xdr:col>2</xdr:col>
      <xdr:colOff>563217</xdr:colOff>
      <xdr:row>3</xdr:row>
      <xdr:rowOff>110436</xdr:rowOff>
    </xdr:to>
    <xdr:cxnSp macro="">
      <xdr:nvCxnSpPr>
        <xdr:cNvPr id="3" name="Straight Arrow Connector 2">
          <a:extLst>
            <a:ext uri="{FF2B5EF4-FFF2-40B4-BE49-F238E27FC236}">
              <a16:creationId xmlns:a16="http://schemas.microsoft.com/office/drawing/2014/main" id="{8DE8F631-1FC4-F3C3-2FEC-3C54D0BA9272}"/>
            </a:ext>
          </a:extLst>
        </xdr:cNvPr>
        <xdr:cNvCxnSpPr/>
      </xdr:nvCxnSpPr>
      <xdr:spPr>
        <a:xfrm flipV="1">
          <a:off x="679177" y="651565"/>
          <a:ext cx="2981736" cy="552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60739</xdr:colOff>
      <xdr:row>3</xdr:row>
      <xdr:rowOff>93870</xdr:rowOff>
    </xdr:from>
    <xdr:to>
      <xdr:col>9</xdr:col>
      <xdr:colOff>557696</xdr:colOff>
      <xdr:row>3</xdr:row>
      <xdr:rowOff>104913</xdr:rowOff>
    </xdr:to>
    <xdr:cxnSp macro="">
      <xdr:nvCxnSpPr>
        <xdr:cNvPr id="6" name="Straight Arrow Connector 5">
          <a:extLst>
            <a:ext uri="{FF2B5EF4-FFF2-40B4-BE49-F238E27FC236}">
              <a16:creationId xmlns:a16="http://schemas.microsoft.com/office/drawing/2014/main" id="{EAE7BC3D-8C6B-4030-B940-6F7443B9FD70}"/>
            </a:ext>
          </a:extLst>
        </xdr:cNvPr>
        <xdr:cNvCxnSpPr/>
      </xdr:nvCxnSpPr>
      <xdr:spPr>
        <a:xfrm flipV="1">
          <a:off x="5035826" y="640522"/>
          <a:ext cx="2319131" cy="110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21</xdr:col>
      <xdr:colOff>412749</xdr:colOff>
      <xdr:row>2</xdr:row>
      <xdr:rowOff>158750</xdr:rowOff>
    </xdr:from>
    <xdr:to>
      <xdr:col>40</xdr:col>
      <xdr:colOff>294680</xdr:colOff>
      <xdr:row>30</xdr:row>
      <xdr:rowOff>15875</xdr:rowOff>
    </xdr:to>
    <xdr:pic>
      <xdr:nvPicPr>
        <xdr:cNvPr id="2" name="Picture 1">
          <a:extLst>
            <a:ext uri="{FF2B5EF4-FFF2-40B4-BE49-F238E27FC236}">
              <a16:creationId xmlns:a16="http://schemas.microsoft.com/office/drawing/2014/main" id="{6560C7AC-F856-39F6-0455-9A1BBB865A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8374" y="539750"/>
          <a:ext cx="11343680" cy="619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tg-my.sharepoint.com/personal/culh_duytanrecycling_com/Documents/Desktop/01.%20C&#417;%20c&#7845;u%20th&#224;nh%20ph&#7849;m%20sau%20ph&#226;n%20lo&#7841;i%20-%203%20Tr&#7841;m.xlsx" TargetMode="External"/><Relationship Id="rId1" Type="http://schemas.openxmlformats.org/officeDocument/2006/relationships/externalLinkPath" Target="https://dtg-my.sharepoint.com/personal/culh_duytanrecycling_com/Documents/Desktop/01.%20C&#417;%20c&#7845;u%20th&#224;nh%20ph&#7849;m%20sau%20ph&#226;n%20lo&#7841;i%20-%203%20Tr&#7841;m.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culh/AppData/Local/Temp/MicrosoftEdgeDownloads/35ac35b4-ef3a-4b3b-b6b0-4429c38e398b/01-Bao%20Cao%20Hoat%20Dong%20Kinh%20Doanh%20Tram.xlsx" TargetMode="External"/><Relationship Id="rId2" Type="http://schemas.openxmlformats.org/officeDocument/2006/relationships/externalLinkPath" Target="file:///C:\Users\culh\AppData\Local\Temp\MicrosoftEdgeDownloads\35ac35b4-ef3a-4b3b-b6b0-4429c38e398b\01-Bao%20Cao%20Hoat%20Dong%20Kinh%20Doanh%20Tram.xlsx" TargetMode="External"/><Relationship Id="rId1" Type="http://schemas.openxmlformats.org/officeDocument/2006/relationships/externalLinkPath" Target="/Users/culh/AppData/Local/Temp/MicrosoftEdgeDownloads/35ac35b4-ef3a-4b3b-b6b0-4429c38e398b/01-Bao%20Cao%20Hoat%20Dong%20Kinh%20Doanh%20Tram.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tg-my.sharepoint.com/personal/culh_duytanrecycling_com/Documents/Desktop/01.%20C&#417;%20c&#7845;u%20th&#224;nh%20ph&#7849;m%20sau%20ph&#226;n%20lo&#7841;i%20-%203%20Tr&#7841;m%20nnn.xlsx" TargetMode="External"/><Relationship Id="rId1" Type="http://schemas.openxmlformats.org/officeDocument/2006/relationships/externalLinkPath" Target="https://dtg-my.sharepoint.com/personal/culh_duytanrecycling_com/Documents/Desktop/01.%20C&#417;%20c&#7845;u%20th&#224;nh%20ph&#7849;m%20sau%20ph&#226;n%20lo&#7841;i%20-%203%20Tr&#7841;m%20nn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Chuan%20hoa%20SAP%20Dai%20Loc\Bang%20Tinh%20Settlement%20rule%20BOM%20-%20Routing%20-%20Copy_T3.2026.xlsx" TargetMode="External"/><Relationship Id="rId1" Type="http://schemas.openxmlformats.org/officeDocument/2006/relationships/externalLinkPath" Target="Chuan%20hoa%20SAP%20Dai%20Loc/Bang%20Tinh%20Settlement%20rule%20BOM%20-%20Routing%20-%20Copy_T3.2026.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Gi&#225;%20th&#224;nh%20K&#7871;%20ho&#7841;ch%20th&#225;ng%202026/Th&#225;ng%201/01.%20Gia%20thanh%20k&#7871;%20ho&#7841;ch%20hat%20rPET%20T01.2026%20-%20gi&#7843;m%2040%20USD.xlsx" TargetMode="External"/><Relationship Id="rId2" Type="http://schemas.openxmlformats.org/officeDocument/2006/relationships/externalLinkPath" Target="file:///C:\Data\G&#272;%20T&#224;i%20ch&#237;nh\Cost%20Controlling\Gi&#225;%20th&#224;nh%20K&#7871;%20ho&#7841;ch%20th&#225;ng%202026\Th&#225;ng%201\01.%20Gia%20thanh%20k&#7871;%20ho&#7841;ch%20hat%20rPET%20T01.2026%20-%20gi&#7843;m%2040%20USD.xlsx" TargetMode="External"/><Relationship Id="rId1" Type="http://schemas.openxmlformats.org/officeDocument/2006/relationships/externalLinkPath" Target="/Data/G&#272;%20T&#224;i%20ch&#237;nh/Cost%20Controlling/Gi&#225;%20th&#224;nh%20K&#7871;%20ho&#7841;ch%20th&#225;ng%202026/Th&#225;ng%201/01.%20Gia%20thanh%20k&#7871;%20ho&#7841;ch%20hat%20rPET%20T01.2026%20-%20gi&#7843;m%2040%20US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Copy%20of%20Chi%20phi%20c&#244;ng%20&#273;o&#7841;n%20SX_0_Update%20Nh&#226;m%20Data.xlsx" TargetMode="External"/><Relationship Id="rId1" Type="http://schemas.openxmlformats.org/officeDocument/2006/relationships/externalLinkPath" Target="Copy%20of%20Chi%20phi%20c&#244;ng%20&#273;o&#7841;n%20SX_0_Update%20Nh&#226;m%20Data.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dtg-my.sharepoint.com/personal/culh_duytanrecycling_com/Documents/Du%20lieu%20tinh%20KPI%202026/KPI_Thuc%20hien%202026/Kho&#7843;n%20m&#7909;c%20ph&#237;/KHOAN%20MUC%20PHI-%20T3.xlsx" TargetMode="External"/><Relationship Id="rId1" Type="http://schemas.openxmlformats.org/officeDocument/2006/relationships/externalLinkPath" Target="https://dtg-my.sharepoint.com/personal/culh_duytanrecycling_com/Documents/Du%20lieu%20tinh%20KPI%202026/KPI_Thuc%20hien%202026/Kho&#7843;n%20m&#7909;c%20ph&#237;/KHOAN%20MUC%20PHI-%20T3.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B&#225;o%20c&#225;o%20Consolidate/Ph&#226;n%20t&#237;ch%20l&#7843;i%20g&#7897;p/DTR%20-%20KTQT%20-%20260404%20-%20%20Chi%20ph&#237;%20l&#432;u%20kho%2031.03.26%20(ch&#7889;t).xlsx" TargetMode="External"/><Relationship Id="rId2" Type="http://schemas.openxmlformats.org/officeDocument/2006/relationships/externalLinkPath" Target="file:///C:\Data\G&#272;%20T&#224;i%20ch&#237;nh\B&#225;o%20c&#225;o%20Consolidate\Ph&#226;n%20t&#237;ch%20l&#7843;i%20g&#7897;p\DTR%20-%20KTQT%20-%20260404%20-%20%20Chi%20ph&#237;%20l&#432;u%20kho%2031.03.26%20(ch&#7889;t).xlsx" TargetMode="External"/><Relationship Id="rId1" Type="http://schemas.openxmlformats.org/officeDocument/2006/relationships/externalLinkPath" Target="/Data/G&#272;%20T&#224;i%20ch&#237;nh/B&#225;o%20c&#225;o%20Consolidate/Ph&#226;n%20t&#237;ch%20l&#7843;i%20g&#7897;p/DTR%20-%20KTQT%20-%20260404%20-%20%20Chi%20ph&#237;%20l&#432;u%20kho%2031.03.26%20(ch&#7889;t).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B&#225;o%20CT%20_Model\Gi&#225;%20b&#225;n%20th&#7921;c%20t&#7871;%20Act%202024,2025,YTD0325-.xlsx" TargetMode="External"/><Relationship Id="rId1" Type="http://schemas.openxmlformats.org/officeDocument/2006/relationships/externalLinkPath" Target="B&#225;o%20CT%20_Model/Gi&#225;%20b&#225;n%20th&#7921;c%20t&#7871;%20Act%202024,2025,YTD03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Danh mục"/>
      <sheetName val="Báo cáo &gt;&gt;"/>
      <sheetName val="1. Đại Lộc"/>
      <sheetName val="2. Khánh Nga"/>
      <sheetName val="3. Đồng Lâm"/>
      <sheetName val="4. 3 Trạm"/>
      <sheetName val="5. Giá bán theo cơ cấu (TT) (2)"/>
      <sheetName val="5. Giá bán theo cơ cấu (TT)"/>
      <sheetName val="5. Giá bán theo cơ cấu (BOM)"/>
      <sheetName val="data &gt;&gt;"/>
      <sheetName val="DLOC"/>
      <sheetName val="KNGA"/>
      <sheetName val="DLAM"/>
      <sheetName val="3TRAM"/>
      <sheetName val="check_simpson"/>
      <sheetName val="data"/>
      <sheetName val="data_to_chart"/>
      <sheetName val="config"/>
      <sheetName val="md"/>
    </sheetNames>
    <sheetDataSet>
      <sheetData sheetId="0"/>
      <sheetData sheetId="1"/>
      <sheetData sheetId="2">
        <row r="327">
          <cell r="B327" t="str">
            <v>% Chai B1</v>
          </cell>
          <cell r="O327">
            <v>0.65050165177150054</v>
          </cell>
        </row>
        <row r="328">
          <cell r="B328" t="str">
            <v>% Chai B2.2</v>
          </cell>
          <cell r="O328">
            <v>5.3561787013188056E-3</v>
          </cell>
        </row>
        <row r="329">
          <cell r="B329" t="str">
            <v>% Chai B6.2</v>
          </cell>
          <cell r="O329">
            <v>0.19170632228257908</v>
          </cell>
        </row>
        <row r="334">
          <cell r="O334">
            <v>0.10096034348805652</v>
          </cell>
        </row>
      </sheetData>
      <sheetData sheetId="3">
        <row r="32">
          <cell r="B32" t="str">
            <v>% Chai B1</v>
          </cell>
          <cell r="O32">
            <v>0.52583539606738805</v>
          </cell>
        </row>
        <row r="33">
          <cell r="B33" t="str">
            <v>% Chai B2.2</v>
          </cell>
          <cell r="O33">
            <v>7.8724377212196814E-2</v>
          </cell>
        </row>
        <row r="34">
          <cell r="B34" t="str">
            <v>% Chai B6.2</v>
          </cell>
          <cell r="O34">
            <v>0.23118716545900386</v>
          </cell>
        </row>
        <row r="35">
          <cell r="B35" t="str">
            <v>% Chai B4</v>
          </cell>
          <cell r="O35">
            <v>1.4912633842699981E-2</v>
          </cell>
        </row>
        <row r="36">
          <cell r="B36" t="str">
            <v>% Chai B5</v>
          </cell>
          <cell r="O36">
            <v>1.9802358600751371E-2</v>
          </cell>
        </row>
        <row r="37">
          <cell r="B37" t="str">
            <v>% Nắp</v>
          </cell>
          <cell r="O37">
            <v>3.1786114872826871E-2</v>
          </cell>
        </row>
        <row r="38">
          <cell r="B38" t="str">
            <v>% Chai B7.2</v>
          </cell>
          <cell r="O38">
            <v>1.8427270405582469E-5</v>
          </cell>
        </row>
        <row r="39">
          <cell r="O39">
            <v>9.7733526674727331E-2</v>
          </cell>
        </row>
      </sheetData>
      <sheetData sheetId="4">
        <row r="337">
          <cell r="B337" t="str">
            <v>% Chai B1</v>
          </cell>
          <cell r="O337">
            <v>0.50053442897045786</v>
          </cell>
        </row>
        <row r="338">
          <cell r="B338" t="str">
            <v>% Chai B2.2</v>
          </cell>
          <cell r="O338">
            <v>8.3560339784929882E-2</v>
          </cell>
        </row>
        <row r="339">
          <cell r="B339" t="str">
            <v>% Chai B6.2</v>
          </cell>
          <cell r="O339">
            <v>0.2675725318949379</v>
          </cell>
        </row>
        <row r="340">
          <cell r="B340" t="str">
            <v>% Chai B4</v>
          </cell>
          <cell r="O340">
            <v>1.9139602152341485E-2</v>
          </cell>
        </row>
        <row r="341">
          <cell r="B341" t="str">
            <v>% Chai B5</v>
          </cell>
          <cell r="O341">
            <v>1.0656981591639593E-2</v>
          </cell>
        </row>
        <row r="342">
          <cell r="B342" t="str">
            <v>% Nắp</v>
          </cell>
          <cell r="O342">
            <v>2.9470813123704601E-3</v>
          </cell>
        </row>
        <row r="343">
          <cell r="B343" t="str">
            <v>% Phó sản</v>
          </cell>
          <cell r="O343">
            <v>8.9157794488867737E-3</v>
          </cell>
        </row>
        <row r="344">
          <cell r="O344">
            <v>0.10667325484443603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0-Danh mục"/>
      <sheetName val="Báo cáo ==&gt;"/>
      <sheetName val="1.TH 3 TRAM"/>
      <sheetName val="2.CT 3 TRAM"/>
      <sheetName val="3.CP_TAN"/>
      <sheetName val="4.THONG TIN KHAC"/>
      <sheetName val="5.DAI LOC"/>
      <sheetName val="6.KHANH NGA"/>
      <sheetName val="7.DONG LAM"/>
      <sheetName val="Đại Lộc ==&gt;"/>
      <sheetName val="DLOC KQKD thang"/>
      <sheetName val="DLOC KQKD chi tiet"/>
      <sheetName val="DLOC Thong tin san xuat"/>
      <sheetName val="DLOC chi phi don vi"/>
      <sheetName val="DLOC hieu suat may"/>
      <sheetName val="DLOC mua hang"/>
      <sheetName val="Khánh Nga ==&gt;"/>
      <sheetName val="KNGA KQKD thang"/>
      <sheetName val="KNGA KQKD chi tiet"/>
      <sheetName val="KNGA Thong tin san xuat"/>
      <sheetName val="KNGA chi phi don vi"/>
      <sheetName val="KNGA hieu suat may"/>
      <sheetName val="KNGA mua hang"/>
      <sheetName val="Đồng Lâm ==&gt;"/>
      <sheetName val="DLAM KQKD thang"/>
      <sheetName val="DLAM KQKD chi tiet"/>
      <sheetName val="DLAM Thong tin san xuat"/>
      <sheetName val="DLAM chi phi don vi"/>
      <sheetName val="DLAM hieu suat may"/>
      <sheetName val="DLAM mua hang"/>
      <sheetName val="3 Trạm ==&gt;"/>
      <sheetName val="1-TH 3 TRAM"/>
      <sheetName val="KQKD CT 3 Tram"/>
      <sheetName val="TH 3 TRAM"/>
      <sheetName val="2-CP_TAN"/>
      <sheetName val="2-CP_KG"/>
      <sheetName val="HSM 3TRAM"/>
      <sheetName val="Mua hang 3 Tram"/>
      <sheetName val="TON KHO"/>
      <sheetName val="data ==&gt;"/>
      <sheetName val="data_3Tram"/>
      <sheetName val="data_DLOC"/>
      <sheetName val="data_KNGA"/>
      <sheetName val="data_DLAM"/>
      <sheetName val="config"/>
      <sheetName val="md"/>
      <sheetName val="md_02"/>
    </sheetNames>
    <sheetDataSet>
      <sheetData sheetId="0"/>
      <sheetData sheetId="1"/>
      <sheetData sheetId="2"/>
      <sheetData sheetId="3"/>
      <sheetData sheetId="4">
        <row r="78">
          <cell r="Q78">
            <v>3684.4010838335184</v>
          </cell>
          <cell r="R78">
            <v>2894.8842505347179</v>
          </cell>
          <cell r="S78">
            <v>2609.6553352190908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Danh mục"/>
      <sheetName val="Báo cáo &gt;&gt;"/>
      <sheetName val="1. Đại Lộc"/>
      <sheetName val="2. Khánh Nga"/>
      <sheetName val="3. Đồng Lâm"/>
      <sheetName val="4. 3 Trạm"/>
      <sheetName val="5. So sánh 3 Trạm"/>
      <sheetName val="6. Giá bán theo cơ cấu"/>
      <sheetName val="Bảng tính &gt;&gt;"/>
      <sheetName val="DLOC"/>
      <sheetName val="KNGA"/>
      <sheetName val="DLAM"/>
      <sheetName val="3TRAM"/>
      <sheetName val="data_to_chart"/>
      <sheetName val="2026 &gt;&gt;"/>
      <sheetName val="DLOC_2026"/>
      <sheetName val="KNGA_2026"/>
      <sheetName val="DLAM_2026"/>
      <sheetName val="data &gt;&gt;"/>
      <sheetName val="data_config"/>
      <sheetName val="data_DLOC"/>
      <sheetName val="data_KNGA"/>
      <sheetName val="data_DLAM"/>
      <sheetName val="data_export"/>
      <sheetName val="config"/>
      <sheetName val="md"/>
      <sheetName val="md2"/>
    </sheetNames>
    <sheetDataSet>
      <sheetData sheetId="0"/>
      <sheetData sheetId="1"/>
      <sheetData sheetId="2"/>
      <sheetData sheetId="3"/>
      <sheetData sheetId="4"/>
      <sheetData sheetId="5">
        <row r="89">
          <cell r="S89">
            <v>467032</v>
          </cell>
          <cell r="T89">
            <v>299036</v>
          </cell>
          <cell r="U89">
            <v>848224</v>
          </cell>
          <cell r="V89">
            <v>446897</v>
          </cell>
        </row>
        <row r="90">
          <cell r="S90">
            <v>45769</v>
          </cell>
          <cell r="T90">
            <v>23322</v>
          </cell>
          <cell r="U90">
            <v>88500</v>
          </cell>
          <cell r="V90">
            <v>31654</v>
          </cell>
        </row>
        <row r="91">
          <cell r="S91">
            <v>275166</v>
          </cell>
          <cell r="T91">
            <v>202466</v>
          </cell>
          <cell r="U91">
            <v>526884</v>
          </cell>
          <cell r="V91">
            <v>278043</v>
          </cell>
        </row>
        <row r="92">
          <cell r="S92">
            <v>14995</v>
          </cell>
          <cell r="T92">
            <v>10167</v>
          </cell>
          <cell r="U92">
            <v>28617</v>
          </cell>
          <cell r="V92">
            <v>14779</v>
          </cell>
        </row>
        <row r="93">
          <cell r="S93">
            <v>12807</v>
          </cell>
          <cell r="T93">
            <v>8490</v>
          </cell>
          <cell r="U93">
            <v>22312</v>
          </cell>
          <cell r="V93">
            <v>12733</v>
          </cell>
        </row>
        <row r="94">
          <cell r="S94">
            <v>13231</v>
          </cell>
          <cell r="T94">
            <v>9601</v>
          </cell>
          <cell r="U94">
            <v>28372</v>
          </cell>
          <cell r="V94">
            <v>21393</v>
          </cell>
        </row>
        <row r="95">
          <cell r="S95">
            <v>0</v>
          </cell>
          <cell r="T95">
            <v>0</v>
          </cell>
          <cell r="U95">
            <v>0</v>
          </cell>
          <cell r="V95">
            <v>200.61099999999965</v>
          </cell>
        </row>
        <row r="97">
          <cell r="S97">
            <v>117019</v>
          </cell>
          <cell r="T97">
            <v>77982</v>
          </cell>
          <cell r="U97">
            <v>205626</v>
          </cell>
          <cell r="V97">
            <v>92319.388999999966</v>
          </cell>
        </row>
        <row r="334">
          <cell r="S334">
            <v>0.51133536259282808</v>
          </cell>
          <cell r="T334">
            <v>0.49706416331589559</v>
          </cell>
          <cell r="U334">
            <v>0.50434738700552417</v>
          </cell>
          <cell r="V334">
            <v>0.51736864881993272</v>
          </cell>
        </row>
        <row r="335">
          <cell r="S335">
            <v>6.4970641388642225E-2</v>
          </cell>
          <cell r="T335">
            <v>5.8399136842366708E-2</v>
          </cell>
          <cell r="U335">
            <v>5.5507957307370223E-2</v>
          </cell>
          <cell r="V335">
            <v>4.4495103812786721E-2</v>
          </cell>
        </row>
        <row r="336">
          <cell r="S336">
            <v>0.26768431439746443</v>
          </cell>
          <cell r="T336">
            <v>0.29014887216136792</v>
          </cell>
          <cell r="U336">
            <v>0.27717466249673295</v>
          </cell>
          <cell r="V336">
            <v>0.27679036383741662</v>
          </cell>
        </row>
        <row r="337">
          <cell r="S337">
            <v>1.5890206111695566E-2</v>
          </cell>
          <cell r="T337">
            <v>1.6398176315514271E-2</v>
          </cell>
          <cell r="U337">
            <v>1.571854014390894E-2</v>
          </cell>
          <cell r="V337">
            <v>1.5093887507831869E-2</v>
          </cell>
        </row>
        <row r="338">
          <cell r="S338">
            <v>1.6100854377153202E-2</v>
          </cell>
          <cell r="T338">
            <v>1.5470359223063121E-2</v>
          </cell>
          <cell r="U338">
            <v>1.547886970853728E-2</v>
          </cell>
          <cell r="V338">
            <v>1.5516824853526845E-2</v>
          </cell>
        </row>
        <row r="339">
          <cell r="S339">
            <v>1.5679732296147216E-2</v>
          </cell>
          <cell r="T339">
            <v>1.8909498676781628E-2</v>
          </cell>
          <cell r="U339">
            <v>1.8094122207030449E-2</v>
          </cell>
          <cell r="V339">
            <v>2.3950693100032536E-2</v>
          </cell>
        </row>
        <row r="341">
          <cell r="S341">
            <v>3.8483649987539918E-3</v>
          </cell>
          <cell r="T341">
            <v>4.0771833612101467E-3</v>
          </cell>
          <cell r="U341">
            <v>7.6438511554141868E-3</v>
          </cell>
          <cell r="V341">
            <v>4.2130059126117168E-3</v>
          </cell>
        </row>
        <row r="342">
          <cell r="S342">
            <v>0.10316976357414369</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ính sách mua hàng"/>
      <sheetName val="GAP_14500"/>
      <sheetName val="GAP_15000"/>
      <sheetName val="BOM"/>
      <sheetName val="ROUTING"/>
      <sheetName val="BOM (2.4)"/>
      <sheetName val="BOM (Long)"/>
      <sheetName val="BOM (3NS26)"/>
      <sheetName val="BOM (DLoc)"/>
      <sheetName val="BOM (KN)"/>
      <sheetName val="BOM (Dlam)"/>
      <sheetName val="Bản giá mua từ trạm 02.26"/>
      <sheetName val="Bản giá mua từ trạm 03.26"/>
    </sheetNames>
    <sheetDataSet>
      <sheetData sheetId="0" refreshError="1"/>
      <sheetData sheetId="1" refreshError="1"/>
      <sheetData sheetId="2" refreshError="1"/>
      <sheetData sheetId="3" refreshError="1"/>
      <sheetData sheetId="4" refreshError="1"/>
      <sheetData sheetId="5" refreshError="1"/>
      <sheetData sheetId="6">
        <row r="7">
          <cell r="P7">
            <v>11536.63177925785</v>
          </cell>
        </row>
        <row r="9">
          <cell r="P9">
            <v>10152.23596574691</v>
          </cell>
        </row>
        <row r="10">
          <cell r="P10">
            <v>9229.3054234062802</v>
          </cell>
        </row>
        <row r="11">
          <cell r="P11">
            <v>9229.3054234062802</v>
          </cell>
        </row>
        <row r="13">
          <cell r="P13">
            <v>10152.235965746908</v>
          </cell>
        </row>
        <row r="14">
          <cell r="P14">
            <v>5537.5832540437677</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HÔNG TIN CHUNG"/>
      <sheetName val="Danh mục"/>
      <sheetName val="Giá thành"/>
      <sheetName val="Giá thành (2)"/>
      <sheetName val="Bìa"/>
      <sheetName val="BC Giá bán_ A Thạch"/>
      <sheetName val="TH Giá bán"/>
      <sheetName val="CP Công đoạn"/>
      <sheetName val="1.1.Tính giá NVL"/>
      <sheetName val="CP Công đoạn (2)"/>
      <sheetName val="CP Công đoạn (3)"/>
      <sheetName val="1. Đơn giá NVL"/>
      <sheetName val="2. Hiệu suất máy"/>
      <sheetName val="3. Tỷ lệ hao hụt"/>
      <sheetName val="4. Chi phí"/>
      <sheetName val="4.1 Data chi phí"/>
      <sheetName val="4.2 Trừ tiền thuê máy"/>
      <sheetName val="4.2 Phân bổ khấu hao"/>
      <sheetName val="5. Tiêu thức phân bổ"/>
      <sheetName val="Từ chai ra hạt WSS01-iSS01 (2)"/>
      <sheetName val="10. 100% chai-&gt;hạt WSS01-iSS01"/>
      <sheetName val="11. 100% chai-&gt;hạt iSS01084G"/>
      <sheetName val="10-11. Chart 100% chai"/>
      <sheetName val="12. 100% vảy-&gt;hạt WSS01-iSS01"/>
      <sheetName val="13. 100% vảy-&gt;hạt iSS01084G"/>
      <sheetName val="12-13. Chart_100% vảy"/>
      <sheetName val="14. 50%chai+50%vảy-&gt;WSS01-iSS01"/>
      <sheetName val="15. 50%chai+50%vảy-&gt;ISS01084G"/>
      <sheetName val="14-15. Chart_50% chai + 50% vảy"/>
      <sheetName val="14-15. Chart_50chai + 50vảy B0"/>
      <sheetName val="16. Hạt ISS01L"/>
      <sheetName val="16.1 Rửa vảy B7"/>
      <sheetName val="16. Chart_ISS01L"/>
      <sheetName val="17. Hạt WSS01G-L"/>
      <sheetName val="17. Hạt WSS01"/>
      <sheetName val="18. Hạt WSS01L"/>
      <sheetName val="18. Vảy B5"/>
      <sheetName val="19. ISS01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6">
          <cell r="CJ6">
            <v>2321.0309940637335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21">
          <cell r="I21">
            <v>2321.0309940637335</v>
          </cell>
        </row>
        <row r="37">
          <cell r="I37">
            <v>2395.6123104173425</v>
          </cell>
        </row>
      </sheetData>
      <sheetData sheetId="21">
        <row r="83">
          <cell r="I83">
            <v>2331.8861025668875</v>
          </cell>
        </row>
      </sheetData>
      <sheetData sheetId="22" refreshError="1"/>
      <sheetData sheetId="23">
        <row r="10">
          <cell r="I10">
            <v>1636.9775154230633</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ow r="9">
          <cell r="I9">
            <v>7971.0144927536239</v>
          </cell>
        </row>
        <row r="10">
          <cell r="I10">
            <v>84.555434657824762</v>
          </cell>
        </row>
        <row r="48">
          <cell r="I48">
            <v>14341.250211551116</v>
          </cell>
        </row>
      </sheetData>
      <sheetData sheetId="32" refreshError="1"/>
      <sheetData sheetId="33" refreshError="1"/>
      <sheetData sheetId="34" refreshError="1"/>
      <sheetData sheetId="35" refreshError="1"/>
      <sheetData sheetId="36">
        <row r="10">
          <cell r="I10">
            <v>411.68039840493083</v>
          </cell>
        </row>
      </sheetData>
      <sheetData sheetId="3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
      <sheetName val="TH (2)"/>
      <sheetName val="Băm "/>
      <sheetName val="Rửa"/>
      <sheetName val="Rửa -Vảy cty"/>
      <sheetName val="Rửa vảy mua ngoài"/>
      <sheetName val="Tạo hạt"/>
      <sheetName val="Nâng IV"/>
      <sheetName val="Sheet6"/>
    </sheetNames>
    <sheetDataSet>
      <sheetData sheetId="0">
        <row r="6">
          <cell r="O6">
            <v>1864.9499828812825</v>
          </cell>
          <cell r="Q6">
            <v>3240.9192930660097</v>
          </cell>
        </row>
        <row r="7">
          <cell r="O7">
            <v>1273.8558498087386</v>
          </cell>
          <cell r="Q7">
            <v>2013.5603276057439</v>
          </cell>
        </row>
        <row r="10">
          <cell r="O10">
            <v>2000.939404729972</v>
          </cell>
          <cell r="Q10">
            <v>2796.8565141477497</v>
          </cell>
        </row>
        <row r="11">
          <cell r="O11">
            <v>1376.0623421472308</v>
          </cell>
          <cell r="Q11">
            <v>2064.9528218457522</v>
          </cell>
        </row>
      </sheetData>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ụp hình"/>
      <sheetName val="Chụp hình-2"/>
      <sheetName val="Phương Phương"/>
      <sheetName val="18 KMP- Tháng (Tâm)"/>
      <sheetName val="18 KMP- Tháng (Tâm) (3)"/>
      <sheetName val="Chart - Tâm"/>
      <sheetName val="KMP- PET"/>
      <sheetName val="KMP- HDPE"/>
      <sheetName val="18 KMP- Tháng"/>
      <sheetName val="48 KMP -Tháng"/>
      <sheetName val="Thuế TNDN"/>
    </sheetNames>
    <sheetDataSet>
      <sheetData sheetId="0">
        <row r="37">
          <cell r="L37">
            <v>0.69131808646801118</v>
          </cell>
        </row>
        <row r="38">
          <cell r="L38">
            <v>0.16237096173973625</v>
          </cell>
        </row>
        <row r="39">
          <cell r="L39">
            <v>0.86899982645691332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hân tích-Nhâm"/>
      <sheetName val="DThu"/>
      <sheetName val="KE30"/>
      <sheetName val="ZCOR0019-02.25"/>
      <sheetName val="ZCOR0019-03.25"/>
      <sheetName val="ZCOR0019-04.25"/>
      <sheetName val="MB5B-20.03"/>
      <sheetName val="HTK CLC-10.01"/>
      <sheetName val="HTK CLC-24.03"/>
      <sheetName val="HTK CLC-31.03"/>
      <sheetName val="HTK CLC-15.05"/>
      <sheetName val="ZCOR0019-05.25"/>
      <sheetName val="ZCOR0019-03.26"/>
      <sheetName val="HTK CLC-24.06"/>
      <sheetName val="HTK CLC-17.07"/>
      <sheetName val="HTK CLC-31.03.26"/>
      <sheetName val="HTK CLC-28.03"/>
      <sheetName val="HTK CLC-28.02.26"/>
      <sheetName val="Vảy"/>
      <sheetName val="Du lieu bieu do"/>
      <sheetName val="Dinh muc"/>
      <sheetName val="Bieu do"/>
      <sheetName val="Báo cáo 24.06"/>
      <sheetName val="PET-HD-PP"/>
      <sheetName val="Báo cáo 17.07"/>
      <sheetName val="Báo cáo 31.03"/>
      <sheetName val="Assumption"/>
      <sheetName val="Result"/>
      <sheetName val="SL-HTK-Gom mã"/>
      <sheetName val="GT-HTK-Gom mã"/>
      <sheetName val="GT-HTK-13M-Gom mã "/>
      <sheetName val="GVHB"/>
      <sheetName val="DOI"/>
      <sheetName val="|"/>
      <sheetName val="Ghi chú"/>
      <sheetName val="PV-KE30"/>
      <sheetName val="GL_HTK"/>
      <sheetName val="SL-HTK"/>
      <sheetName val="GT-HTK"/>
      <sheetName val="GT-HTK-13M"/>
      <sheetName val="ĐG-HTK"/>
      <sheetName val="||"/>
      <sheetName val="Nháp"/>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5">
          <cell r="AZ25">
            <v>721384</v>
          </cell>
          <cell r="BA25">
            <v>0.12892607275073253</v>
          </cell>
        </row>
        <row r="26">
          <cell r="AZ26">
            <v>441079.35</v>
          </cell>
          <cell r="BA26">
            <v>7.882989970244117E-2</v>
          </cell>
        </row>
        <row r="27">
          <cell r="AZ27">
            <v>1306522.75</v>
          </cell>
          <cell r="BA27">
            <v>0.23350233317759631</v>
          </cell>
        </row>
        <row r="28">
          <cell r="AZ28">
            <v>1696930.8</v>
          </cell>
          <cell r="BA28">
            <v>0.30327623536668236</v>
          </cell>
        </row>
        <row r="66">
          <cell r="AZ66">
            <v>449148.6</v>
          </cell>
          <cell r="BA66">
            <v>8.0272039689665509E-2</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ata-Cũ"/>
      <sheetName val="Tóm tắt"/>
      <sheetName val="Chart"/>
    </sheetNames>
    <sheetDataSet>
      <sheetData sheetId="0"/>
      <sheetData sheetId="1"/>
      <sheetData sheetId="2"/>
      <sheetData sheetId="3">
        <row r="4">
          <cell r="AV4">
            <v>2666400</v>
          </cell>
        </row>
        <row r="5">
          <cell r="AV5">
            <v>1687500</v>
          </cell>
        </row>
        <row r="6">
          <cell r="AV6">
            <v>8529600</v>
          </cell>
        </row>
        <row r="7">
          <cell r="AV7">
            <v>1246450</v>
          </cell>
        </row>
        <row r="8">
          <cell r="AV8">
            <v>902000</v>
          </cell>
        </row>
        <row r="9">
          <cell r="AV9">
            <v>681800</v>
          </cell>
        </row>
        <row r="10">
          <cell r="AV10">
            <v>660000</v>
          </cell>
        </row>
        <row r="11">
          <cell r="AV11">
            <v>155600</v>
          </cell>
        </row>
      </sheetData>
    </sheetDataSet>
  </externalBook>
</externalLink>
</file>

<file path=xl/persons/person.xml><?xml version="1.0" encoding="utf-8"?>
<personList xmlns="http://schemas.microsoft.com/office/spreadsheetml/2018/threadedcomments" xmlns:x="http://schemas.openxmlformats.org/spreadsheetml/2006/main">
  <person displayName="Cư, Lê Hoành" id="{DD614513-59EA-458A-9CE0-D0E3FC9DA721}" userId="S::CuLH@duytanrecycling.com::8040f1d9-fc08-4340-919f-e31835b096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C7" dT="2026-01-28T15:55:49.68" personId="{00000000-0000-0000-0000-000000000000}" id="{4D2BEC0C-6EF1-43DE-9358-5C72DFA0952B}">
    <text>B1.2</text>
  </threadedComment>
</ThreadedComments>
</file>

<file path=xl/threadedComments/threadedComment2.xml><?xml version="1.0" encoding="utf-8"?>
<ThreadedComments xmlns="http://schemas.microsoft.com/office/spreadsheetml/2018/threadedcomments" xmlns:x="http://schemas.openxmlformats.org/spreadsheetml/2006/main">
  <threadedComment ref="BB15" dT="2026-04-18T08:07:35.71" personId="{DD614513-59EA-458A-9CE0-D0E3FC9DA721}" id="{E5B21380-B344-465F-9A22-6D283F722CC0}">
    <text>Xem xét gán NBV như thế nào khi phát sinh hàng PL?</text>
  </threadedComment>
  <threadedComment ref="BS41" dT="2026-04-20T07:59:28.03" personId="{DD614513-59EA-458A-9CE0-D0E3FC9DA721}" id="{430DC1FF-2453-4B1B-8AE8-44BDF87209F2}">
    <text>Chạy máy YPET</text>
  </threadedComment>
  <threadedComment ref="BB194" dT="2026-04-18T08:06:41.45" personId="{DD614513-59EA-458A-9CE0-D0E3FC9DA721}" id="{79A89EE3-AF88-46AC-B889-AA8B4ECC1797}">
    <text xml:space="preserve">Nếu chĩ tạo ra 1 sp thì gán NBV =1
</text>
  </threadedComment>
  <threadedComment ref="BB216" dT="2026-04-18T08:06:21.87" personId="{DD614513-59EA-458A-9CE0-D0E3FC9DA721}" id="{5F0FD47F-2154-4DA6-BDD9-2877E7411820}">
    <text>Nếu chĩ tạo ra 1 sp thì gán NBV =1</text>
  </threadedComment>
  <threadedComment ref="BB237" dT="2026-04-18T08:06:41.45" personId="{DD614513-59EA-458A-9CE0-D0E3FC9DA721}" id="{E35E6E2C-7F5D-4315-8162-631466E0D1A9}">
    <text xml:space="preserve">Nếu chĩ tạo ra 1 sp thì gán NBV =1
</text>
  </threadedComment>
</ThreadedComments>
</file>

<file path=xl/threadedComments/threadedComment3.xml><?xml version="1.0" encoding="utf-8"?>
<ThreadedComments xmlns="http://schemas.microsoft.com/office/spreadsheetml/2018/threadedcomments" xmlns:x="http://schemas.openxmlformats.org/spreadsheetml/2006/main">
  <threadedComment ref="EL4" dT="2026-05-07T04:20:22.61" personId="{DD614513-59EA-458A-9CE0-D0E3FC9DA721}" id="{29864EA2-964D-4363-AF28-96016D8974CE}">
    <text>Theo dữ liệu tính GT KH _Ngành PET</text>
  </threadedComment>
  <threadedComment ref="EL6" dT="2026-05-07T04:20:45.64" personId="{DD614513-59EA-458A-9CE0-D0E3FC9DA721}" id="{3237BE16-5289-479B-B08D-272D9E9E05CC}">
    <text>Theo thống kê và báo cáo chi phí tấn thực tế-Cả 3 ngành</text>
  </threadedComment>
  <threadedComment ref="BB15" dT="2026-04-18T08:07:35.71" personId="{DD614513-59EA-458A-9CE0-D0E3FC9DA721}" id="{0DAFFAED-BD02-49D6-B993-AFDB0D57D1CF}">
    <text>Xem xét gán NBV như thế nào khi phát sinh hàng PL?</text>
  </threadedComment>
  <threadedComment ref="DP43" dT="2026-04-20T07:59:28.03" personId="{DD614513-59EA-458A-9CE0-D0E3FC9DA721}" id="{F6785D6C-B37F-45D5-8E7A-9DE24362549D}">
    <text>Chạy máy YPET</text>
  </threadedComment>
  <threadedComment ref="BB211" dT="2026-04-18T08:06:41.45" personId="{DD614513-59EA-458A-9CE0-D0E3FC9DA721}" id="{206B1CCA-0348-4478-B46D-9EDAC8CE93D4}">
    <text xml:space="preserve">Nếu chĩ tạo ra 1 sp thì gán NBV =1
</text>
  </threadedComment>
  <threadedComment ref="BB226" dT="2026-04-18T08:06:21.87" personId="{DD614513-59EA-458A-9CE0-D0E3FC9DA721}" id="{8E0C2894-89FE-4DCA-B78F-554FBCC2E685}">
    <text>Nếu chĩ tạo ra 1 sp thì gán NBV =1</text>
  </threadedComment>
  <threadedComment ref="BB242" dT="2026-04-18T08:06:41.45" personId="{DD614513-59EA-458A-9CE0-D0E3FC9DA721}" id="{80984C3F-DE23-4AC3-BD50-A280DAB4A358}">
    <text xml:space="preserve">Nếu chĩ tạo ra 1 sp thì gán NBV =1
</text>
  </threadedComment>
  <threadedComment ref="BB258" dT="2026-04-18T08:06:21.87" personId="{DD614513-59EA-458A-9CE0-D0E3FC9DA721}" id="{F1AB0345-3FCE-4BCD-8B94-CFD66B2D1D05}">
    <text>Nếu chĩ tạo ra 1 sp thì gán NBV =1</text>
  </threadedComment>
  <threadedComment ref="BB275" dT="2026-04-18T08:06:41.45" personId="{DD614513-59EA-458A-9CE0-D0E3FC9DA721}" id="{06274102-4C9F-44BC-A03E-1725A919625F}">
    <text xml:space="preserve">Nếu chĩ tạo ra 1 sp thì gán NBV =1
</text>
  </threadedComment>
  <threadedComment ref="BB306" dT="2026-04-18T08:06:41.45" personId="{DD614513-59EA-458A-9CE0-D0E3FC9DA721}" id="{84CA91DE-484D-4CD7-94D3-CF1A0D50BAB3}">
    <text xml:space="preserve">Nếu chĩ tạo ra 1 sp thì gán NBV =1
</text>
  </threadedComment>
  <threadedComment ref="BB321" dT="2026-04-18T08:06:41.45" personId="{DD614513-59EA-458A-9CE0-D0E3FC9DA721}" id="{9D775091-5872-410D-93B1-C0D492ED8A0F}">
    <text xml:space="preserve">Nếu chĩ tạo ra 1 sp thì gán NBV =1
</text>
  </threadedComment>
  <threadedComment ref="BB338" dT="2026-04-18T08:06:41.45" personId="{DD614513-59EA-458A-9CE0-D0E3FC9DA721}" id="{3C977F00-FD30-4E6F-8462-C8C9AD265A75}">
    <text xml:space="preserve">Nếu chĩ tạo ra 1 sp thì gán NBV =1
</text>
  </threadedComment>
  <threadedComment ref="BB355" dT="2026-04-18T08:06:41.45" personId="{DD614513-59EA-458A-9CE0-D0E3FC9DA721}" id="{E599F224-C854-4D57-A02D-3DEFED07C03A}">
    <text xml:space="preserve">Nếu chĩ tạo ra 1 sp thì gán NBV =1
</text>
  </threadedComment>
  <threadedComment ref="BB372" dT="2026-04-18T08:06:41.45" personId="{DD614513-59EA-458A-9CE0-D0E3FC9DA721}" id="{7A22EE61-D2C1-4682-912B-F6CD7F242581}">
    <text xml:space="preserve">Nếu chĩ tạo ra 1 sp thì gán NBV =1
</text>
  </threadedComment>
  <threadedComment ref="BB388" dT="2026-04-18T08:06:41.45" personId="{DD614513-59EA-458A-9CE0-D0E3FC9DA721}" id="{707D2225-F01B-43F8-BD7A-2F662AE30DF4}">
    <text xml:space="preserve">Nếu chĩ tạo ra 1 sp thì gán NBV =1
</text>
  </threadedComment>
</ThreadedComments>
</file>

<file path=xl/threadedComments/threadedComment4.xml><?xml version="1.0" encoding="utf-8"?>
<ThreadedComments xmlns="http://schemas.microsoft.com/office/spreadsheetml/2018/threadedcomments" xmlns:x="http://schemas.openxmlformats.org/spreadsheetml/2006/main">
  <threadedComment ref="AN1" dT="2026-03-05T04:34:06.74" personId="{DD614513-59EA-458A-9CE0-D0E3FC9DA721}" id="{2351B217-16D6-458A-A3F1-D5A5C3699F68}">
    <text>CF Hao hụt chai vảy : 1.250</text>
  </threadedComment>
  <threadedComment ref="AS1" dT="2026-03-05T05:03:11.97" personId="{DD614513-59EA-458A-9CE0-D0E3FC9DA721}" id="{0F0D71B3-E502-4A1F-A7AA-9BE82400AE3D}">
    <text>Giá mua tuần 11.t3.2026: 8.333</text>
  </threadedComment>
  <threadedComment ref="AM2" dT="2026-03-05T04:39:32.33" personId="{DD614513-59EA-458A-9CE0-D0E3FC9DA721}" id="{22A75346-901B-47DE-B494-684903A66BF5}">
    <text>Vảy mua ngoài 16.000</text>
  </threadedComment>
  <threadedComment ref="AN2" dT="2026-03-05T04:40:26.11" personId="{DD614513-59EA-458A-9CE0-D0E3FC9DA721}" id="{8B267FAD-B48F-41D1-9A82-729677361E5C}">
    <text xml:space="preserve">CF Hao hụt chai- vảy: 0 
CF rữa tách kim loại: 1.637 </text>
  </threadedComment>
  <threadedComment ref="AN3" dT="2026-03-05T04:34:14.47" personId="{DD614513-59EA-458A-9CE0-D0E3FC9DA721}" id="{827C0572-0322-4994-80FF-FF017C88DA5D}">
    <text>CFSX: 4.717 (sx vảy từ chai)
CF Băm chai=&gt; vảy : 2.321
CF rữa tách kim loại: 2.396 
CFSX : Vảy từ mua vảy ngoài 1.637
CL: 3.080</text>
  </threadedComment>
</ThreadedComments>
</file>

<file path=xl/threadedComments/threadedComment5.xml><?xml version="1.0" encoding="utf-8"?>
<ThreadedComments xmlns="http://schemas.microsoft.com/office/spreadsheetml/2018/threadedcomments" xmlns:x="http://schemas.openxmlformats.org/spreadsheetml/2006/main">
  <threadedComment ref="X1" dT="2026-03-05T04:34:06.74" personId="{DD614513-59EA-458A-9CE0-D0E3FC9DA721}" id="{1493C8D0-A250-46C4-9457-4EA7145ABFE2}">
    <text>CF Hao hụt chai vảy : 1.250</text>
  </threadedComment>
  <threadedComment ref="AC1" dT="2026-03-05T05:03:11.97" personId="{DD614513-59EA-458A-9CE0-D0E3FC9DA721}" id="{458C66BD-50EC-47DE-8066-12A96B654326}">
    <text>Giá mua tuần 11.t3.2026: 8.333</text>
  </threadedComment>
  <threadedComment ref="W2" dT="2026-03-05T04:39:32.33" personId="{DD614513-59EA-458A-9CE0-D0E3FC9DA721}" id="{2800527E-DC1B-468C-A936-17AB9194AE63}">
    <text>Vảy mua ngoài 16.000</text>
  </threadedComment>
  <threadedComment ref="X2" dT="2026-03-05T04:40:26.11" personId="{DD614513-59EA-458A-9CE0-D0E3FC9DA721}" id="{0B4A1F93-539A-41A0-A224-6ED109BF0B6B}">
    <text xml:space="preserve">CF Hao hụt chai- vảy: 0 
CF rữa tách kim loại: 1.637 </text>
  </threadedComment>
  <threadedComment ref="BI2" dT="2026-04-23T15:18:28.54" personId="{DD614513-59EA-458A-9CE0-D0E3FC9DA721}" id="{D17812C2-A378-4EE2-AF61-AB21C7203EFE}">
    <text>Giá tháng 5 :silde 1033</text>
  </threadedComment>
  <threadedComment ref="CJ2" dT="2026-04-20T02:32:56.41" personId="{DD614513-59EA-458A-9CE0-D0E3FC9DA721}" id="{91F8E64B-2205-4701-9785-22CA779F957E}">
    <text>Giá file KTQT</text>
  </threadedComment>
  <threadedComment ref="X3" dT="2026-03-05T04:34:14.47" personId="{DD614513-59EA-458A-9CE0-D0E3FC9DA721}" id="{5453A160-B375-4183-BFEE-AB9DFBB4377C}">
    <text>CFSX: 4.717 (sx vảy từ chai)
CF Băm chai=&gt; vảy : 2.321
CF rữa tách kim loại: 2.396 
CFSX : Vảy từ mua vảy ngoài 1.637
CL: 3.080</text>
  </threadedComment>
  <threadedComment ref="BI4" dT="2026-04-23T13:10:50.64" personId="{DD614513-59EA-458A-9CE0-D0E3FC9DA721}" id="{9C7C3CD2-BACD-472D-9D1F-837518BDE8E3}">
    <text>Giá tháng 5 : Slide 5: W01g 1012 diff 60</text>
  </threadedComment>
  <threadedComment ref="BN5" dT="2026-04-23T09:24:32.69" personId="{DD614513-59EA-458A-9CE0-D0E3FC9DA721}" id="{ED591AF0-7D03-4A65-9157-9570A500D0BB}">
    <text>IV 0.76</text>
  </threadedComment>
  <threadedComment ref="AM10" dT="2026-04-23T04:25:22.97" personId="{DD614513-59EA-458A-9CE0-D0E3FC9DA721}" id="{86AC77DA-84D7-4B9A-9937-DF6B8D663730}">
    <text>Hảo cần Check lại -BOM hiện đang dùng vảy Mix B6.2~89%, B5~11%
=&gt; Dư B6.2</text>
  </threadedComment>
  <threadedComment ref="BZ10" dT="2026-04-21T07:25:12.95" personId="{DD614513-59EA-458A-9CE0-D0E3FC9DA721}" id="{C3AAA03B-EA29-49AF-93B4-828D34704635}">
    <text>Check %LNST</text>
  </threadedComment>
  <threadedComment ref="BI12" dT="2026-04-21T07:01:13.55" personId="{DD614513-59EA-458A-9CE0-D0E3FC9DA721}" id="{48C32081-3A72-474D-B6BF-CF6EF74346FF}">
    <text>Báo cáo giá thành tháng 3, Tâm bq3 tháng ~998USD/tấn; CPQLBHTC~144USD/T</text>
  </threadedComment>
  <threadedComment ref="BC37" dT="2026-04-03T09:47:28.36" personId="{DD614513-59EA-458A-9CE0-D0E3FC9DA721}" id="{297E2849-6910-492E-B6C4-88E62DFAAD8D}">
    <text>Vảy nắp HD ép</text>
  </threadedComment>
</ThreadedComments>
</file>

<file path=xl/threadedComments/threadedComment6.xml><?xml version="1.0" encoding="utf-8"?>
<ThreadedComments xmlns="http://schemas.microsoft.com/office/spreadsheetml/2018/threadedcomments" xmlns:x="http://schemas.openxmlformats.org/spreadsheetml/2006/main">
  <threadedComment ref="X1" dT="2026-03-05T04:34:06.74" personId="{DD614513-59EA-458A-9CE0-D0E3FC9DA721}" id="{8064FE97-EACF-4A1A-A887-8277724DDE80}">
    <text>CF Hao hụt chai vảy : 1.250</text>
  </threadedComment>
  <threadedComment ref="AC1" dT="2026-03-05T05:03:11.97" personId="{DD614513-59EA-458A-9CE0-D0E3FC9DA721}" id="{208E280E-34F7-4484-B208-96087272936A}">
    <text>Giá mua tuần 11.t3.2026: 8.333</text>
  </threadedComment>
  <threadedComment ref="AK1" dT="2026-04-27T14:04:35.34" personId="{DD614513-59EA-458A-9CE0-D0E3FC9DA721}" id="{5E4BB06F-AD84-4B69-837E-2CCA1979EFBC}">
    <text>Nếu mua ngoài vậy cân bằng SL dư cảu B1 ? Hay dùng nhiều B1 làm giá thành tăng</text>
  </threadedComment>
  <threadedComment ref="W2" dT="2026-03-05T04:39:32.33" personId="{DD614513-59EA-458A-9CE0-D0E3FC9DA721}" id="{B75802E9-32F9-46BC-9F43-2FE126EA830D}">
    <text>Vảy mua ngoài 16.000</text>
  </threadedComment>
  <threadedComment ref="X2" dT="2026-03-05T04:40:26.11" personId="{DD614513-59EA-458A-9CE0-D0E3FC9DA721}" id="{B1143B78-52A1-4669-910E-53464A311404}">
    <text xml:space="preserve">CF Hao hụt chai- vảy: 0 
CF rữa tách kim loại: 1.637 </text>
  </threadedComment>
  <threadedComment ref="BI2" dT="2026-04-23T15:18:28.54" personId="{DD614513-59EA-458A-9CE0-D0E3FC9DA721}" id="{C42B29F1-E519-48BA-B032-CA74611B25CD}">
    <text>Giá tháng 5 :silde 1033</text>
  </threadedComment>
  <threadedComment ref="CN2" dT="2026-04-20T02:32:56.41" personId="{DD614513-59EA-458A-9CE0-D0E3FC9DA721}" id="{08D87B1E-89B9-41EF-8622-A7AA2BCF630E}">
    <text>Giá file KTQT</text>
  </threadedComment>
  <threadedComment ref="DL2" dT="2026-04-20T02:32:56.41" personId="{DD614513-59EA-458A-9CE0-D0E3FC9DA721}" id="{3FC1D0C0-6DAD-467E-913A-CC340CDA1F46}">
    <text>Giá file KTQT</text>
  </threadedComment>
  <threadedComment ref="X3" dT="2026-03-05T04:34:14.47" personId="{DD614513-59EA-458A-9CE0-D0E3FC9DA721}" id="{4417D15B-3C57-4530-B02F-907BE69A1C02}">
    <text>CFSX: 4.717 (sx vảy từ chai)
CF Băm chai=&gt; vảy : 2.321
CF rữa tách kim loại: 2.396 
CFSX : Vảy từ mua vảy ngoài 1.637
CL: 3.080</text>
  </threadedComment>
  <threadedComment ref="BI4" dT="2026-04-23T13:10:50.64" personId="{DD614513-59EA-458A-9CE0-D0E3FC9DA721}" id="{92186AF8-2746-4175-A1A7-325336B5025E}">
    <text>Trình giá giá tháng 5 : Slide 7: W01g 1012 diff 17</text>
  </threadedComment>
  <threadedComment ref="BN5" dT="2026-04-23T09:24:32.69" personId="{DD614513-59EA-458A-9CE0-D0E3FC9DA721}" id="{E95CB83B-3CCE-48CD-A68E-924378EC76D0}">
    <text>IV 0.76</text>
  </threadedComment>
  <threadedComment ref="CX5" dT="2026-04-23T09:24:32.69" personId="{DD614513-59EA-458A-9CE0-D0E3FC9DA721}" id="{D119A275-4B0D-48AD-93B3-B07A95724303}">
    <text>IV 0.76</text>
  </threadedComment>
  <threadedComment ref="AM10" dT="2026-04-23T04:25:22.97" personId="{DD614513-59EA-458A-9CE0-D0E3FC9DA721}" id="{F44EB845-9841-48D8-AD82-9EC37B8393C8}">
    <text>Hảo cần Check lại -BOM hiện đang dùng vảy Mix B6.2~89%, B5~11%
=&gt; Dư B6.2</text>
  </threadedComment>
  <threadedComment ref="CD10" dT="2026-04-21T07:25:12.95" personId="{DD614513-59EA-458A-9CE0-D0E3FC9DA721}" id="{072C248E-E00D-4648-9B53-C7DBA7D950B8}">
    <text>Check %LNST</text>
  </threadedComment>
  <threadedComment ref="BI12" dT="2026-04-21T07:01:13.55" personId="{DD614513-59EA-458A-9CE0-D0E3FC9DA721}" id="{E3F4553C-3D88-487A-9062-4FACD74E7DAE}">
    <text>Báo cáo giá thành tháng 3, Tâm bq3 tháng ~998USD/tấn; CPQLBHTC~144USD/T</text>
  </threadedComment>
  <threadedComment ref="BC37" dT="2026-04-03T09:47:28.36" personId="{DD614513-59EA-458A-9CE0-D0E3FC9DA721}" id="{1D5958A4-8879-40CB-B7AC-5CBB2BBEACA0}">
    <text>Vảy nắp HD ép</text>
  </threadedComment>
</ThreadedComments>
</file>

<file path=xl/threadedComments/threadedComment7.xml><?xml version="1.0" encoding="utf-8"?>
<ThreadedComments xmlns="http://schemas.microsoft.com/office/spreadsheetml/2018/threadedcomments" xmlns:x="http://schemas.openxmlformats.org/spreadsheetml/2006/main">
  <threadedComment ref="X1" dT="2026-03-05T04:34:06.74" personId="{DD614513-59EA-458A-9CE0-D0E3FC9DA721}" id="{AE6A4A60-B1AC-4B1D-A5F1-0BEFC4C578E1}">
    <text>CF Hao hụt chai vảy : 1.250</text>
  </threadedComment>
  <threadedComment ref="AC1" dT="2026-03-05T05:03:11.97" personId="{DD614513-59EA-458A-9CE0-D0E3FC9DA721}" id="{9624C44C-782C-4708-8BB1-6633AFA41D27}">
    <text>Giá mua tuần 11.t3.2026: 8.333</text>
  </threadedComment>
  <threadedComment ref="W2" dT="2026-03-05T04:39:32.33" personId="{DD614513-59EA-458A-9CE0-D0E3FC9DA721}" id="{CAA31876-D9DE-48C7-B2B0-A1A6DBD5584F}">
    <text>Vảy mua ngoài 16.000</text>
  </threadedComment>
  <threadedComment ref="X2" dT="2026-03-05T04:40:26.11" personId="{DD614513-59EA-458A-9CE0-D0E3FC9DA721}" id="{F98FD181-F889-4732-8507-820D48CE45C8}">
    <text xml:space="preserve">CF Hao hụt chai- vảy: 0 
CF rữa tách kim loại: 1.637 </text>
  </threadedComment>
  <threadedComment ref="X3" dT="2026-03-05T04:34:14.47" personId="{DD614513-59EA-458A-9CE0-D0E3FC9DA721}" id="{AFDE2B07-F916-4CAE-A7A0-70AC46F2DC9E}">
    <text>CFSX: 4.717 (sx vảy từ chai)
CF Băm chai=&gt; vảy : 2.321
CF rữa tách kim loại: 2.396 
CFSX : Vảy từ mua vảy ngoài 1.637
CL: 3.080</text>
  </threadedComment>
  <threadedComment ref="AD3" dT="2026-03-05T05:03:43.65" personId="{DD614513-59EA-458A-9CE0-D0E3FC9DA721}" id="{1A75ECED-028A-41F7-B5F2-F79BFAFDA375}">
    <text>Hiệu suất máy 25%. CS : 350kg/h</text>
  </threadedComment>
</ThreadedComments>
</file>

<file path=xl/threadedComments/threadedComment8.xml><?xml version="1.0" encoding="utf-8"?>
<ThreadedComments xmlns="http://schemas.microsoft.com/office/spreadsheetml/2018/threadedcomments" xmlns:x="http://schemas.openxmlformats.org/spreadsheetml/2006/main">
  <threadedComment ref="X1" dT="2026-03-05T04:34:06.74" personId="{DD614513-59EA-458A-9CE0-D0E3FC9DA721}" id="{6D747270-A6D3-4D44-9D2A-0FEBCC1710EE}">
    <text>CF Hao hụt chai vảy : 1.250</text>
  </threadedComment>
  <threadedComment ref="AC1" dT="2026-03-05T05:03:11.97" personId="{DD614513-59EA-458A-9CE0-D0E3FC9DA721}" id="{1F72E1B9-880C-4BB6-9ACE-2A994A2A9502}">
    <text>Giá mua tuần 11.t3.2026: 8.333</text>
  </threadedComment>
  <threadedComment ref="W2" dT="2026-03-05T04:39:32.33" personId="{DD614513-59EA-458A-9CE0-D0E3FC9DA721}" id="{F38D2B84-1C08-467B-BB92-79696299D323}">
    <text>Vảy mua ngoài 16.000</text>
  </threadedComment>
  <threadedComment ref="X2" dT="2026-03-05T04:40:26.11" personId="{DD614513-59EA-458A-9CE0-D0E3FC9DA721}" id="{A700A905-3CC6-4AA1-9D88-0BA452F916EB}">
    <text xml:space="preserve">CF Hao hụt chai- vảy: 0 
CF rữa tách kim loại: 1.637 </text>
  </threadedComment>
  <threadedComment ref="X3" dT="2026-03-05T04:34:14.47" personId="{DD614513-59EA-458A-9CE0-D0E3FC9DA721}" id="{A4BC62AC-BCE4-484C-8046-6E25FF8EDA7A}">
    <text>CFSX: 4.717 (sx vảy từ chai)
CF Băm chai=&gt; vảy : 2.321
CF rữa tách kim loại: 2.396 
CFSX : Vảy từ mua vảy ngoài 1.637
CL: 3.080</text>
  </threadedComment>
  <threadedComment ref="AD3" dT="2026-03-05T05:03:43.65" personId="{DD614513-59EA-458A-9CE0-D0E3FC9DA721}" id="{650D5BED-EF72-424C-B52C-2F2F835BE356}">
    <text>Hiệu suất máy 25%. CS : 350kg/h</text>
  </threadedComment>
  <threadedComment ref="AN29" dT="2026-03-06T01:06:30.75" personId="{DD614513-59EA-458A-9CE0-D0E3FC9DA721}" id="{9DBD5DE7-9D97-4A34-9944-3242BFF54357}">
    <text>Outerrinho 1000 ton/thang</text>
  </threadedComment>
</ThreadedComments>
</file>

<file path=xl/threadedComments/threadedComment9.xml><?xml version="1.0" encoding="utf-8"?>
<ThreadedComments xmlns="http://schemas.microsoft.com/office/spreadsheetml/2018/threadedcomments" xmlns:x="http://schemas.openxmlformats.org/spreadsheetml/2006/main">
  <threadedComment ref="X1" dT="2026-03-05T04:34:06.74" personId="{DD614513-59EA-458A-9CE0-D0E3FC9DA721}" id="{BCE78AA8-2B36-47A7-88DF-304DC1231B1F}">
    <text>CF Hao hụt chai vảy : 1.250</text>
  </threadedComment>
  <threadedComment ref="AC1" dT="2026-03-05T05:03:11.97" personId="{DD614513-59EA-458A-9CE0-D0E3FC9DA721}" id="{FB6A854D-B904-40D5-ACD8-B441CA54058C}">
    <text>Giá mua tuần 11.t3.2026: 8.333</text>
  </threadedComment>
  <threadedComment ref="V2" dT="2026-03-05T04:39:32.33" personId="{DD614513-59EA-458A-9CE0-D0E3FC9DA721}" id="{2B11E8AF-31D8-4A4A-A68D-024CB50310F4}">
    <text>Vảy mua ngoài 16.000</text>
  </threadedComment>
  <threadedComment ref="W2" dT="2026-03-05T04:39:32.33" personId="{DD614513-59EA-458A-9CE0-D0E3FC9DA721}" id="{B975E80B-7A29-4A50-93F4-DC685EA20A4D}">
    <text>Vảy mua ngoài 16.000</text>
  </threadedComment>
  <threadedComment ref="X2" dT="2026-03-05T04:40:26.11" personId="{DD614513-59EA-458A-9CE0-D0E3FC9DA721}" id="{B3EBEE92-3645-4D55-93A1-A2C02699AA45}">
    <text xml:space="preserve">CF Hao hụt chai- vảy: 0 
CF rữa tách kim loại: 1.637 </text>
  </threadedComment>
  <threadedComment ref="X3" dT="2026-03-05T04:34:14.47" personId="{DD614513-59EA-458A-9CE0-D0E3FC9DA721}" id="{E2D28AE4-F2C1-46E5-B9E1-D21CCF46DB11}">
    <text>CFSX: 4.717 (sx vảy từ chai)
CF Băm chai=&gt; vảy : 2.321
CF rữa tách kim loại: 2.396 
CFSX : Vảy từ mua vảy ngoài 1.637
CL: 3.080</text>
  </threadedComment>
  <threadedComment ref="AD3" dT="2026-03-05T05:03:43.65" personId="{DD614513-59EA-458A-9CE0-D0E3FC9DA721}" id="{D0403DE0-E30D-49F6-90A0-D14CECFBBD01}">
    <text>Hiệu suất máy 25%. CS : 350kg/h</text>
  </threadedComment>
  <threadedComment ref="AQ11" dT="2026-03-06T01:06:30.75" personId="{DD614513-59EA-458A-9CE0-D0E3FC9DA721}" id="{5AD5B935-BB63-4AF9-A579-89926C4F14A9}">
    <text>Outerrinho 1000 ton/thang</text>
  </threadedComment>
  <threadedComment ref="AQ29" dT="2026-03-06T01:06:30.75" personId="{DD614513-59EA-458A-9CE0-D0E3FC9DA721}" id="{B69830D4-8C16-4633-BD64-D0CBC85F9DEA}">
    <text>Outerrinho 1000 ton/thang</text>
  </threadedComment>
  <threadedComment ref="AL37" dT="2026-04-06T15:08:55.95" personId="{DD614513-59EA-458A-9CE0-D0E3FC9DA721}" id="{CAB671AE-7334-48B0-B0A5-A46CD5D2E034}">
    <text>Lưu ý chi phí SX HDPE, PP khác</text>
  </threadedComment>
  <threadedComment ref="AQ41" dT="2026-03-06T01:06:30.75" personId="{DD614513-59EA-458A-9CE0-D0E3FC9DA721}" id="{3CF45EED-0570-464A-AEE3-156BA07C7996}">
    <text>Outerrinho 1000 ton/thang</text>
  </threadedComment>
</ThreadedComments>
</file>

<file path=xl/threadedComments/threadedComment10.xml><?xml version="1.0" encoding="utf-8"?>
<ThreadedComments xmlns="http://schemas.microsoft.com/office/spreadsheetml/2018/threadedcomments" xmlns:x="http://schemas.openxmlformats.org/spreadsheetml/2006/main">
  <threadedComment ref="X1" dT="2026-03-05T04:34:06.74" personId="{DD614513-59EA-458A-9CE0-D0E3FC9DA721}" id="{91A61D56-8F9C-4CCE-9C5C-A233A17EFE85}">
    <text>CF Hao hụt chai vảy : 1.250</text>
  </threadedComment>
  <threadedComment ref="AC1" dT="2026-03-05T05:03:11.97" personId="{DD614513-59EA-458A-9CE0-D0E3FC9DA721}" id="{A632C9DD-4635-490E-BDAD-59B63016F44E}">
    <text>Giá mua tuần 11.t3.2026: 8.333</text>
  </threadedComment>
  <threadedComment ref="V2" dT="2026-03-05T04:39:32.33" personId="{DD614513-59EA-458A-9CE0-D0E3FC9DA721}" id="{15CB52BA-5143-4D2B-823F-69D91F18761B}">
    <text>Vảy mua ngoài 18.300</text>
  </threadedComment>
  <threadedComment ref="W2" dT="2026-03-05T04:39:32.33" personId="{DD614513-59EA-458A-9CE0-D0E3FC9DA721}" id="{80EFA925-67C7-4549-B76F-FAA043D9BB02}">
    <text>Vảy mua ngoài 16.000</text>
  </threadedComment>
  <threadedComment ref="X2" dT="2026-03-05T04:40:26.11" personId="{DD614513-59EA-458A-9CE0-D0E3FC9DA721}" id="{26005B0B-902E-4422-80ED-601364B8BECF}">
    <text xml:space="preserve">CF Hao hụt chai- vảy: 0 
CF rữa tách kim loại: 1.637 </text>
  </threadedComment>
  <threadedComment ref="X3" dT="2026-03-05T04:34:14.47" personId="{DD614513-59EA-458A-9CE0-D0E3FC9DA721}" id="{6520395E-3BEB-43B5-BCA3-1E229F8DE29F}">
    <text>CFSX: 4.717 (sx vảy từ chai)
CF Băm chai=&gt; vảy : 2.321
CF rữa tách kim loại: 2.396 
CFSX : Vảy từ mua vảy ngoài 1.637
CL: 3.080</text>
  </threadedComment>
  <threadedComment ref="AD3" dT="2026-03-05T05:03:43.65" personId="{DD614513-59EA-458A-9CE0-D0E3FC9DA721}" id="{BC979D25-39AC-4A2D-9B3D-3B7DC2581C04}">
    <text>Hiệu suất máy 25%. CS : 350kg/h</text>
  </threadedComment>
  <threadedComment ref="AQ29" dT="2026-03-06T01:06:30.75" personId="{DD614513-59EA-458A-9CE0-D0E3FC9DA721}" id="{D5E5B7D7-1B24-44AB-94A1-ACBC62FD8FFA}">
    <text>Outerrinho 1000 ton/thang</text>
  </threadedComment>
</ThreadedComments>
</file>

<file path=xl/threadedComments/threadedComment11.xml><?xml version="1.0" encoding="utf-8"?>
<ThreadedComments xmlns="http://schemas.microsoft.com/office/spreadsheetml/2018/threadedcomments" xmlns:x="http://schemas.openxmlformats.org/spreadsheetml/2006/main">
  <threadedComment ref="X1" dT="2026-03-05T04:34:06.74" personId="{DD614513-59EA-458A-9CE0-D0E3FC9DA721}" id="{2FAE976D-6DB0-45A5-8DA1-8DCB6FE9A821}">
    <text>CF Hao hụt chai vảy : 1.250</text>
  </threadedComment>
  <threadedComment ref="AC1" dT="2026-03-05T05:03:11.97" personId="{DD614513-59EA-458A-9CE0-D0E3FC9DA721}" id="{810296C4-2C9F-4C0B-955B-60E9E75CBCD9}">
    <text>Giá mua tuần 11.t3.2026: 8.333</text>
  </threadedComment>
  <threadedComment ref="V2" dT="2026-03-05T04:39:32.33" personId="{DD614513-59EA-458A-9CE0-D0E3FC9DA721}" id="{444D1E5E-A95F-4FA4-85E4-F4E3C82209F6}">
    <text>Vảy mua ngoài 16.000</text>
  </threadedComment>
  <threadedComment ref="W2" dT="2026-03-05T04:39:32.33" personId="{DD614513-59EA-458A-9CE0-D0E3FC9DA721}" id="{33B2AD2C-DCFA-4C67-A9D7-76F836E6BD7A}">
    <text>Vảy mua ngoài 16.000</text>
  </threadedComment>
  <threadedComment ref="X2" dT="2026-03-05T04:40:26.11" personId="{DD614513-59EA-458A-9CE0-D0E3FC9DA721}" id="{C68B0352-0531-44B5-AAAF-1723D00E5A53}">
    <text xml:space="preserve">CF Hao hụt chai- vảy: 0 
CF rữa tách kim loại: 1.637 </text>
  </threadedComment>
  <threadedComment ref="X3" dT="2026-03-05T04:34:14.47" personId="{DD614513-59EA-458A-9CE0-D0E3FC9DA721}" id="{F488DC82-5A85-4177-A33D-85428B06154F}">
    <text>CFSX: 4.717 (sx vảy từ chai)
CF Băm chai=&gt; vảy : 2.321
CF rữa tách kim loại: 2.396 
CFSX : Vảy từ mua vảy ngoài 1.637
CL: 3.080</text>
  </threadedComment>
  <threadedComment ref="AD3" dT="2026-03-05T05:03:43.65" personId="{DD614513-59EA-458A-9CE0-D0E3FC9DA721}" id="{3A01E4B6-D293-4BA9-BF75-39BD9A0DA5A9}">
    <text>Hiệu suất máy 25%. CS : 350kg/h</text>
  </threadedComment>
  <threadedComment ref="AQ29" dT="2026-03-06T01:06:30.75" personId="{DD614513-59EA-458A-9CE0-D0E3FC9DA721}" id="{EC68B563-C70C-4DD9-AA88-CA8453F00717}">
    <text>Outerrinho 1000 ton/thang, 720 trước t4</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B&#225;o%20CT%20_Model\PET_FULL_CFO_OPTIMIZATION.xlsx"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hyperlink" Target="mailto:20@" TargetMode="External"/><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bin"/><Relationship Id="rId1" Type="http://schemas.openxmlformats.org/officeDocument/2006/relationships/hyperlink" Target="mailto:20@" TargetMode="External"/><Relationship Id="rId6" Type="http://schemas.microsoft.com/office/2017/10/relationships/threadedComment" Target="../threadedComments/threadedComment6.xml"/><Relationship Id="rId5" Type="http://schemas.openxmlformats.org/officeDocument/2006/relationships/comments" Target="../comments7.xml"/><Relationship Id="rId4"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8.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9.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10.xml"/><Relationship Id="rId1"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1.xml"/><Relationship Id="rId1"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2.xml"/><Relationship Id="rId1"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C95D2-E901-4387-BA9E-9C715E36FD63}">
  <dimension ref="B3:C7"/>
  <sheetViews>
    <sheetView workbookViewId="0">
      <selection activeCell="D21" sqref="D21"/>
    </sheetView>
  </sheetViews>
  <sheetFormatPr defaultRowHeight="14.5" x14ac:dyDescent="0.35"/>
  <sheetData>
    <row r="3" spans="2:3" x14ac:dyDescent="0.35">
      <c r="B3" s="517" t="s">
        <v>687</v>
      </c>
    </row>
    <row r="5" spans="2:3" x14ac:dyDescent="0.35">
      <c r="B5" t="s">
        <v>508</v>
      </c>
      <c r="C5" t="s">
        <v>507</v>
      </c>
    </row>
    <row r="6" spans="2:3" x14ac:dyDescent="0.35">
      <c r="B6" t="s">
        <v>509</v>
      </c>
      <c r="C6" t="s">
        <v>510</v>
      </c>
    </row>
    <row r="7" spans="2:3" x14ac:dyDescent="0.35">
      <c r="B7" t="s">
        <v>509</v>
      </c>
      <c r="C7" t="s">
        <v>511</v>
      </c>
    </row>
  </sheetData>
  <hyperlinks>
    <hyperlink ref="B3" r:id="rId1" xr:uid="{A9448F77-90D9-4940-947E-8808F2780F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E4D0-6A91-4227-B557-1777845C1B7B}">
  <dimension ref="B2:AF33"/>
  <sheetViews>
    <sheetView topLeftCell="H9" zoomScale="70" zoomScaleNormal="70" workbookViewId="0">
      <selection activeCell="M27" sqref="M27"/>
    </sheetView>
  </sheetViews>
  <sheetFormatPr defaultColWidth="8.7265625" defaultRowHeight="12.5" outlineLevelRow="1" outlineLevelCol="1" x14ac:dyDescent="0.35"/>
  <cols>
    <col min="1" max="1" width="3.54296875" style="588" customWidth="1"/>
    <col min="2" max="2" width="11" style="588" customWidth="1"/>
    <col min="3" max="3" width="27.453125" style="588" customWidth="1"/>
    <col min="4" max="5" width="10.81640625" style="588" customWidth="1"/>
    <col min="6" max="6" width="12.54296875" style="588" customWidth="1"/>
    <col min="7" max="8" width="13.1796875" style="588" customWidth="1"/>
    <col min="9" max="9" width="15.26953125" style="588" customWidth="1"/>
    <col min="10" max="10" width="14" style="588" customWidth="1"/>
    <col min="11" max="11" width="13.54296875" style="588" customWidth="1"/>
    <col min="12" max="12" width="23" style="588" customWidth="1"/>
    <col min="13" max="13" width="11.453125" style="589" customWidth="1" outlineLevel="1"/>
    <col min="14" max="14" width="8.7265625" style="589" outlineLevel="1"/>
    <col min="15" max="16" width="8.7265625" style="589"/>
    <col min="17" max="17" width="9.1796875" style="588" bestFit="1" customWidth="1"/>
    <col min="18" max="18" width="11" style="588" bestFit="1" customWidth="1"/>
    <col min="19" max="20" width="8.7265625" style="588"/>
    <col min="21" max="21" width="11.36328125" style="588" customWidth="1"/>
    <col min="22" max="22" width="9.1796875" style="588" bestFit="1" customWidth="1"/>
    <col min="23" max="23" width="11.90625" style="588" customWidth="1"/>
    <col min="24" max="24" width="9.1796875" style="588" bestFit="1" customWidth="1"/>
    <col min="25" max="25" width="11.7265625" style="588" customWidth="1"/>
    <col min="26" max="26" width="9.1796875" style="588" bestFit="1" customWidth="1"/>
    <col min="27" max="27" width="4.7265625" style="588" customWidth="1"/>
    <col min="28" max="28" width="12" style="588" bestFit="1" customWidth="1"/>
    <col min="29" max="29" width="10.1796875" style="588" bestFit="1" customWidth="1"/>
    <col min="30" max="30" width="8.7265625" style="588"/>
    <col min="31" max="31" width="20.1796875" style="588" bestFit="1" customWidth="1"/>
    <col min="32" max="32" width="9.1796875" style="588" bestFit="1" customWidth="1"/>
    <col min="33" max="16384" width="8.7265625" style="588"/>
  </cols>
  <sheetData>
    <row r="2" spans="2:32" ht="20" x14ac:dyDescent="0.35">
      <c r="B2" s="590" t="s">
        <v>754</v>
      </c>
      <c r="C2" s="590"/>
      <c r="D2" s="590"/>
      <c r="E2" s="590"/>
      <c r="F2" s="590"/>
      <c r="G2" s="590"/>
      <c r="H2" s="590"/>
      <c r="I2" s="590"/>
      <c r="J2" s="590"/>
      <c r="K2" s="590"/>
      <c r="L2" s="590"/>
    </row>
    <row r="3" spans="2:32" ht="13" x14ac:dyDescent="0.35">
      <c r="D3" s="800"/>
      <c r="E3" s="800"/>
      <c r="F3" s="591"/>
      <c r="G3" s="591"/>
      <c r="H3" s="591"/>
      <c r="I3" s="591"/>
      <c r="J3" s="801"/>
      <c r="K3" s="801"/>
      <c r="M3" s="802" t="s">
        <v>755</v>
      </c>
      <c r="N3" s="802"/>
      <c r="P3" s="647" t="s">
        <v>800</v>
      </c>
    </row>
    <row r="4" spans="2:32" s="599" customFormat="1" ht="52" x14ac:dyDescent="0.35">
      <c r="B4" s="593" t="s">
        <v>756</v>
      </c>
      <c r="C4" s="594" t="s">
        <v>757</v>
      </c>
      <c r="D4" s="803" t="s">
        <v>758</v>
      </c>
      <c r="E4" s="803"/>
      <c r="F4" s="595" t="s">
        <v>759</v>
      </c>
      <c r="G4" s="595" t="s">
        <v>760</v>
      </c>
      <c r="H4" s="595" t="s">
        <v>761</v>
      </c>
      <c r="I4" s="595" t="s">
        <v>762</v>
      </c>
      <c r="J4" s="596" t="s">
        <v>763</v>
      </c>
      <c r="K4" s="596" t="s">
        <v>764</v>
      </c>
      <c r="L4" s="596" t="s">
        <v>16</v>
      </c>
      <c r="M4" s="597" t="s">
        <v>765</v>
      </c>
      <c r="N4" s="598" t="s">
        <v>766</v>
      </c>
      <c r="O4" s="597" t="s">
        <v>483</v>
      </c>
      <c r="P4" s="648" t="s">
        <v>767</v>
      </c>
      <c r="Q4" s="599" t="s">
        <v>768</v>
      </c>
      <c r="R4" s="599" t="s">
        <v>769</v>
      </c>
      <c r="S4" s="599" t="s">
        <v>454</v>
      </c>
      <c r="T4" s="599" t="s">
        <v>455</v>
      </c>
      <c r="V4" s="599" t="s">
        <v>801</v>
      </c>
      <c r="X4" s="599" t="s">
        <v>802</v>
      </c>
      <c r="Z4" s="599" t="s">
        <v>803</v>
      </c>
      <c r="AB4" s="599" t="s">
        <v>804</v>
      </c>
    </row>
    <row r="5" spans="2:32" ht="13" x14ac:dyDescent="0.3">
      <c r="B5" s="600"/>
      <c r="C5" s="601"/>
      <c r="D5" s="602" t="s">
        <v>770</v>
      </c>
      <c r="E5" s="602" t="s">
        <v>486</v>
      </c>
      <c r="F5" s="603" t="s">
        <v>771</v>
      </c>
      <c r="G5" s="603" t="s">
        <v>772</v>
      </c>
      <c r="H5" s="603" t="s">
        <v>773</v>
      </c>
      <c r="I5" s="603" t="s">
        <v>774</v>
      </c>
      <c r="J5" s="602" t="s">
        <v>486</v>
      </c>
      <c r="K5" s="602" t="s">
        <v>486</v>
      </c>
      <c r="L5" s="604"/>
      <c r="M5" s="649">
        <f>MAX(V5,X5,Z5)</f>
        <v>0.10667325484443603</v>
      </c>
      <c r="N5" s="605"/>
      <c r="U5" s="588" t="s">
        <v>482</v>
      </c>
      <c r="V5" s="649">
        <f>'[1]1. Đại Lộc'!$O$334</f>
        <v>0.10096034348805652</v>
      </c>
      <c r="X5" s="649">
        <f>'[1]2. Khánh Nga'!$O$39</f>
        <v>9.7733526674727331E-2</v>
      </c>
      <c r="Z5" s="649">
        <f>'[1]3. Đồng Lâm'!$O$344</f>
        <v>0.10667325484443603</v>
      </c>
    </row>
    <row r="6" spans="2:32" ht="13" outlineLevel="1" x14ac:dyDescent="0.35">
      <c r="B6" s="606" t="s">
        <v>775</v>
      </c>
      <c r="C6" s="607" t="s">
        <v>776</v>
      </c>
      <c r="D6" s="608">
        <v>1000</v>
      </c>
      <c r="E6" s="609">
        <f>SUM(E7:E20)</f>
        <v>1.0000000000000002</v>
      </c>
      <c r="F6" s="609"/>
      <c r="G6" s="610"/>
      <c r="H6" s="610"/>
      <c r="I6" s="608">
        <f>D6*$M$6</f>
        <v>11300000</v>
      </c>
      <c r="J6" s="609">
        <f>SUM(J7:J19)</f>
        <v>0.99999999999999989</v>
      </c>
      <c r="K6" s="609">
        <f>SUM(K7:K19)</f>
        <v>0.99999999999999989</v>
      </c>
      <c r="L6" s="609"/>
      <c r="M6" s="650">
        <v>11300</v>
      </c>
      <c r="N6" s="605"/>
      <c r="Q6" s="651">
        <v>3000</v>
      </c>
      <c r="V6" s="652">
        <f>'[2]3.CP_TAN'!$Q$78</f>
        <v>3684.4010838335184</v>
      </c>
      <c r="W6" s="652"/>
      <c r="X6" s="652">
        <f>'[2]3.CP_TAN'!$R$78</f>
        <v>2894.8842505347179</v>
      </c>
      <c r="Y6" s="652"/>
      <c r="Z6" s="652">
        <f>'[2]3.CP_TAN'!$S$78</f>
        <v>2609.6553352190908</v>
      </c>
      <c r="AB6" s="589">
        <v>10000</v>
      </c>
    </row>
    <row r="7" spans="2:32" outlineLevel="1" x14ac:dyDescent="0.35">
      <c r="B7" s="611" t="s">
        <v>777</v>
      </c>
      <c r="C7" s="612" t="s">
        <v>503</v>
      </c>
      <c r="D7" s="613">
        <v>540</v>
      </c>
      <c r="E7" s="614">
        <v>0.54</v>
      </c>
      <c r="F7" s="613">
        <f>D7</f>
        <v>540</v>
      </c>
      <c r="G7" s="615">
        <v>1.25</v>
      </c>
      <c r="H7" s="615">
        <f t="shared" ref="H7:H14" si="0">F7*G7</f>
        <v>675</v>
      </c>
      <c r="I7" s="613">
        <f t="shared" ref="I7:I14" si="1">$I$6/$H$21*H7</f>
        <v>7257373.929590866</v>
      </c>
      <c r="J7" s="614">
        <f t="shared" ref="J7:J14" si="2">I7/$I$6</f>
        <v>0.64224548049476693</v>
      </c>
      <c r="K7" s="616">
        <f>J7</f>
        <v>0.64224548049476693</v>
      </c>
      <c r="L7" s="804" t="s">
        <v>778</v>
      </c>
      <c r="M7" s="589">
        <f>ROUND($M$6+$M$6*$M$5+O7,-2)</f>
        <v>16400</v>
      </c>
      <c r="N7" s="617">
        <f>M7/$M$21</f>
        <v>1.247148288973384</v>
      </c>
      <c r="O7" s="653">
        <v>3900</v>
      </c>
      <c r="P7" s="654">
        <f>I7/F7</f>
        <v>13439.581351094197</v>
      </c>
      <c r="Q7" s="589">
        <f>$Q$6*K7</f>
        <v>1926.7364414843007</v>
      </c>
      <c r="R7" s="618">
        <f>P7+Q7</f>
        <v>15366.317792578498</v>
      </c>
      <c r="S7" s="618">
        <f>M7-R7</f>
        <v>1033.6822074215015</v>
      </c>
      <c r="T7" s="619">
        <f>S7/M7</f>
        <v>6.3029402891554967E-2</v>
      </c>
      <c r="U7" s="588" t="str">
        <f>'[1]1. Đại Lộc'!B327</f>
        <v>% Chai B1</v>
      </c>
      <c r="V7" s="655">
        <f>'[1]1. Đại Lộc'!O327</f>
        <v>0.65050165177150054</v>
      </c>
      <c r="W7" s="588" t="str">
        <f>'[1]2. Khánh Nga'!B32</f>
        <v>% Chai B1</v>
      </c>
      <c r="X7" s="655">
        <f>'[1]2. Khánh Nga'!O32</f>
        <v>0.52583539606738805</v>
      </c>
      <c r="Y7" s="588" t="str">
        <f>'[1]3. Đồng Lâm'!B337</f>
        <v>% Chai B1</v>
      </c>
      <c r="Z7" s="655">
        <f>'[1]3. Đồng Lâm'!O337</f>
        <v>0.50053442897045786</v>
      </c>
      <c r="AB7" s="589">
        <v>14500</v>
      </c>
      <c r="AC7" s="589">
        <v>11200</v>
      </c>
      <c r="AE7" s="656">
        <f>T7*V7</f>
        <v>4.1000730691127897E-2</v>
      </c>
      <c r="AF7" s="589">
        <f>ROUND($M$6+$M$6*$M$5,-2)</f>
        <v>12500</v>
      </c>
    </row>
    <row r="8" spans="2:32" outlineLevel="1" x14ac:dyDescent="0.35">
      <c r="B8" s="611" t="s">
        <v>779</v>
      </c>
      <c r="C8" s="612" t="s">
        <v>50</v>
      </c>
      <c r="D8" s="613"/>
      <c r="E8" s="614"/>
      <c r="F8" s="613">
        <f>D8</f>
        <v>0</v>
      </c>
      <c r="G8" s="615"/>
      <c r="H8" s="615">
        <f t="shared" si="0"/>
        <v>0</v>
      </c>
      <c r="I8" s="613">
        <f t="shared" si="1"/>
        <v>0</v>
      </c>
      <c r="J8" s="614">
        <f t="shared" si="2"/>
        <v>0</v>
      </c>
      <c r="K8" s="616">
        <f t="shared" ref="K8:K14" si="3">J8</f>
        <v>0</v>
      </c>
      <c r="L8" s="805"/>
      <c r="N8" s="617">
        <f t="shared" ref="N8:N12" si="4">M8/$M$21</f>
        <v>0</v>
      </c>
      <c r="O8" s="589">
        <f>O7</f>
        <v>3900</v>
      </c>
      <c r="P8" s="654" t="e">
        <f t="shared" ref="P8:P21" si="5">I8/F8</f>
        <v>#DIV/0!</v>
      </c>
      <c r="Q8" s="589">
        <f t="shared" ref="Q8:Q20" si="6">$Q$6*K8</f>
        <v>0</v>
      </c>
      <c r="R8" s="618" t="e">
        <f t="shared" ref="R8:R20" si="7">P8+Q8</f>
        <v>#DIV/0!</v>
      </c>
      <c r="S8" s="618" t="e">
        <f t="shared" ref="S8:S20" si="8">M8-R8</f>
        <v>#DIV/0!</v>
      </c>
      <c r="T8" s="619" t="e">
        <f t="shared" ref="T8:T21" si="9">S8/M8</f>
        <v>#DIV/0!</v>
      </c>
      <c r="V8" s="655"/>
      <c r="X8" s="655"/>
      <c r="Z8" s="655"/>
      <c r="AE8" s="656" t="e">
        <f t="shared" ref="AE8:AE15" si="10">T8*V8</f>
        <v>#DIV/0!</v>
      </c>
    </row>
    <row r="9" spans="2:32" outlineLevel="1" x14ac:dyDescent="0.35">
      <c r="B9" s="611" t="s">
        <v>780</v>
      </c>
      <c r="C9" s="612" t="s">
        <v>22</v>
      </c>
      <c r="D9" s="613">
        <v>30</v>
      </c>
      <c r="E9" s="614">
        <v>0.03</v>
      </c>
      <c r="F9" s="613">
        <f t="shared" ref="F9:F14" si="11">D9</f>
        <v>30</v>
      </c>
      <c r="G9" s="615">
        <v>1.1000000000000001</v>
      </c>
      <c r="H9" s="615">
        <f t="shared" si="0"/>
        <v>33</v>
      </c>
      <c r="I9" s="613">
        <f t="shared" si="1"/>
        <v>354804.94766888674</v>
      </c>
      <c r="J9" s="614">
        <f t="shared" si="2"/>
        <v>3.1398667935299711E-2</v>
      </c>
      <c r="K9" s="616">
        <f t="shared" si="3"/>
        <v>3.1398667935299711E-2</v>
      </c>
      <c r="L9" s="805"/>
      <c r="M9" s="589">
        <f>ROUND($M$6+$M$6*$M$5+O9,-2)</f>
        <v>14500</v>
      </c>
      <c r="N9" s="617">
        <f>M9/$M$21</f>
        <v>1.102661596958175</v>
      </c>
      <c r="O9" s="589">
        <v>2000</v>
      </c>
      <c r="P9" s="654">
        <f t="shared" si="5"/>
        <v>11826.831588962892</v>
      </c>
      <c r="Q9" s="589">
        <f t="shared" si="6"/>
        <v>94.196003805899139</v>
      </c>
      <c r="R9" s="618">
        <f t="shared" si="7"/>
        <v>11921.027592768791</v>
      </c>
      <c r="S9" s="618">
        <f t="shared" si="8"/>
        <v>2578.9724072312092</v>
      </c>
      <c r="T9" s="619">
        <f t="shared" si="9"/>
        <v>0.17786016601594545</v>
      </c>
      <c r="U9" s="588" t="str">
        <f>'[1]1. Đại Lộc'!B328</f>
        <v>% Chai B2.2</v>
      </c>
      <c r="V9" s="655">
        <f>'[1]1. Đại Lộc'!O328</f>
        <v>5.3561787013188056E-3</v>
      </c>
      <c r="W9" s="588" t="str">
        <f>'[1]2. Khánh Nga'!B33</f>
        <v>% Chai B2.2</v>
      </c>
      <c r="X9" s="655">
        <f>'[1]2. Khánh Nga'!O33</f>
        <v>7.8724377212196814E-2</v>
      </c>
      <c r="Y9" s="588" t="str">
        <f>'[1]3. Đồng Lâm'!B338</f>
        <v>% Chai B2.2</v>
      </c>
      <c r="Z9" s="655">
        <f>'[1]3. Đồng Lâm'!O338</f>
        <v>8.3560339784929882E-2</v>
      </c>
      <c r="AE9" s="656">
        <f>T9*V9</f>
        <v>9.5265083302763383E-4</v>
      </c>
    </row>
    <row r="10" spans="2:32" outlineLevel="1" x14ac:dyDescent="0.35">
      <c r="B10" s="611" t="s">
        <v>781</v>
      </c>
      <c r="C10" s="612" t="s">
        <v>27</v>
      </c>
      <c r="D10" s="613">
        <v>20</v>
      </c>
      <c r="E10" s="614">
        <v>0.02</v>
      </c>
      <c r="F10" s="613">
        <f>D10</f>
        <v>20</v>
      </c>
      <c r="G10" s="615">
        <v>1</v>
      </c>
      <c r="H10" s="615">
        <f t="shared" si="0"/>
        <v>20</v>
      </c>
      <c r="I10" s="613">
        <f t="shared" si="1"/>
        <v>215033.30161750712</v>
      </c>
      <c r="J10" s="614">
        <f t="shared" si="2"/>
        <v>1.9029495718363463E-2</v>
      </c>
      <c r="K10" s="616">
        <f t="shared" si="3"/>
        <v>1.9029495718363463E-2</v>
      </c>
      <c r="L10" s="805"/>
      <c r="M10" s="589">
        <f>ROUND($M$6+$M$6*$M$5+O10,-2)</f>
        <v>13000</v>
      </c>
      <c r="N10" s="617">
        <f>M10/$M$21</f>
        <v>0.98859315589353614</v>
      </c>
      <c r="O10" s="589">
        <v>500</v>
      </c>
      <c r="P10" s="654">
        <f t="shared" si="5"/>
        <v>10751.665080875357</v>
      </c>
      <c r="Q10" s="589">
        <f t="shared" si="6"/>
        <v>57.088487155090391</v>
      </c>
      <c r="R10" s="618">
        <f t="shared" si="7"/>
        <v>10808.753568030446</v>
      </c>
      <c r="S10" s="618">
        <f t="shared" si="8"/>
        <v>2191.2464319695537</v>
      </c>
      <c r="T10" s="619">
        <f t="shared" si="9"/>
        <v>0.16855741784381181</v>
      </c>
      <c r="U10" s="588" t="str">
        <f>'[1]2. Khánh Nga'!B35</f>
        <v>% Chai B4</v>
      </c>
      <c r="V10" s="655">
        <f>'[1]2. Khánh Nga'!O35</f>
        <v>1.4912633842699981E-2</v>
      </c>
      <c r="W10" s="588" t="str">
        <f>'[1]2. Khánh Nga'!B35</f>
        <v>% Chai B4</v>
      </c>
      <c r="X10" s="655">
        <f>'[1]2. Khánh Nga'!O35</f>
        <v>1.4912633842699981E-2</v>
      </c>
      <c r="Y10" s="588" t="str">
        <f>'[1]3. Đồng Lâm'!B340</f>
        <v>% Chai B4</v>
      </c>
      <c r="Z10" s="655">
        <f>'[1]3. Đồng Lâm'!O340</f>
        <v>1.9139602152341485E-2</v>
      </c>
      <c r="AE10" s="656">
        <f t="shared" si="10"/>
        <v>2.5136350537757497E-3</v>
      </c>
    </row>
    <row r="11" spans="2:32" outlineLevel="1" x14ac:dyDescent="0.35">
      <c r="B11" s="611" t="s">
        <v>782</v>
      </c>
      <c r="C11" s="612" t="s">
        <v>29</v>
      </c>
      <c r="D11" s="613">
        <v>20</v>
      </c>
      <c r="E11" s="614">
        <v>0.02</v>
      </c>
      <c r="F11" s="613">
        <f t="shared" si="11"/>
        <v>20</v>
      </c>
      <c r="G11" s="615">
        <v>1</v>
      </c>
      <c r="H11" s="615">
        <f t="shared" si="0"/>
        <v>20</v>
      </c>
      <c r="I11" s="613">
        <f t="shared" si="1"/>
        <v>215033.30161750712</v>
      </c>
      <c r="J11" s="614">
        <f t="shared" si="2"/>
        <v>1.9029495718363463E-2</v>
      </c>
      <c r="K11" s="616">
        <f t="shared" si="3"/>
        <v>1.9029495718363463E-2</v>
      </c>
      <c r="L11" s="805"/>
      <c r="M11" s="589">
        <f>ROUND($M$6+$M$6*$M$5+O11,-2)</f>
        <v>13000</v>
      </c>
      <c r="N11" s="617">
        <f>M11/$M$21</f>
        <v>0.98859315589353614</v>
      </c>
      <c r="O11" s="589">
        <f>O10</f>
        <v>500</v>
      </c>
      <c r="P11" s="654">
        <f t="shared" si="5"/>
        <v>10751.665080875357</v>
      </c>
      <c r="Q11" s="589">
        <f t="shared" si="6"/>
        <v>57.088487155090391</v>
      </c>
      <c r="R11" s="618">
        <f t="shared" si="7"/>
        <v>10808.753568030446</v>
      </c>
      <c r="S11" s="618">
        <f t="shared" si="8"/>
        <v>2191.2464319695537</v>
      </c>
      <c r="T11" s="619">
        <f t="shared" si="9"/>
        <v>0.16855741784381181</v>
      </c>
      <c r="U11" s="588" t="str">
        <f>'[1]2. Khánh Nga'!B36</f>
        <v>% Chai B5</v>
      </c>
      <c r="V11" s="655">
        <f>'[1]2. Khánh Nga'!O36</f>
        <v>1.9802358600751371E-2</v>
      </c>
      <c r="W11" s="588" t="str">
        <f>'[1]2. Khánh Nga'!B36</f>
        <v>% Chai B5</v>
      </c>
      <c r="X11" s="655">
        <f>'[1]2. Khánh Nga'!O36</f>
        <v>1.9802358600751371E-2</v>
      </c>
      <c r="Y11" s="588" t="str">
        <f>'[1]3. Đồng Lâm'!B341</f>
        <v>% Chai B5</v>
      </c>
      <c r="Z11" s="655">
        <f>'[1]3. Đồng Lâm'!O341</f>
        <v>1.0656981591639593E-2</v>
      </c>
      <c r="AE11" s="656">
        <f t="shared" si="10"/>
        <v>3.3378344329598494E-3</v>
      </c>
    </row>
    <row r="12" spans="2:32" outlineLevel="1" x14ac:dyDescent="0.35">
      <c r="B12" s="611"/>
      <c r="C12" s="612" t="s">
        <v>32</v>
      </c>
      <c r="D12" s="613"/>
      <c r="E12" s="614"/>
      <c r="F12" s="613">
        <f t="shared" si="11"/>
        <v>0</v>
      </c>
      <c r="G12" s="615"/>
      <c r="H12" s="615">
        <f t="shared" si="0"/>
        <v>0</v>
      </c>
      <c r="I12" s="613">
        <f t="shared" si="1"/>
        <v>0</v>
      </c>
      <c r="J12" s="614">
        <f t="shared" si="2"/>
        <v>0</v>
      </c>
      <c r="K12" s="616">
        <f t="shared" si="3"/>
        <v>0</v>
      </c>
      <c r="L12" s="805"/>
      <c r="N12" s="617">
        <f t="shared" si="4"/>
        <v>0</v>
      </c>
      <c r="O12" s="589">
        <f>O8</f>
        <v>3900</v>
      </c>
      <c r="P12" s="654" t="e">
        <f t="shared" si="5"/>
        <v>#DIV/0!</v>
      </c>
      <c r="Q12" s="589">
        <f t="shared" si="6"/>
        <v>0</v>
      </c>
      <c r="R12" s="618" t="e">
        <f t="shared" si="7"/>
        <v>#DIV/0!</v>
      </c>
      <c r="S12" s="618" t="e">
        <f t="shared" si="8"/>
        <v>#DIV/0!</v>
      </c>
      <c r="T12" s="619" t="e">
        <f t="shared" si="9"/>
        <v>#DIV/0!</v>
      </c>
      <c r="V12" s="655"/>
      <c r="X12" s="655"/>
      <c r="Z12" s="655"/>
      <c r="AE12" s="656" t="e">
        <f t="shared" si="10"/>
        <v>#DIV/0!</v>
      </c>
    </row>
    <row r="13" spans="2:32" outlineLevel="1" x14ac:dyDescent="0.35">
      <c r="B13" s="611" t="s">
        <v>783</v>
      </c>
      <c r="C13" s="612" t="s">
        <v>19</v>
      </c>
      <c r="D13" s="613">
        <v>270</v>
      </c>
      <c r="E13" s="614">
        <v>0.27</v>
      </c>
      <c r="F13" s="613">
        <f t="shared" si="11"/>
        <v>270</v>
      </c>
      <c r="G13" s="615">
        <v>1.1000000000000001</v>
      </c>
      <c r="H13" s="615">
        <f t="shared" si="0"/>
        <v>297</v>
      </c>
      <c r="I13" s="613">
        <f t="shared" si="1"/>
        <v>3193244.5290199807</v>
      </c>
      <c r="J13" s="614">
        <f t="shared" si="2"/>
        <v>0.2825880114176974</v>
      </c>
      <c r="K13" s="616">
        <f t="shared" si="3"/>
        <v>0.2825880114176974</v>
      </c>
      <c r="L13" s="805"/>
      <c r="M13" s="589">
        <f>ROUND($M$6+$M$6*$M$5+O13,-2)</f>
        <v>14500</v>
      </c>
      <c r="N13" s="617">
        <f>M13/$M$21</f>
        <v>1.102661596958175</v>
      </c>
      <c r="O13" s="589">
        <f>O9</f>
        <v>2000</v>
      </c>
      <c r="P13" s="654">
        <f t="shared" si="5"/>
        <v>11826.831588962892</v>
      </c>
      <c r="Q13" s="589">
        <f t="shared" si="6"/>
        <v>847.76403425309218</v>
      </c>
      <c r="R13" s="618">
        <f t="shared" si="7"/>
        <v>12674.595623215984</v>
      </c>
      <c r="S13" s="618">
        <f t="shared" si="8"/>
        <v>1825.4043767840158</v>
      </c>
      <c r="T13" s="619">
        <f t="shared" si="9"/>
        <v>0.1258899570195873</v>
      </c>
      <c r="U13" s="588" t="str">
        <f>'[1]1. Đại Lộc'!B329</f>
        <v>% Chai B6.2</v>
      </c>
      <c r="V13" s="655">
        <f>'[1]1. Đại Lộc'!O329</f>
        <v>0.19170632228257908</v>
      </c>
      <c r="W13" s="588" t="str">
        <f>'[1]2. Khánh Nga'!B34</f>
        <v>% Chai B6.2</v>
      </c>
      <c r="X13" s="655">
        <f>'[1]2. Khánh Nga'!O34</f>
        <v>0.23118716545900386</v>
      </c>
      <c r="Y13" s="588" t="str">
        <f>'[1]3. Đồng Lâm'!B339</f>
        <v>% Chai B6.2</v>
      </c>
      <c r="Z13" s="655">
        <f>'[1]3. Đồng Lâm'!O339</f>
        <v>0.2675725318949379</v>
      </c>
      <c r="AE13" s="656">
        <f t="shared" si="10"/>
        <v>2.4133900672537033E-2</v>
      </c>
    </row>
    <row r="14" spans="2:32" outlineLevel="1" x14ac:dyDescent="0.35">
      <c r="B14" s="611" t="s">
        <v>784</v>
      </c>
      <c r="C14" s="612" t="s">
        <v>80</v>
      </c>
      <c r="D14" s="613">
        <v>10</v>
      </c>
      <c r="E14" s="614">
        <v>0.01</v>
      </c>
      <c r="F14" s="613">
        <f t="shared" si="11"/>
        <v>10</v>
      </c>
      <c r="G14" s="615">
        <v>0.6</v>
      </c>
      <c r="H14" s="615">
        <f t="shared" si="0"/>
        <v>6</v>
      </c>
      <c r="I14" s="613">
        <f t="shared" si="1"/>
        <v>64509.990485252143</v>
      </c>
      <c r="J14" s="614">
        <f t="shared" si="2"/>
        <v>5.708848715509039E-3</v>
      </c>
      <c r="K14" s="616">
        <f t="shared" si="3"/>
        <v>5.708848715509039E-3</v>
      </c>
      <c r="L14" s="806"/>
      <c r="M14" s="589">
        <f>ROUND($M$6+$M$6*$M$5+O14,-2)</f>
        <v>7500</v>
      </c>
      <c r="N14" s="617">
        <f>M14/$M$21</f>
        <v>0.57034220532319391</v>
      </c>
      <c r="O14" s="589">
        <v>-5000</v>
      </c>
      <c r="P14" s="654">
        <f t="shared" si="5"/>
        <v>6450.9990485252147</v>
      </c>
      <c r="Q14" s="589">
        <f t="shared" si="6"/>
        <v>17.126546146527119</v>
      </c>
      <c r="R14" s="618">
        <f t="shared" si="7"/>
        <v>6468.125594671742</v>
      </c>
      <c r="S14" s="618">
        <f t="shared" si="8"/>
        <v>1031.874405328258</v>
      </c>
      <c r="T14" s="619">
        <f t="shared" si="9"/>
        <v>0.13758325404376773</v>
      </c>
      <c r="U14" s="588" t="str">
        <f>'[1]2. Khánh Nga'!B37</f>
        <v>% Nắp</v>
      </c>
      <c r="V14" s="655">
        <f>'[1]2. Khánh Nga'!O37</f>
        <v>3.1786114872826871E-2</v>
      </c>
      <c r="W14" s="588" t="str">
        <f>'[1]2. Khánh Nga'!B37</f>
        <v>% Nắp</v>
      </c>
      <c r="X14" s="655">
        <f>'[1]2. Khánh Nga'!O37</f>
        <v>3.1786114872826871E-2</v>
      </c>
      <c r="Y14" s="588" t="str">
        <f>'[1]3. Đồng Lâm'!B342</f>
        <v>% Nắp</v>
      </c>
      <c r="Z14" s="655">
        <f>'[1]3. Đồng Lâm'!O342</f>
        <v>2.9470813123704601E-3</v>
      </c>
      <c r="AE14" s="656">
        <f t="shared" si="10"/>
        <v>4.3732371176125233E-3</v>
      </c>
    </row>
    <row r="15" spans="2:32" outlineLevel="1" x14ac:dyDescent="0.35">
      <c r="B15" s="611"/>
      <c r="C15" s="612" t="s">
        <v>35</v>
      </c>
      <c r="D15" s="613"/>
      <c r="E15" s="614">
        <v>0</v>
      </c>
      <c r="F15" s="613"/>
      <c r="G15" s="615"/>
      <c r="H15" s="615"/>
      <c r="I15" s="613"/>
      <c r="J15" s="616"/>
      <c r="K15" s="616"/>
      <c r="L15" s="616"/>
      <c r="N15" s="617">
        <f>M15/$M$21</f>
        <v>0</v>
      </c>
      <c r="P15" s="654" t="e">
        <f t="shared" si="5"/>
        <v>#DIV/0!</v>
      </c>
      <c r="Q15" s="589">
        <f t="shared" si="6"/>
        <v>0</v>
      </c>
      <c r="R15" s="618" t="e">
        <f t="shared" si="7"/>
        <v>#DIV/0!</v>
      </c>
      <c r="S15" s="618" t="e">
        <f t="shared" si="8"/>
        <v>#DIV/0!</v>
      </c>
      <c r="T15" s="619" t="e">
        <f t="shared" si="9"/>
        <v>#DIV/0!</v>
      </c>
      <c r="V15" s="655"/>
      <c r="X15" s="655"/>
      <c r="Z15" s="655"/>
      <c r="AE15" s="656" t="e">
        <f t="shared" si="10"/>
        <v>#DIV/0!</v>
      </c>
    </row>
    <row r="16" spans="2:32" outlineLevel="1" x14ac:dyDescent="0.35">
      <c r="B16" s="611" t="s">
        <v>785</v>
      </c>
      <c r="C16" s="612" t="s">
        <v>261</v>
      </c>
      <c r="D16" s="613"/>
      <c r="E16" s="614">
        <v>0</v>
      </c>
      <c r="F16" s="613"/>
      <c r="G16" s="615"/>
      <c r="H16" s="615"/>
      <c r="I16" s="613"/>
      <c r="J16" s="616"/>
      <c r="K16" s="616"/>
      <c r="L16" s="616"/>
      <c r="N16" s="617">
        <f>M16/$M$21</f>
        <v>0</v>
      </c>
      <c r="O16" s="589">
        <v>-1000</v>
      </c>
      <c r="P16" s="654" t="e">
        <f t="shared" si="5"/>
        <v>#DIV/0!</v>
      </c>
      <c r="Q16" s="589">
        <f t="shared" si="6"/>
        <v>0</v>
      </c>
      <c r="R16" s="618" t="e">
        <f t="shared" si="7"/>
        <v>#DIV/0!</v>
      </c>
      <c r="S16" s="618" t="e">
        <f t="shared" si="8"/>
        <v>#DIV/0!</v>
      </c>
      <c r="T16" s="619" t="e">
        <f t="shared" si="9"/>
        <v>#DIV/0!</v>
      </c>
      <c r="U16" s="588" t="str">
        <f>'[1]2. Khánh Nga'!B38</f>
        <v>% Chai B7.2</v>
      </c>
      <c r="V16" s="655">
        <f>'[1]2. Khánh Nga'!O38</f>
        <v>1.8427270405582469E-5</v>
      </c>
      <c r="W16" s="588" t="str">
        <f>'[1]2. Khánh Nga'!B38</f>
        <v>% Chai B7.2</v>
      </c>
      <c r="X16" s="655">
        <f>'[1]2. Khánh Nga'!O38</f>
        <v>1.8427270405582469E-5</v>
      </c>
      <c r="Y16" s="588" t="str">
        <f>'[1]3. Đồng Lâm'!B343</f>
        <v>% Phó sản</v>
      </c>
      <c r="Z16" s="655">
        <f>'[1]3. Đồng Lâm'!O343</f>
        <v>8.9157794488867737E-3</v>
      </c>
      <c r="AE16" s="657"/>
    </row>
    <row r="17" spans="2:20" outlineLevel="1" x14ac:dyDescent="0.35">
      <c r="B17" s="611" t="s">
        <v>786</v>
      </c>
      <c r="C17" s="612" t="s">
        <v>787</v>
      </c>
      <c r="D17" s="613"/>
      <c r="E17" s="614">
        <v>0</v>
      </c>
      <c r="F17" s="613"/>
      <c r="G17" s="615"/>
      <c r="H17" s="615"/>
      <c r="I17" s="613"/>
      <c r="J17" s="616"/>
      <c r="K17" s="616"/>
      <c r="L17" s="616"/>
      <c r="N17" s="617">
        <f>M17/$M$21</f>
        <v>0</v>
      </c>
      <c r="O17" s="589">
        <v>2000</v>
      </c>
      <c r="P17" s="654" t="e">
        <f t="shared" si="5"/>
        <v>#DIV/0!</v>
      </c>
      <c r="Q17" s="589">
        <f t="shared" si="6"/>
        <v>0</v>
      </c>
      <c r="R17" s="618" t="e">
        <f t="shared" si="7"/>
        <v>#DIV/0!</v>
      </c>
      <c r="S17" s="618" t="e">
        <f t="shared" si="8"/>
        <v>#DIV/0!</v>
      </c>
      <c r="T17" s="619" t="e">
        <f t="shared" si="9"/>
        <v>#DIV/0!</v>
      </c>
    </row>
    <row r="18" spans="2:20" outlineLevel="1" x14ac:dyDescent="0.35">
      <c r="B18" s="611" t="s">
        <v>788</v>
      </c>
      <c r="C18" s="612" t="s">
        <v>789</v>
      </c>
      <c r="D18" s="613">
        <v>10</v>
      </c>
      <c r="E18" s="614">
        <v>0.01</v>
      </c>
      <c r="F18" s="613"/>
      <c r="G18" s="615"/>
      <c r="H18" s="615"/>
      <c r="I18" s="614"/>
      <c r="J18" s="616"/>
      <c r="K18" s="616"/>
      <c r="L18" s="616"/>
      <c r="N18" s="617"/>
      <c r="P18" s="654" t="e">
        <f t="shared" si="5"/>
        <v>#DIV/0!</v>
      </c>
      <c r="Q18" s="589">
        <f t="shared" si="6"/>
        <v>0</v>
      </c>
      <c r="R18" s="618" t="e">
        <f t="shared" si="7"/>
        <v>#DIV/0!</v>
      </c>
      <c r="S18" s="618" t="e">
        <f t="shared" si="8"/>
        <v>#DIV/0!</v>
      </c>
      <c r="T18" s="619" t="e">
        <f t="shared" si="9"/>
        <v>#DIV/0!</v>
      </c>
    </row>
    <row r="19" spans="2:20" s="628" customFormat="1" outlineLevel="1" x14ac:dyDescent="0.35">
      <c r="B19" s="620" t="s">
        <v>790</v>
      </c>
      <c r="C19" s="621" t="s">
        <v>791</v>
      </c>
      <c r="D19" s="622">
        <v>60</v>
      </c>
      <c r="E19" s="623">
        <v>0.06</v>
      </c>
      <c r="F19" s="613"/>
      <c r="G19" s="624"/>
      <c r="H19" s="624"/>
      <c r="I19" s="623"/>
      <c r="J19" s="616"/>
      <c r="K19" s="616"/>
      <c r="L19" s="625"/>
      <c r="M19" s="589"/>
      <c r="N19" s="626"/>
      <c r="O19" s="627"/>
      <c r="P19" s="654" t="e">
        <f t="shared" si="5"/>
        <v>#DIV/0!</v>
      </c>
      <c r="Q19" s="589">
        <f t="shared" si="6"/>
        <v>0</v>
      </c>
      <c r="R19" s="618" t="e">
        <f t="shared" si="7"/>
        <v>#DIV/0!</v>
      </c>
      <c r="S19" s="618" t="e">
        <f t="shared" si="8"/>
        <v>#DIV/0!</v>
      </c>
      <c r="T19" s="619" t="e">
        <f t="shared" si="9"/>
        <v>#DIV/0!</v>
      </c>
    </row>
    <row r="20" spans="2:20" s="628" customFormat="1" outlineLevel="1" x14ac:dyDescent="0.35">
      <c r="B20" s="620"/>
      <c r="C20" s="621" t="s">
        <v>792</v>
      </c>
      <c r="D20" s="624">
        <f>D6-SUM(D7:D19)</f>
        <v>40</v>
      </c>
      <c r="E20" s="623">
        <v>0.04</v>
      </c>
      <c r="F20" s="613"/>
      <c r="G20" s="624"/>
      <c r="H20" s="624"/>
      <c r="I20" s="623"/>
      <c r="J20" s="625"/>
      <c r="K20" s="625"/>
      <c r="L20" s="625"/>
      <c r="M20" s="627"/>
      <c r="N20" s="626"/>
      <c r="O20" s="627"/>
      <c r="P20" s="654" t="e">
        <f t="shared" si="5"/>
        <v>#DIV/0!</v>
      </c>
      <c r="Q20" s="589">
        <f t="shared" si="6"/>
        <v>0</v>
      </c>
      <c r="R20" s="618" t="e">
        <f t="shared" si="7"/>
        <v>#DIV/0!</v>
      </c>
      <c r="S20" s="618" t="e">
        <f t="shared" si="8"/>
        <v>#DIV/0!</v>
      </c>
      <c r="T20" s="619" t="e">
        <f t="shared" si="9"/>
        <v>#DIV/0!</v>
      </c>
    </row>
    <row r="21" spans="2:20" s="638" customFormat="1" ht="13" outlineLevel="1" x14ac:dyDescent="0.35">
      <c r="B21" s="629"/>
      <c r="C21" s="630" t="s">
        <v>793</v>
      </c>
      <c r="D21" s="631">
        <f t="shared" ref="D21:I21" si="12">SUM(D7:D20)</f>
        <v>1000</v>
      </c>
      <c r="E21" s="632">
        <f t="shared" si="12"/>
        <v>1.0000000000000002</v>
      </c>
      <c r="F21" s="631">
        <f>SUM(F7:F20)</f>
        <v>890</v>
      </c>
      <c r="G21" s="631">
        <f t="shared" si="12"/>
        <v>6.0499999999999989</v>
      </c>
      <c r="H21" s="633">
        <f t="shared" si="12"/>
        <v>1051</v>
      </c>
      <c r="I21" s="633">
        <f t="shared" si="12"/>
        <v>11300000</v>
      </c>
      <c r="J21" s="634"/>
      <c r="K21" s="634"/>
      <c r="L21" s="634"/>
      <c r="M21" s="635">
        <f>AVERAGE(M7:M19)</f>
        <v>13150</v>
      </c>
      <c r="N21" s="636"/>
      <c r="O21" s="637"/>
      <c r="P21" s="654">
        <f t="shared" si="5"/>
        <v>12696.629213483146</v>
      </c>
      <c r="T21" s="619">
        <f t="shared" si="9"/>
        <v>0</v>
      </c>
    </row>
    <row r="22" spans="2:20" x14ac:dyDescent="0.35">
      <c r="P22" s="654">
        <f>10000/(F21/1000)-P21</f>
        <v>-1460.6741573033705</v>
      </c>
    </row>
    <row r="24" spans="2:20" s="599" customFormat="1" ht="52" x14ac:dyDescent="0.35">
      <c r="B24" s="593" t="s">
        <v>794</v>
      </c>
      <c r="C24" s="593" t="s">
        <v>795</v>
      </c>
      <c r="D24" s="803" t="s">
        <v>758</v>
      </c>
      <c r="E24" s="803"/>
      <c r="F24" s="595" t="s">
        <v>759</v>
      </c>
      <c r="G24" s="595" t="s">
        <v>760</v>
      </c>
      <c r="H24" s="595" t="s">
        <v>761</v>
      </c>
      <c r="I24" s="595" t="s">
        <v>762</v>
      </c>
      <c r="J24" s="596" t="s">
        <v>763</v>
      </c>
      <c r="K24" s="596" t="s">
        <v>764</v>
      </c>
      <c r="L24" s="596" t="s">
        <v>16</v>
      </c>
      <c r="M24" s="597" t="s">
        <v>765</v>
      </c>
      <c r="N24" s="639" t="s">
        <v>766</v>
      </c>
      <c r="O24" s="592"/>
      <c r="P24" s="592"/>
    </row>
    <row r="25" spans="2:20" ht="13" x14ac:dyDescent="0.3">
      <c r="B25" s="600"/>
      <c r="C25" s="601"/>
      <c r="D25" s="602" t="s">
        <v>770</v>
      </c>
      <c r="E25" s="602" t="s">
        <v>486</v>
      </c>
      <c r="F25" s="603" t="s">
        <v>771</v>
      </c>
      <c r="G25" s="603" t="s">
        <v>772</v>
      </c>
      <c r="H25" s="603" t="s">
        <v>773</v>
      </c>
      <c r="I25" s="603" t="s">
        <v>774</v>
      </c>
      <c r="J25" s="602" t="s">
        <v>486</v>
      </c>
      <c r="K25" s="602" t="s">
        <v>486</v>
      </c>
      <c r="L25" s="604"/>
      <c r="N25" s="640"/>
    </row>
    <row r="26" spans="2:20" ht="13" x14ac:dyDescent="0.3">
      <c r="B26" s="601" t="s">
        <v>783</v>
      </c>
      <c r="C26" s="601" t="s">
        <v>19</v>
      </c>
      <c r="D26" s="602">
        <v>600</v>
      </c>
      <c r="E26" s="602"/>
      <c r="F26" s="641">
        <f>SUM(F27:F31)</f>
        <v>1080</v>
      </c>
      <c r="G26" s="642">
        <f>SUM(G27:G31)</f>
        <v>4.0999999999999996</v>
      </c>
      <c r="H26" s="603"/>
      <c r="I26" s="643">
        <f>I13/F13*D26</f>
        <v>7096098.9533777349</v>
      </c>
      <c r="J26" s="602"/>
      <c r="K26" s="602"/>
      <c r="L26" s="604"/>
      <c r="N26" s="640"/>
    </row>
    <row r="27" spans="2:20" outlineLevel="1" x14ac:dyDescent="0.35">
      <c r="B27" s="611" t="s">
        <v>796</v>
      </c>
      <c r="C27" s="612" t="s">
        <v>45</v>
      </c>
      <c r="D27" s="613">
        <f>D26*E27</f>
        <v>510</v>
      </c>
      <c r="E27" s="614">
        <v>0.85</v>
      </c>
      <c r="F27" s="613">
        <f>D27</f>
        <v>510</v>
      </c>
      <c r="G27" s="615">
        <v>1.35</v>
      </c>
      <c r="H27" s="615">
        <f>F27*G27</f>
        <v>688.5</v>
      </c>
      <c r="I27" s="613">
        <f>$I$26/$H$31*H27</f>
        <v>6886066.4262164487</v>
      </c>
      <c r="J27" s="616">
        <f>I27/$I$26</f>
        <v>0.97040169133192389</v>
      </c>
      <c r="K27" s="616">
        <f>J27</f>
        <v>0.97040169133192389</v>
      </c>
      <c r="L27" s="798" t="s">
        <v>778</v>
      </c>
      <c r="M27" s="589">
        <f>ROUND($M$13+O27,-2)</f>
        <v>16500</v>
      </c>
      <c r="N27" s="644">
        <f>M27/$M$31</f>
        <v>1.2692307692307692</v>
      </c>
      <c r="O27" s="589">
        <v>2000</v>
      </c>
      <c r="P27" s="589">
        <v>2500</v>
      </c>
    </row>
    <row r="28" spans="2:20" outlineLevel="1" x14ac:dyDescent="0.35">
      <c r="B28" s="611" t="s">
        <v>797</v>
      </c>
      <c r="C28" s="612" t="s">
        <v>798</v>
      </c>
      <c r="D28" s="613">
        <f>D26*E28</f>
        <v>30</v>
      </c>
      <c r="E28" s="614">
        <v>0.05</v>
      </c>
      <c r="F28" s="613">
        <f>D28</f>
        <v>30</v>
      </c>
      <c r="G28" s="615">
        <v>0.7</v>
      </c>
      <c r="H28" s="615">
        <f>F28*G28</f>
        <v>21</v>
      </c>
      <c r="I28" s="613">
        <f>$I$26/$H$31*H28</f>
        <v>210032.52716128601</v>
      </c>
      <c r="J28" s="616">
        <f>I28/$I$26</f>
        <v>2.9598308668076109E-2</v>
      </c>
      <c r="K28" s="616">
        <f>J28</f>
        <v>2.9598308668076109E-2</v>
      </c>
      <c r="L28" s="799"/>
      <c r="M28" s="589">
        <f>ROUND($M$14+O28,-2)</f>
        <v>9500</v>
      </c>
      <c r="N28" s="644">
        <f>M28/$M$31</f>
        <v>0.73076923076923073</v>
      </c>
      <c r="O28" s="589">
        <f>O27</f>
        <v>2000</v>
      </c>
      <c r="P28" s="589">
        <v>2500</v>
      </c>
    </row>
    <row r="29" spans="2:20" outlineLevel="1" x14ac:dyDescent="0.35">
      <c r="B29" s="611"/>
      <c r="C29" s="612" t="s">
        <v>799</v>
      </c>
      <c r="D29" s="613">
        <f>D26*5%</f>
        <v>30</v>
      </c>
      <c r="E29" s="614"/>
      <c r="F29" s="613"/>
      <c r="G29" s="615"/>
      <c r="H29" s="615"/>
      <c r="I29" s="613"/>
      <c r="J29" s="616"/>
      <c r="K29" s="616"/>
      <c r="L29" s="616"/>
      <c r="N29" s="645"/>
    </row>
    <row r="30" spans="2:20" outlineLevel="1" x14ac:dyDescent="0.35">
      <c r="B30" s="611"/>
      <c r="C30" s="612" t="s">
        <v>792</v>
      </c>
      <c r="D30" s="613">
        <f>D26*5%</f>
        <v>30</v>
      </c>
      <c r="E30" s="614"/>
      <c r="F30" s="613"/>
      <c r="G30" s="615"/>
      <c r="H30" s="615"/>
      <c r="I30" s="613"/>
      <c r="J30" s="616"/>
      <c r="K30" s="616"/>
      <c r="L30" s="616"/>
      <c r="N30" s="645"/>
    </row>
    <row r="31" spans="2:20" s="638" customFormat="1" ht="13" outlineLevel="1" x14ac:dyDescent="0.35">
      <c r="B31" s="629"/>
      <c r="C31" s="630" t="s">
        <v>793</v>
      </c>
      <c r="D31" s="631">
        <f>SUM(D27:D30)</f>
        <v>600</v>
      </c>
      <c r="E31" s="632"/>
      <c r="F31" s="633">
        <f>SUM(F27:F30)</f>
        <v>540</v>
      </c>
      <c r="G31" s="633">
        <f>SUM(G27:G30)</f>
        <v>2.0499999999999998</v>
      </c>
      <c r="H31" s="633">
        <f>SUM(H27:H30)</f>
        <v>709.5</v>
      </c>
      <c r="I31" s="633"/>
      <c r="J31" s="634"/>
      <c r="K31" s="634"/>
      <c r="L31" s="634"/>
      <c r="M31" s="635">
        <f>AVERAGE(M27:M30)</f>
        <v>13000</v>
      </c>
      <c r="N31" s="646"/>
      <c r="O31" s="637"/>
      <c r="P31" s="637"/>
    </row>
    <row r="33" spans="3:28" x14ac:dyDescent="0.35">
      <c r="C33" s="658" t="s">
        <v>805</v>
      </c>
      <c r="AB33" s="654">
        <v>16300</v>
      </c>
    </row>
  </sheetData>
  <mergeCells count="7">
    <mergeCell ref="L27:L28"/>
    <mergeCell ref="D3:E3"/>
    <mergeCell ref="J3:K3"/>
    <mergeCell ref="M3:N3"/>
    <mergeCell ref="D4:E4"/>
    <mergeCell ref="L7:L14"/>
    <mergeCell ref="D24:E2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F58B9-999B-4D16-897F-1B55753367AE}">
  <sheetPr>
    <tabColor rgb="FF0000FF"/>
  </sheetPr>
  <dimension ref="B2:T31"/>
  <sheetViews>
    <sheetView topLeftCell="C12" zoomScale="85" zoomScaleNormal="85" workbookViewId="0">
      <selection activeCell="M27" sqref="M27"/>
    </sheetView>
  </sheetViews>
  <sheetFormatPr defaultColWidth="8.7265625" defaultRowHeight="12.5" outlineLevelRow="1" outlineLevelCol="1" x14ac:dyDescent="0.35"/>
  <cols>
    <col min="1" max="1" width="3.54296875" style="588" customWidth="1"/>
    <col min="2" max="2" width="11" style="588" customWidth="1"/>
    <col min="3" max="3" width="27.453125" style="588" customWidth="1"/>
    <col min="4" max="5" width="10.81640625" style="588" customWidth="1"/>
    <col min="6" max="6" width="12.54296875" style="588" customWidth="1"/>
    <col min="7" max="8" width="13.1796875" style="588" customWidth="1"/>
    <col min="9" max="9" width="15.26953125" style="588" customWidth="1"/>
    <col min="10" max="10" width="14" style="588" customWidth="1"/>
    <col min="11" max="11" width="13.54296875" style="588" customWidth="1"/>
    <col min="12" max="12" width="23" style="588" customWidth="1"/>
    <col min="13" max="13" width="11.453125" style="589" customWidth="1" outlineLevel="1"/>
    <col min="14" max="14" width="8.7265625" style="589" outlineLevel="1"/>
    <col min="15" max="16" width="8.7265625" style="589"/>
    <col min="17" max="17" width="9.1796875" style="588" bestFit="1" customWidth="1"/>
    <col min="18" max="18" width="11" style="588" bestFit="1" customWidth="1"/>
    <col min="19" max="16384" width="8.7265625" style="588"/>
  </cols>
  <sheetData>
    <row r="2" spans="2:20" ht="20" x14ac:dyDescent="0.35">
      <c r="B2" s="590" t="s">
        <v>754</v>
      </c>
      <c r="C2" s="590"/>
      <c r="D2" s="590"/>
      <c r="E2" s="590"/>
      <c r="F2" s="590"/>
      <c r="G2" s="590"/>
      <c r="H2" s="590"/>
      <c r="I2" s="590"/>
      <c r="J2" s="590"/>
      <c r="K2" s="590"/>
      <c r="L2" s="590"/>
    </row>
    <row r="3" spans="2:20" ht="13" x14ac:dyDescent="0.35">
      <c r="D3" s="800"/>
      <c r="E3" s="800"/>
      <c r="F3" s="591"/>
      <c r="G3" s="591"/>
      <c r="H3" s="591"/>
      <c r="I3" s="591"/>
      <c r="J3" s="801"/>
      <c r="K3" s="801"/>
      <c r="M3" s="802" t="s">
        <v>755</v>
      </c>
      <c r="N3" s="802"/>
    </row>
    <row r="4" spans="2:20" s="599" customFormat="1" ht="52" x14ac:dyDescent="0.35">
      <c r="B4" s="593" t="s">
        <v>756</v>
      </c>
      <c r="C4" s="594" t="s">
        <v>757</v>
      </c>
      <c r="D4" s="803" t="s">
        <v>758</v>
      </c>
      <c r="E4" s="803"/>
      <c r="F4" s="595" t="s">
        <v>759</v>
      </c>
      <c r="G4" s="659" t="s">
        <v>760</v>
      </c>
      <c r="H4" s="595" t="s">
        <v>761</v>
      </c>
      <c r="I4" s="595" t="s">
        <v>762</v>
      </c>
      <c r="J4" s="596" t="s">
        <v>763</v>
      </c>
      <c r="K4" s="596" t="s">
        <v>764</v>
      </c>
      <c r="L4" s="596" t="s">
        <v>16</v>
      </c>
      <c r="M4" s="597" t="s">
        <v>765</v>
      </c>
      <c r="N4" s="598" t="s">
        <v>766</v>
      </c>
      <c r="O4" s="592"/>
      <c r="P4" s="592" t="s">
        <v>767</v>
      </c>
      <c r="Q4" s="599" t="s">
        <v>768</v>
      </c>
      <c r="R4" s="599" t="s">
        <v>769</v>
      </c>
      <c r="S4" s="599" t="s">
        <v>454</v>
      </c>
      <c r="T4" s="599" t="s">
        <v>455</v>
      </c>
    </row>
    <row r="5" spans="2:20" ht="13" x14ac:dyDescent="0.3">
      <c r="B5" s="600"/>
      <c r="C5" s="601"/>
      <c r="D5" s="602" t="s">
        <v>770</v>
      </c>
      <c r="E5" s="602" t="s">
        <v>486</v>
      </c>
      <c r="F5" s="603" t="s">
        <v>771</v>
      </c>
      <c r="G5" s="663" t="s">
        <v>772</v>
      </c>
      <c r="H5" s="603" t="s">
        <v>773</v>
      </c>
      <c r="I5" s="603" t="s">
        <v>774</v>
      </c>
      <c r="J5" s="602" t="s">
        <v>486</v>
      </c>
      <c r="K5" s="602" t="s">
        <v>486</v>
      </c>
      <c r="L5" s="604"/>
      <c r="N5" s="605"/>
    </row>
    <row r="6" spans="2:20" ht="13" outlineLevel="1" x14ac:dyDescent="0.35">
      <c r="B6" s="606" t="s">
        <v>775</v>
      </c>
      <c r="C6" s="607" t="s">
        <v>776</v>
      </c>
      <c r="D6" s="608">
        <v>1000</v>
      </c>
      <c r="E6" s="609">
        <f>SUM(E7:E20)</f>
        <v>1.0000000000000002</v>
      </c>
      <c r="F6" s="609"/>
      <c r="G6" s="664"/>
      <c r="H6" s="610"/>
      <c r="I6" s="608">
        <f>D6*10000</f>
        <v>10000000</v>
      </c>
      <c r="J6" s="609">
        <f>SUM(J7:J19)</f>
        <v>1</v>
      </c>
      <c r="K6" s="609">
        <f>SUM(K7:K19)</f>
        <v>1</v>
      </c>
      <c r="L6" s="609"/>
      <c r="N6" s="605"/>
      <c r="Q6" s="589">
        <v>3000</v>
      </c>
    </row>
    <row r="7" spans="2:20" outlineLevel="1" x14ac:dyDescent="0.35">
      <c r="B7" s="611" t="s">
        <v>777</v>
      </c>
      <c r="C7" s="612" t="s">
        <v>503</v>
      </c>
      <c r="D7" s="613">
        <v>540</v>
      </c>
      <c r="E7" s="614">
        <v>0.54</v>
      </c>
      <c r="F7" s="613">
        <f>D7</f>
        <v>540</v>
      </c>
      <c r="G7" s="660">
        <v>1.25</v>
      </c>
      <c r="H7" s="615">
        <f t="shared" ref="H7:H14" si="0">F7*G7</f>
        <v>675</v>
      </c>
      <c r="I7" s="613">
        <f t="shared" ref="I7:I14" si="1">$I$6/$H$21*H7</f>
        <v>6422454.8049476696</v>
      </c>
      <c r="J7" s="616">
        <f t="shared" ref="J7:J14" si="2">I7/$I$6</f>
        <v>0.64224548049476693</v>
      </c>
      <c r="K7" s="616">
        <f>J7</f>
        <v>0.64224548049476693</v>
      </c>
      <c r="L7" s="804" t="s">
        <v>778</v>
      </c>
      <c r="M7" s="589">
        <f>ROUND(11000+11000*14%+4000,-2)</f>
        <v>16500</v>
      </c>
      <c r="N7" s="617">
        <f>M7/$M$21</f>
        <v>1.2222222222222223</v>
      </c>
      <c r="P7" s="589">
        <f>I7/F7</f>
        <v>11893.434823977166</v>
      </c>
      <c r="Q7" s="589">
        <f>$Q$6*K7</f>
        <v>1926.7364414843007</v>
      </c>
      <c r="R7" s="618">
        <f>P7+Q7</f>
        <v>13820.171265461468</v>
      </c>
      <c r="S7" s="618">
        <f>M7-R7</f>
        <v>2679.8287345385324</v>
      </c>
      <c r="T7" s="619">
        <f>S7/M7</f>
        <v>0.16241386269930499</v>
      </c>
    </row>
    <row r="8" spans="2:20" outlineLevel="1" x14ac:dyDescent="0.35">
      <c r="B8" s="611" t="s">
        <v>779</v>
      </c>
      <c r="C8" s="612" t="s">
        <v>50</v>
      </c>
      <c r="D8" s="613"/>
      <c r="E8" s="614"/>
      <c r="F8" s="613">
        <f>D8</f>
        <v>0</v>
      </c>
      <c r="G8" s="660"/>
      <c r="H8" s="615">
        <f t="shared" si="0"/>
        <v>0</v>
      </c>
      <c r="I8" s="613">
        <f t="shared" si="1"/>
        <v>0</v>
      </c>
      <c r="J8" s="616">
        <f t="shared" si="2"/>
        <v>0</v>
      </c>
      <c r="K8" s="616">
        <f t="shared" ref="K8:K14" si="3">J8</f>
        <v>0</v>
      </c>
      <c r="L8" s="805"/>
      <c r="N8" s="617">
        <f t="shared" ref="N8:N13" si="4">M8/$M$21</f>
        <v>0</v>
      </c>
      <c r="P8" s="589" t="e">
        <f t="shared" ref="P8:P20" si="5">I8/F8</f>
        <v>#DIV/0!</v>
      </c>
      <c r="Q8" s="589">
        <f t="shared" ref="Q8:Q20" si="6">$Q$6*K8</f>
        <v>0</v>
      </c>
      <c r="R8" s="618" t="e">
        <f t="shared" ref="R8:R20" si="7">P8+Q8</f>
        <v>#DIV/0!</v>
      </c>
      <c r="S8" s="618" t="e">
        <f t="shared" ref="S8:S20" si="8">M8-R8</f>
        <v>#DIV/0!</v>
      </c>
      <c r="T8" s="619" t="e">
        <f t="shared" ref="T8:T21" si="9">S8/M8</f>
        <v>#DIV/0!</v>
      </c>
    </row>
    <row r="9" spans="2:20" outlineLevel="1" x14ac:dyDescent="0.35">
      <c r="B9" s="611" t="s">
        <v>780</v>
      </c>
      <c r="C9" s="612" t="s">
        <v>22</v>
      </c>
      <c r="D9" s="613">
        <v>30</v>
      </c>
      <c r="E9" s="614">
        <v>0.03</v>
      </c>
      <c r="F9" s="613">
        <f t="shared" ref="F9:F14" si="10">D9</f>
        <v>30</v>
      </c>
      <c r="G9" s="660">
        <v>1.1000000000000001</v>
      </c>
      <c r="H9" s="615">
        <f t="shared" si="0"/>
        <v>33</v>
      </c>
      <c r="I9" s="613">
        <f t="shared" si="1"/>
        <v>313986.67935299716</v>
      </c>
      <c r="J9" s="616">
        <f t="shared" si="2"/>
        <v>3.1398667935299718E-2</v>
      </c>
      <c r="K9" s="616">
        <f t="shared" si="3"/>
        <v>3.1398667935299718E-2</v>
      </c>
      <c r="L9" s="805"/>
      <c r="M9" s="589">
        <f>ROUND(11000+11000*14%+2500,-2)</f>
        <v>15000</v>
      </c>
      <c r="N9" s="617">
        <f t="shared" si="4"/>
        <v>1.1111111111111112</v>
      </c>
      <c r="P9" s="589">
        <f t="shared" si="5"/>
        <v>10466.222645099906</v>
      </c>
      <c r="Q9" s="589">
        <f t="shared" si="6"/>
        <v>94.196003805899153</v>
      </c>
      <c r="R9" s="618">
        <f t="shared" si="7"/>
        <v>10560.418648905805</v>
      </c>
      <c r="S9" s="618">
        <f t="shared" si="8"/>
        <v>4439.5813510941953</v>
      </c>
      <c r="T9" s="619">
        <f t="shared" si="9"/>
        <v>0.29597209007294634</v>
      </c>
    </row>
    <row r="10" spans="2:20" outlineLevel="1" x14ac:dyDescent="0.35">
      <c r="B10" s="611" t="s">
        <v>781</v>
      </c>
      <c r="C10" s="612" t="s">
        <v>27</v>
      </c>
      <c r="D10" s="613">
        <v>20</v>
      </c>
      <c r="E10" s="614">
        <v>0.02</v>
      </c>
      <c r="F10" s="613">
        <f>D10</f>
        <v>20</v>
      </c>
      <c r="G10" s="660">
        <v>1</v>
      </c>
      <c r="H10" s="615">
        <f t="shared" si="0"/>
        <v>20</v>
      </c>
      <c r="I10" s="613">
        <f t="shared" si="1"/>
        <v>190294.95718363466</v>
      </c>
      <c r="J10" s="616">
        <f t="shared" si="2"/>
        <v>1.9029495718363466E-2</v>
      </c>
      <c r="K10" s="616">
        <f t="shared" si="3"/>
        <v>1.9029495718363466E-2</v>
      </c>
      <c r="L10" s="805"/>
      <c r="M10" s="589">
        <f>ROUND(11000+11000*14%+1000,-2)</f>
        <v>13500</v>
      </c>
      <c r="N10" s="617">
        <f>M10/$M$21</f>
        <v>1</v>
      </c>
      <c r="P10" s="589">
        <f t="shared" si="5"/>
        <v>9514.7478591817326</v>
      </c>
      <c r="Q10" s="589">
        <f t="shared" si="6"/>
        <v>57.088487155090398</v>
      </c>
      <c r="R10" s="618">
        <f t="shared" si="7"/>
        <v>9571.8363463368223</v>
      </c>
      <c r="S10" s="618">
        <f t="shared" si="8"/>
        <v>3928.1636536631777</v>
      </c>
      <c r="T10" s="619">
        <f t="shared" si="9"/>
        <v>0.29097508545653167</v>
      </c>
    </row>
    <row r="11" spans="2:20" outlineLevel="1" x14ac:dyDescent="0.35">
      <c r="B11" s="611" t="s">
        <v>782</v>
      </c>
      <c r="C11" s="612" t="s">
        <v>29</v>
      </c>
      <c r="D11" s="613">
        <v>20</v>
      </c>
      <c r="E11" s="614">
        <v>0.02</v>
      </c>
      <c r="F11" s="613">
        <f t="shared" si="10"/>
        <v>20</v>
      </c>
      <c r="G11" s="660">
        <v>1</v>
      </c>
      <c r="H11" s="615">
        <f t="shared" si="0"/>
        <v>20</v>
      </c>
      <c r="I11" s="613">
        <f t="shared" si="1"/>
        <v>190294.95718363466</v>
      </c>
      <c r="J11" s="616">
        <f t="shared" si="2"/>
        <v>1.9029495718363466E-2</v>
      </c>
      <c r="K11" s="616">
        <f t="shared" si="3"/>
        <v>1.9029495718363466E-2</v>
      </c>
      <c r="L11" s="805"/>
      <c r="M11" s="589">
        <f>ROUND(11000+11000*14%+1000,-2)</f>
        <v>13500</v>
      </c>
      <c r="N11" s="617">
        <f>M11/$M$21</f>
        <v>1</v>
      </c>
      <c r="P11" s="589">
        <f t="shared" si="5"/>
        <v>9514.7478591817326</v>
      </c>
      <c r="Q11" s="589">
        <f t="shared" si="6"/>
        <v>57.088487155090398</v>
      </c>
      <c r="R11" s="618">
        <f t="shared" si="7"/>
        <v>9571.8363463368223</v>
      </c>
      <c r="S11" s="618">
        <f t="shared" si="8"/>
        <v>3928.1636536631777</v>
      </c>
      <c r="T11" s="619">
        <f t="shared" si="9"/>
        <v>0.29097508545653167</v>
      </c>
    </row>
    <row r="12" spans="2:20" outlineLevel="1" x14ac:dyDescent="0.35">
      <c r="B12" s="611"/>
      <c r="C12" s="612" t="s">
        <v>32</v>
      </c>
      <c r="D12" s="613"/>
      <c r="E12" s="614"/>
      <c r="F12" s="613">
        <f>D12</f>
        <v>0</v>
      </c>
      <c r="G12" s="660"/>
      <c r="H12" s="615">
        <f t="shared" si="0"/>
        <v>0</v>
      </c>
      <c r="I12" s="613">
        <f t="shared" si="1"/>
        <v>0</v>
      </c>
      <c r="J12" s="616">
        <f t="shared" si="2"/>
        <v>0</v>
      </c>
      <c r="K12" s="616">
        <f t="shared" si="3"/>
        <v>0</v>
      </c>
      <c r="L12" s="805"/>
      <c r="N12" s="617">
        <f t="shared" si="4"/>
        <v>0</v>
      </c>
      <c r="P12" s="589" t="e">
        <f t="shared" si="5"/>
        <v>#DIV/0!</v>
      </c>
      <c r="Q12" s="589">
        <f t="shared" si="6"/>
        <v>0</v>
      </c>
      <c r="R12" s="618" t="e">
        <f t="shared" si="7"/>
        <v>#DIV/0!</v>
      </c>
      <c r="S12" s="618" t="e">
        <f t="shared" si="8"/>
        <v>#DIV/0!</v>
      </c>
      <c r="T12" s="619" t="e">
        <f t="shared" si="9"/>
        <v>#DIV/0!</v>
      </c>
    </row>
    <row r="13" spans="2:20" outlineLevel="1" x14ac:dyDescent="0.35">
      <c r="B13" s="611" t="s">
        <v>783</v>
      </c>
      <c r="C13" s="612" t="s">
        <v>19</v>
      </c>
      <c r="D13" s="613">
        <v>270</v>
      </c>
      <c r="E13" s="614">
        <v>0.27</v>
      </c>
      <c r="F13" s="613">
        <f t="shared" si="10"/>
        <v>270</v>
      </c>
      <c r="G13" s="660">
        <v>1.1000000000000001</v>
      </c>
      <c r="H13" s="615">
        <f t="shared" si="0"/>
        <v>297</v>
      </c>
      <c r="I13" s="613">
        <f t="shared" si="1"/>
        <v>2825880.1141769746</v>
      </c>
      <c r="J13" s="616">
        <f t="shared" si="2"/>
        <v>0.28258801141769746</v>
      </c>
      <c r="K13" s="616">
        <f t="shared" si="3"/>
        <v>0.28258801141769746</v>
      </c>
      <c r="L13" s="805"/>
      <c r="M13" s="589">
        <f>ROUND(11000+11000*14%+2500,-2)</f>
        <v>15000</v>
      </c>
      <c r="N13" s="617">
        <f t="shared" si="4"/>
        <v>1.1111111111111112</v>
      </c>
      <c r="P13" s="589">
        <f t="shared" si="5"/>
        <v>10466.222645099906</v>
      </c>
      <c r="Q13" s="589">
        <f t="shared" si="6"/>
        <v>847.7640342530924</v>
      </c>
      <c r="R13" s="618">
        <f t="shared" si="7"/>
        <v>11313.986679352998</v>
      </c>
      <c r="S13" s="618">
        <f t="shared" si="8"/>
        <v>3686.0133206470018</v>
      </c>
      <c r="T13" s="619">
        <f t="shared" si="9"/>
        <v>0.24573422137646678</v>
      </c>
    </row>
    <row r="14" spans="2:20" outlineLevel="1" x14ac:dyDescent="0.35">
      <c r="B14" s="611" t="s">
        <v>784</v>
      </c>
      <c r="C14" s="612" t="s">
        <v>80</v>
      </c>
      <c r="D14" s="613">
        <v>10</v>
      </c>
      <c r="E14" s="614">
        <v>0.01</v>
      </c>
      <c r="F14" s="613">
        <f t="shared" si="10"/>
        <v>10</v>
      </c>
      <c r="G14" s="660">
        <v>0.6</v>
      </c>
      <c r="H14" s="615">
        <f t="shared" si="0"/>
        <v>6</v>
      </c>
      <c r="I14" s="613">
        <f t="shared" si="1"/>
        <v>57088.487155090392</v>
      </c>
      <c r="J14" s="616">
        <f t="shared" si="2"/>
        <v>5.708848715509039E-3</v>
      </c>
      <c r="K14" s="616">
        <f t="shared" si="3"/>
        <v>5.708848715509039E-3</v>
      </c>
      <c r="L14" s="806"/>
      <c r="M14" s="589">
        <f>ROUND(11000+11000*14%-5000,-2)</f>
        <v>7500</v>
      </c>
      <c r="N14" s="617">
        <f>M14/$M$21</f>
        <v>0.55555555555555558</v>
      </c>
      <c r="P14" s="589">
        <f t="shared" si="5"/>
        <v>5708.8487155090388</v>
      </c>
      <c r="Q14" s="589">
        <f t="shared" si="6"/>
        <v>17.126546146527119</v>
      </c>
      <c r="R14" s="618">
        <f t="shared" si="7"/>
        <v>5725.9752616555661</v>
      </c>
      <c r="S14" s="618">
        <f t="shared" si="8"/>
        <v>1774.0247383444339</v>
      </c>
      <c r="T14" s="619">
        <f t="shared" si="9"/>
        <v>0.23653663177925785</v>
      </c>
    </row>
    <row r="15" spans="2:20" outlineLevel="1" x14ac:dyDescent="0.35">
      <c r="B15" s="611"/>
      <c r="C15" s="612" t="s">
        <v>35</v>
      </c>
      <c r="D15" s="613"/>
      <c r="E15" s="614">
        <v>0</v>
      </c>
      <c r="F15" s="613"/>
      <c r="G15" s="660"/>
      <c r="H15" s="615"/>
      <c r="I15" s="613"/>
      <c r="J15" s="616"/>
      <c r="K15" s="616"/>
      <c r="L15" s="616"/>
      <c r="N15" s="617">
        <f>M15/$M$21</f>
        <v>0</v>
      </c>
      <c r="P15" s="589" t="e">
        <f t="shared" si="5"/>
        <v>#DIV/0!</v>
      </c>
      <c r="Q15" s="589">
        <f t="shared" si="6"/>
        <v>0</v>
      </c>
      <c r="R15" s="618" t="e">
        <f t="shared" si="7"/>
        <v>#DIV/0!</v>
      </c>
      <c r="S15" s="618" t="e">
        <f t="shared" si="8"/>
        <v>#DIV/0!</v>
      </c>
      <c r="T15" s="619" t="e">
        <f t="shared" si="9"/>
        <v>#DIV/0!</v>
      </c>
    </row>
    <row r="16" spans="2:20" outlineLevel="1" x14ac:dyDescent="0.35">
      <c r="B16" s="611" t="s">
        <v>785</v>
      </c>
      <c r="C16" s="612" t="s">
        <v>261</v>
      </c>
      <c r="D16" s="613"/>
      <c r="E16" s="614">
        <v>0</v>
      </c>
      <c r="F16" s="613"/>
      <c r="G16" s="660"/>
      <c r="H16" s="615"/>
      <c r="I16" s="613"/>
      <c r="J16" s="616"/>
      <c r="K16" s="616"/>
      <c r="L16" s="616"/>
      <c r="N16" s="617">
        <f>M16/$M$21</f>
        <v>0</v>
      </c>
      <c r="P16" s="589" t="e">
        <f t="shared" si="5"/>
        <v>#DIV/0!</v>
      </c>
      <c r="Q16" s="589">
        <f t="shared" si="6"/>
        <v>0</v>
      </c>
      <c r="R16" s="618" t="e">
        <f t="shared" si="7"/>
        <v>#DIV/0!</v>
      </c>
      <c r="S16" s="618" t="e">
        <f t="shared" si="8"/>
        <v>#DIV/0!</v>
      </c>
      <c r="T16" s="619" t="e">
        <f t="shared" si="9"/>
        <v>#DIV/0!</v>
      </c>
    </row>
    <row r="17" spans="2:20" outlineLevel="1" x14ac:dyDescent="0.35">
      <c r="B17" s="611" t="s">
        <v>786</v>
      </c>
      <c r="C17" s="612" t="s">
        <v>787</v>
      </c>
      <c r="D17" s="613"/>
      <c r="E17" s="614">
        <v>0</v>
      </c>
      <c r="F17" s="613"/>
      <c r="G17" s="660"/>
      <c r="H17" s="615"/>
      <c r="I17" s="613"/>
      <c r="J17" s="616"/>
      <c r="K17" s="616"/>
      <c r="L17" s="616"/>
      <c r="N17" s="617">
        <f>M17/$M$21</f>
        <v>0</v>
      </c>
      <c r="P17" s="589" t="e">
        <f t="shared" si="5"/>
        <v>#DIV/0!</v>
      </c>
      <c r="Q17" s="589">
        <f t="shared" si="6"/>
        <v>0</v>
      </c>
      <c r="R17" s="618" t="e">
        <f t="shared" si="7"/>
        <v>#DIV/0!</v>
      </c>
      <c r="S17" s="618" t="e">
        <f t="shared" si="8"/>
        <v>#DIV/0!</v>
      </c>
      <c r="T17" s="619" t="e">
        <f t="shared" si="9"/>
        <v>#DIV/0!</v>
      </c>
    </row>
    <row r="18" spans="2:20" outlineLevel="1" x14ac:dyDescent="0.35">
      <c r="B18" s="611" t="s">
        <v>788</v>
      </c>
      <c r="C18" s="612" t="s">
        <v>789</v>
      </c>
      <c r="D18" s="613">
        <v>10</v>
      </c>
      <c r="E18" s="614">
        <v>0.01</v>
      </c>
      <c r="F18" s="613"/>
      <c r="G18" s="660"/>
      <c r="H18" s="615"/>
      <c r="I18" s="614"/>
      <c r="J18" s="616"/>
      <c r="K18" s="616"/>
      <c r="L18" s="616"/>
      <c r="N18" s="617"/>
      <c r="P18" s="589" t="e">
        <f t="shared" si="5"/>
        <v>#DIV/0!</v>
      </c>
      <c r="Q18" s="589">
        <f t="shared" si="6"/>
        <v>0</v>
      </c>
      <c r="R18" s="618" t="e">
        <f t="shared" si="7"/>
        <v>#DIV/0!</v>
      </c>
      <c r="S18" s="618" t="e">
        <f t="shared" si="8"/>
        <v>#DIV/0!</v>
      </c>
      <c r="T18" s="619" t="e">
        <f t="shared" si="9"/>
        <v>#DIV/0!</v>
      </c>
    </row>
    <row r="19" spans="2:20" s="628" customFormat="1" outlineLevel="1" x14ac:dyDescent="0.35">
      <c r="B19" s="620" t="s">
        <v>790</v>
      </c>
      <c r="C19" s="621" t="s">
        <v>791</v>
      </c>
      <c r="D19" s="622">
        <v>60</v>
      </c>
      <c r="E19" s="623">
        <v>0.06</v>
      </c>
      <c r="F19" s="613"/>
      <c r="G19" s="661"/>
      <c r="H19" s="624"/>
      <c r="I19" s="623"/>
      <c r="J19" s="616"/>
      <c r="K19" s="616"/>
      <c r="L19" s="625"/>
      <c r="M19" s="589"/>
      <c r="N19" s="626"/>
      <c r="O19" s="627"/>
      <c r="P19" s="589" t="e">
        <f t="shared" si="5"/>
        <v>#DIV/0!</v>
      </c>
      <c r="Q19" s="589">
        <f t="shared" si="6"/>
        <v>0</v>
      </c>
      <c r="R19" s="618" t="e">
        <f t="shared" si="7"/>
        <v>#DIV/0!</v>
      </c>
      <c r="S19" s="618" t="e">
        <f t="shared" si="8"/>
        <v>#DIV/0!</v>
      </c>
      <c r="T19" s="619" t="e">
        <f t="shared" si="9"/>
        <v>#DIV/0!</v>
      </c>
    </row>
    <row r="20" spans="2:20" s="628" customFormat="1" outlineLevel="1" x14ac:dyDescent="0.35">
      <c r="B20" s="620"/>
      <c r="C20" s="621" t="s">
        <v>792</v>
      </c>
      <c r="D20" s="624">
        <f>D6-SUM(D7:D19)</f>
        <v>40</v>
      </c>
      <c r="E20" s="623">
        <v>0.04</v>
      </c>
      <c r="F20" s="613"/>
      <c r="G20" s="661"/>
      <c r="H20" s="624"/>
      <c r="I20" s="623"/>
      <c r="J20" s="625"/>
      <c r="K20" s="625"/>
      <c r="L20" s="625"/>
      <c r="M20" s="627"/>
      <c r="N20" s="626"/>
      <c r="O20" s="627"/>
      <c r="P20" s="589" t="e">
        <f t="shared" si="5"/>
        <v>#DIV/0!</v>
      </c>
      <c r="Q20" s="589">
        <f t="shared" si="6"/>
        <v>0</v>
      </c>
      <c r="R20" s="618" t="e">
        <f t="shared" si="7"/>
        <v>#DIV/0!</v>
      </c>
      <c r="S20" s="618" t="e">
        <f t="shared" si="8"/>
        <v>#DIV/0!</v>
      </c>
      <c r="T20" s="619" t="e">
        <f t="shared" si="9"/>
        <v>#DIV/0!</v>
      </c>
    </row>
    <row r="21" spans="2:20" s="638" customFormat="1" ht="13" outlineLevel="1" x14ac:dyDescent="0.35">
      <c r="B21" s="629"/>
      <c r="C21" s="630" t="s">
        <v>793</v>
      </c>
      <c r="D21" s="631">
        <f t="shared" ref="D21:I21" si="11">SUM(D7:D20)</f>
        <v>1000</v>
      </c>
      <c r="E21" s="632">
        <f t="shared" si="11"/>
        <v>1.0000000000000002</v>
      </c>
      <c r="F21" s="631">
        <f>SUM(F7:F20)</f>
        <v>890</v>
      </c>
      <c r="G21" s="662">
        <f t="shared" si="11"/>
        <v>6.0499999999999989</v>
      </c>
      <c r="H21" s="633">
        <f t="shared" si="11"/>
        <v>1051</v>
      </c>
      <c r="I21" s="633">
        <f t="shared" si="11"/>
        <v>10000000.000000002</v>
      </c>
      <c r="J21" s="634"/>
      <c r="K21" s="634"/>
      <c r="L21" s="634"/>
      <c r="M21" s="635">
        <f>AVERAGE(M7:M19)</f>
        <v>13500</v>
      </c>
      <c r="N21" s="636"/>
      <c r="O21" s="637"/>
      <c r="P21" s="589">
        <f>I21/F21</f>
        <v>11235.955056179777</v>
      </c>
      <c r="T21" s="619">
        <f t="shared" si="9"/>
        <v>0</v>
      </c>
    </row>
    <row r="22" spans="2:20" x14ac:dyDescent="0.35">
      <c r="P22" s="589">
        <f>10000/(F21/1000)-P21</f>
        <v>0</v>
      </c>
    </row>
    <row r="24" spans="2:20" s="599" customFormat="1" ht="52" x14ac:dyDescent="0.35">
      <c r="B24" s="593" t="s">
        <v>794</v>
      </c>
      <c r="C24" s="593" t="s">
        <v>795</v>
      </c>
      <c r="D24" s="803" t="s">
        <v>758</v>
      </c>
      <c r="E24" s="803"/>
      <c r="F24" s="595" t="s">
        <v>759</v>
      </c>
      <c r="G24" s="595" t="s">
        <v>760</v>
      </c>
      <c r="H24" s="595" t="s">
        <v>761</v>
      </c>
      <c r="I24" s="595" t="s">
        <v>762</v>
      </c>
      <c r="J24" s="596" t="s">
        <v>763</v>
      </c>
      <c r="K24" s="596" t="s">
        <v>764</v>
      </c>
      <c r="L24" s="596" t="s">
        <v>16</v>
      </c>
      <c r="M24" s="597" t="s">
        <v>765</v>
      </c>
      <c r="N24" s="639" t="s">
        <v>766</v>
      </c>
      <c r="O24" s="592"/>
      <c r="P24" s="592"/>
    </row>
    <row r="25" spans="2:20" ht="13" x14ac:dyDescent="0.3">
      <c r="B25" s="600"/>
      <c r="C25" s="601"/>
      <c r="D25" s="602" t="s">
        <v>770</v>
      </c>
      <c r="E25" s="602" t="s">
        <v>486</v>
      </c>
      <c r="F25" s="603" t="s">
        <v>771</v>
      </c>
      <c r="G25" s="603" t="s">
        <v>772</v>
      </c>
      <c r="H25" s="603" t="s">
        <v>773</v>
      </c>
      <c r="I25" s="603" t="s">
        <v>774</v>
      </c>
      <c r="J25" s="602" t="s">
        <v>486</v>
      </c>
      <c r="K25" s="602" t="s">
        <v>486</v>
      </c>
      <c r="L25" s="604"/>
      <c r="N25" s="640"/>
    </row>
    <row r="26" spans="2:20" ht="13" x14ac:dyDescent="0.3">
      <c r="B26" s="601" t="s">
        <v>783</v>
      </c>
      <c r="C26" s="601" t="s">
        <v>19</v>
      </c>
      <c r="D26" s="602">
        <v>600</v>
      </c>
      <c r="E26" s="602"/>
      <c r="F26" s="641">
        <f>SUM(F27:F31)</f>
        <v>1080</v>
      </c>
      <c r="G26" s="642">
        <f>SUM(G27:G31)</f>
        <v>4.0999999999999996</v>
      </c>
      <c r="H26" s="603"/>
      <c r="I26" s="643">
        <f>I13/F13*D26</f>
        <v>6279733.5870599439</v>
      </c>
      <c r="J26" s="602"/>
      <c r="K26" s="602"/>
      <c r="L26" s="604"/>
      <c r="N26" s="640"/>
    </row>
    <row r="27" spans="2:20" outlineLevel="1" x14ac:dyDescent="0.35">
      <c r="B27" s="611" t="s">
        <v>796</v>
      </c>
      <c r="C27" s="612" t="s">
        <v>45</v>
      </c>
      <c r="D27" s="613">
        <f>D26*E27</f>
        <v>510</v>
      </c>
      <c r="E27" s="614">
        <v>0.85</v>
      </c>
      <c r="F27" s="613">
        <f>D27</f>
        <v>510</v>
      </c>
      <c r="G27" s="615">
        <v>1.35</v>
      </c>
      <c r="H27" s="615">
        <f>F27*G27</f>
        <v>688.5</v>
      </c>
      <c r="I27" s="613">
        <f>$I$26/$H$31*H27</f>
        <v>6093864.0939968592</v>
      </c>
      <c r="J27" s="616">
        <f>I27/$I$26</f>
        <v>0.97040169133192389</v>
      </c>
      <c r="K27" s="616">
        <f>J27</f>
        <v>0.97040169133192389</v>
      </c>
      <c r="L27" s="798" t="s">
        <v>778</v>
      </c>
      <c r="M27" s="589">
        <v>18500</v>
      </c>
      <c r="N27" s="644">
        <f>M27/$M$31</f>
        <v>1.3214285714285714</v>
      </c>
    </row>
    <row r="28" spans="2:20" outlineLevel="1" x14ac:dyDescent="0.35">
      <c r="B28" s="611" t="s">
        <v>797</v>
      </c>
      <c r="C28" s="612" t="s">
        <v>798</v>
      </c>
      <c r="D28" s="613">
        <f>D26*E28</f>
        <v>30</v>
      </c>
      <c r="E28" s="614">
        <v>0.05</v>
      </c>
      <c r="F28" s="613">
        <f>D28</f>
        <v>30</v>
      </c>
      <c r="G28" s="615">
        <v>0.7</v>
      </c>
      <c r="H28" s="615">
        <f>F28*G28</f>
        <v>21</v>
      </c>
      <c r="I28" s="613">
        <f>$I$26/$H$31*H28</f>
        <v>185869.49306308504</v>
      </c>
      <c r="J28" s="616">
        <f>I28/$I$26</f>
        <v>2.9598308668076112E-2</v>
      </c>
      <c r="K28" s="616">
        <f>J28</f>
        <v>2.9598308668076112E-2</v>
      </c>
      <c r="L28" s="799"/>
      <c r="M28" s="589">
        <v>9500</v>
      </c>
      <c r="N28" s="644">
        <f>M28/$M$31</f>
        <v>0.6785714285714286</v>
      </c>
    </row>
    <row r="29" spans="2:20" outlineLevel="1" x14ac:dyDescent="0.35">
      <c r="B29" s="611"/>
      <c r="C29" s="612" t="s">
        <v>799</v>
      </c>
      <c r="D29" s="613">
        <f>D26*5%</f>
        <v>30</v>
      </c>
      <c r="E29" s="614"/>
      <c r="F29" s="613"/>
      <c r="G29" s="615"/>
      <c r="H29" s="615"/>
      <c r="I29" s="613"/>
      <c r="J29" s="616"/>
      <c r="K29" s="616"/>
      <c r="L29" s="616"/>
      <c r="N29" s="645"/>
    </row>
    <row r="30" spans="2:20" outlineLevel="1" x14ac:dyDescent="0.35">
      <c r="B30" s="611"/>
      <c r="C30" s="612" t="s">
        <v>792</v>
      </c>
      <c r="D30" s="613">
        <f>D26*5%</f>
        <v>30</v>
      </c>
      <c r="E30" s="614"/>
      <c r="F30" s="613"/>
      <c r="G30" s="615"/>
      <c r="H30" s="615"/>
      <c r="I30" s="613"/>
      <c r="J30" s="616"/>
      <c r="K30" s="616"/>
      <c r="L30" s="616"/>
      <c r="N30" s="645"/>
    </row>
    <row r="31" spans="2:20" s="638" customFormat="1" ht="13" outlineLevel="1" x14ac:dyDescent="0.35">
      <c r="B31" s="629"/>
      <c r="C31" s="630" t="s">
        <v>793</v>
      </c>
      <c r="D31" s="631">
        <f>SUM(D27:D30)</f>
        <v>600</v>
      </c>
      <c r="E31" s="632"/>
      <c r="F31" s="633">
        <f>SUM(F27:F30)</f>
        <v>540</v>
      </c>
      <c r="G31" s="633">
        <f>SUM(G27:G30)</f>
        <v>2.0499999999999998</v>
      </c>
      <c r="H31" s="633">
        <f>SUM(H27:H30)</f>
        <v>709.5</v>
      </c>
      <c r="I31" s="633"/>
      <c r="J31" s="634"/>
      <c r="K31" s="634"/>
      <c r="L31" s="634"/>
      <c r="M31" s="635">
        <f>AVERAGE(M27:M30)</f>
        <v>14000</v>
      </c>
      <c r="N31" s="646"/>
      <c r="O31" s="637"/>
      <c r="P31" s="637"/>
    </row>
  </sheetData>
  <mergeCells count="7">
    <mergeCell ref="L27:L28"/>
    <mergeCell ref="J3:K3"/>
    <mergeCell ref="M3:N3"/>
    <mergeCell ref="D4:E4"/>
    <mergeCell ref="L7:L14"/>
    <mergeCell ref="D24:E24"/>
    <mergeCell ref="D3:E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C760F-DA5C-4BB4-B80F-9942BA08DE97}">
  <dimension ref="A2:M30"/>
  <sheetViews>
    <sheetView topLeftCell="B6" zoomScaleNormal="100" workbookViewId="0">
      <selection activeCell="D30" sqref="D30"/>
    </sheetView>
  </sheetViews>
  <sheetFormatPr defaultColWidth="8.7265625" defaultRowHeight="14.5" outlineLevelCol="1" x14ac:dyDescent="0.35"/>
  <cols>
    <col min="1" max="1" width="8.7265625" style="211" hidden="1" customWidth="1"/>
    <col min="2" max="2" width="18.453125" style="211" customWidth="1"/>
    <col min="3" max="3" width="34.1796875" style="211" bestFit="1" customWidth="1"/>
    <col min="4" max="4" width="14.90625" style="211" customWidth="1"/>
    <col min="5" max="5" width="10.1796875" style="211" customWidth="1" outlineLevel="1"/>
    <col min="6" max="6" width="11" style="211" customWidth="1" outlineLevel="1"/>
    <col min="7" max="7" width="14.08984375" style="211" customWidth="1" outlineLevel="1"/>
    <col min="8" max="8" width="13.08984375" style="211" customWidth="1" outlineLevel="1"/>
    <col min="9" max="9" width="12.453125" style="211" customWidth="1"/>
    <col min="10" max="10" width="7.7265625" style="211" bestFit="1" customWidth="1"/>
    <col min="11" max="11" width="10.36328125" style="211" bestFit="1" customWidth="1"/>
    <col min="12" max="12" width="10.08984375" style="211" customWidth="1"/>
    <col min="13" max="16384" width="8.7265625" style="211"/>
  </cols>
  <sheetData>
    <row r="2" spans="2:13" ht="15" thickBot="1" x14ac:dyDescent="0.4"/>
    <row r="3" spans="2:13" ht="21" x14ac:dyDescent="0.35">
      <c r="B3" s="808" t="s">
        <v>477</v>
      </c>
      <c r="C3" s="809"/>
      <c r="D3" s="809"/>
      <c r="E3" s="809"/>
      <c r="F3" s="809"/>
      <c r="G3" s="809"/>
      <c r="H3" s="809"/>
      <c r="I3" s="810"/>
    </row>
    <row r="4" spans="2:13" ht="16" x14ac:dyDescent="0.35">
      <c r="B4" s="811"/>
      <c r="C4" s="812"/>
      <c r="D4" s="812"/>
      <c r="E4" s="812"/>
      <c r="F4" s="812"/>
      <c r="G4" s="812"/>
      <c r="H4" s="812"/>
      <c r="I4" s="813"/>
      <c r="J4" s="211" t="s">
        <v>478</v>
      </c>
      <c r="K4" s="211" t="s">
        <v>478</v>
      </c>
      <c r="L4" s="516" t="s">
        <v>478</v>
      </c>
      <c r="M4" s="516" t="s">
        <v>478</v>
      </c>
    </row>
    <row r="5" spans="2:13" x14ac:dyDescent="0.35">
      <c r="B5" s="212"/>
      <c r="I5" s="213" t="s">
        <v>479</v>
      </c>
      <c r="J5" s="214">
        <v>9500</v>
      </c>
      <c r="K5" s="214">
        <v>10000</v>
      </c>
      <c r="L5" s="214">
        <v>10000</v>
      </c>
      <c r="M5" s="214">
        <v>11300</v>
      </c>
    </row>
    <row r="6" spans="2:13" ht="16" x14ac:dyDescent="0.35">
      <c r="B6" s="814" t="s">
        <v>480</v>
      </c>
      <c r="C6" s="816" t="s">
        <v>481</v>
      </c>
      <c r="D6" s="816" t="s">
        <v>478</v>
      </c>
      <c r="E6" s="818" t="s">
        <v>482</v>
      </c>
      <c r="F6" s="819"/>
      <c r="G6" s="816" t="s">
        <v>483</v>
      </c>
      <c r="H6" s="820" t="s">
        <v>484</v>
      </c>
      <c r="I6" s="822" t="s">
        <v>485</v>
      </c>
      <c r="J6" s="214"/>
      <c r="K6" s="214"/>
    </row>
    <row r="7" spans="2:13" ht="16" x14ac:dyDescent="0.35">
      <c r="B7" s="815"/>
      <c r="C7" s="817"/>
      <c r="D7" s="817"/>
      <c r="E7" s="215" t="s">
        <v>486</v>
      </c>
      <c r="F7" s="215" t="s">
        <v>487</v>
      </c>
      <c r="G7" s="817"/>
      <c r="H7" s="821"/>
      <c r="I7" s="823"/>
      <c r="J7" s="214"/>
      <c r="K7" s="214"/>
    </row>
    <row r="8" spans="2:13" ht="16" x14ac:dyDescent="0.35">
      <c r="B8" s="216" t="s">
        <v>488</v>
      </c>
      <c r="C8" s="217"/>
      <c r="D8" s="217"/>
      <c r="E8" s="218"/>
      <c r="F8" s="218"/>
      <c r="G8" s="217"/>
      <c r="H8" s="219"/>
      <c r="I8" s="220"/>
      <c r="J8" s="214"/>
      <c r="K8" s="214"/>
    </row>
    <row r="9" spans="2:13" ht="32" x14ac:dyDescent="0.35">
      <c r="B9" s="221" t="s">
        <v>489</v>
      </c>
      <c r="C9" s="222" t="s">
        <v>490</v>
      </c>
      <c r="D9" s="223">
        <v>11300</v>
      </c>
      <c r="E9" s="224">
        <v>0.11</v>
      </c>
      <c r="F9" s="225">
        <f>D9*E9</f>
        <v>1243</v>
      </c>
      <c r="G9" s="223">
        <v>3500</v>
      </c>
      <c r="H9" s="226">
        <f>D9+F9+G9</f>
        <v>16043</v>
      </c>
      <c r="I9" s="227">
        <v>16300</v>
      </c>
      <c r="J9" s="214">
        <f>I9-D9</f>
        <v>5000</v>
      </c>
      <c r="K9" s="214">
        <v>5000</v>
      </c>
      <c r="L9" s="228">
        <v>15800</v>
      </c>
      <c r="M9" s="214">
        <v>16300</v>
      </c>
    </row>
    <row r="10" spans="2:13" ht="16" x14ac:dyDescent="0.35">
      <c r="B10" s="229" t="s">
        <v>491</v>
      </c>
      <c r="C10" s="230" t="s">
        <v>492</v>
      </c>
      <c r="D10" s="223">
        <v>11300</v>
      </c>
      <c r="E10" s="224">
        <v>0.11</v>
      </c>
      <c r="F10" s="231">
        <f>D10*E10</f>
        <v>1243</v>
      </c>
      <c r="G10" s="232">
        <v>500</v>
      </c>
      <c r="H10" s="233">
        <f>D10+F10+G10</f>
        <v>13043</v>
      </c>
      <c r="I10" s="234">
        <v>13300</v>
      </c>
      <c r="J10" s="214">
        <f>I10-D10</f>
        <v>2000</v>
      </c>
      <c r="K10" s="214">
        <v>2000</v>
      </c>
      <c r="L10" s="228">
        <v>12800</v>
      </c>
      <c r="M10" s="214">
        <v>13300</v>
      </c>
    </row>
    <row r="11" spans="2:13" ht="16" x14ac:dyDescent="0.35">
      <c r="B11" s="229" t="s">
        <v>493</v>
      </c>
      <c r="C11" s="230" t="s">
        <v>494</v>
      </c>
      <c r="D11" s="223">
        <v>11300</v>
      </c>
      <c r="E11" s="224">
        <v>0.11</v>
      </c>
      <c r="F11" s="231">
        <f>D11*E11</f>
        <v>1243</v>
      </c>
      <c r="G11" s="232">
        <v>2000</v>
      </c>
      <c r="H11" s="233">
        <f>D11+F11+G11</f>
        <v>14543</v>
      </c>
      <c r="I11" s="234">
        <v>14800</v>
      </c>
      <c r="J11" s="214">
        <f>I11-D11</f>
        <v>3500</v>
      </c>
      <c r="K11" s="214">
        <v>3500</v>
      </c>
      <c r="L11" s="228">
        <v>14300</v>
      </c>
      <c r="M11" s="214">
        <v>14800</v>
      </c>
    </row>
    <row r="12" spans="2:13" ht="16" x14ac:dyDescent="0.35">
      <c r="B12" s="235" t="s">
        <v>495</v>
      </c>
      <c r="C12" s="236" t="s">
        <v>496</v>
      </c>
      <c r="D12" s="223">
        <v>11300</v>
      </c>
      <c r="E12" s="224">
        <v>0.11</v>
      </c>
      <c r="F12" s="237">
        <f>D12*E12</f>
        <v>1243</v>
      </c>
      <c r="G12" s="238">
        <v>-5000</v>
      </c>
      <c r="H12" s="239">
        <f>D12+F12+G12</f>
        <v>7543</v>
      </c>
      <c r="I12" s="240">
        <v>7800</v>
      </c>
      <c r="J12" s="214">
        <f>I12-D12</f>
        <v>-3500</v>
      </c>
      <c r="K12" s="214">
        <v>-3500</v>
      </c>
      <c r="L12" s="228">
        <v>7300</v>
      </c>
      <c r="M12" s="214">
        <v>7800</v>
      </c>
    </row>
    <row r="13" spans="2:13" ht="16" x14ac:dyDescent="0.35">
      <c r="B13" s="216" t="s">
        <v>497</v>
      </c>
      <c r="C13" s="217"/>
      <c r="D13" s="217"/>
      <c r="E13" s="218"/>
      <c r="F13" s="218"/>
      <c r="G13" s="217"/>
      <c r="H13" s="219"/>
      <c r="I13" s="220"/>
      <c r="J13" s="214"/>
      <c r="K13" s="214"/>
      <c r="L13" s="228">
        <f t="shared" ref="L13" si="0">J13-K13</f>
        <v>0</v>
      </c>
    </row>
    <row r="14" spans="2:13" ht="16.5" thickBot="1" x14ac:dyDescent="0.4">
      <c r="B14" s="241" t="s">
        <v>498</v>
      </c>
      <c r="C14" s="242" t="s">
        <v>499</v>
      </c>
      <c r="D14" s="243">
        <f>I11</f>
        <v>14800</v>
      </c>
      <c r="E14" s="244">
        <v>0.08</v>
      </c>
      <c r="F14" s="245">
        <f>D14*E14</f>
        <v>1184</v>
      </c>
      <c r="G14" s="243">
        <v>2000</v>
      </c>
      <c r="H14" s="246">
        <f>D14+F14+G14</f>
        <v>17984</v>
      </c>
      <c r="I14" s="247">
        <v>17800</v>
      </c>
      <c r="J14" s="214">
        <f>I14-D14</f>
        <v>3000</v>
      </c>
      <c r="K14" s="214">
        <v>3000</v>
      </c>
      <c r="L14" s="228">
        <v>17300</v>
      </c>
      <c r="M14" s="214">
        <v>17800</v>
      </c>
    </row>
    <row r="15" spans="2:13" x14ac:dyDescent="0.35">
      <c r="C15" s="211" t="s">
        <v>747</v>
      </c>
      <c r="K15" s="214">
        <v>-8000</v>
      </c>
    </row>
    <row r="16" spans="2:13" x14ac:dyDescent="0.35">
      <c r="B16" s="807" t="s">
        <v>500</v>
      </c>
      <c r="C16" s="807"/>
      <c r="D16" s="807"/>
    </row>
    <row r="17" spans="2:8" x14ac:dyDescent="0.35">
      <c r="B17" s="248" t="s">
        <v>71</v>
      </c>
      <c r="C17" s="249" t="s">
        <v>501</v>
      </c>
      <c r="D17" s="248" t="s">
        <v>502</v>
      </c>
    </row>
    <row r="18" spans="2:8" x14ac:dyDescent="0.35">
      <c r="B18" s="250"/>
      <c r="C18" s="251" t="s">
        <v>503</v>
      </c>
      <c r="D18" s="252">
        <f>$I$9</f>
        <v>16300</v>
      </c>
    </row>
    <row r="19" spans="2:8" x14ac:dyDescent="0.35">
      <c r="B19" s="250"/>
      <c r="C19" s="251" t="s">
        <v>504</v>
      </c>
      <c r="D19" s="253">
        <f>D18-500</f>
        <v>15800</v>
      </c>
    </row>
    <row r="20" spans="2:8" x14ac:dyDescent="0.35">
      <c r="B20" s="250"/>
      <c r="C20" s="251" t="s">
        <v>50</v>
      </c>
      <c r="D20" s="252">
        <f>$I$9</f>
        <v>16300</v>
      </c>
    </row>
    <row r="21" spans="2:8" x14ac:dyDescent="0.35">
      <c r="B21" s="250">
        <v>150000004</v>
      </c>
      <c r="C21" s="251" t="s">
        <v>23</v>
      </c>
      <c r="D21" s="252">
        <f>$I$9</f>
        <v>16300</v>
      </c>
    </row>
    <row r="22" spans="2:8" x14ac:dyDescent="0.35">
      <c r="B22" s="250">
        <v>150000050</v>
      </c>
      <c r="C22" s="251" t="s">
        <v>22</v>
      </c>
      <c r="D22" s="252">
        <f>$I$11</f>
        <v>14800</v>
      </c>
    </row>
    <row r="23" spans="2:8" x14ac:dyDescent="0.35">
      <c r="B23" s="250">
        <v>150000005</v>
      </c>
      <c r="C23" s="251" t="s">
        <v>25</v>
      </c>
      <c r="D23" s="252">
        <f>$I$9</f>
        <v>16300</v>
      </c>
    </row>
    <row r="24" spans="2:8" x14ac:dyDescent="0.35">
      <c r="B24" s="250">
        <v>150000014</v>
      </c>
      <c r="C24" s="251" t="s">
        <v>27</v>
      </c>
      <c r="D24" s="252">
        <f>$I$10</f>
        <v>13300</v>
      </c>
    </row>
    <row r="25" spans="2:8" x14ac:dyDescent="0.35">
      <c r="B25" s="250">
        <v>150000015</v>
      </c>
      <c r="C25" s="251" t="s">
        <v>29</v>
      </c>
      <c r="D25" s="252">
        <f>$I$10</f>
        <v>13300</v>
      </c>
    </row>
    <row r="26" spans="2:8" x14ac:dyDescent="0.35">
      <c r="B26" s="250">
        <v>150000016</v>
      </c>
      <c r="C26" s="251" t="s">
        <v>32</v>
      </c>
      <c r="D26" s="252">
        <f>$I$9</f>
        <v>16300</v>
      </c>
    </row>
    <row r="27" spans="2:8" x14ac:dyDescent="0.35">
      <c r="B27" s="250">
        <v>150000114</v>
      </c>
      <c r="C27" s="251" t="s">
        <v>19</v>
      </c>
      <c r="D27" s="252">
        <f>$I$11</f>
        <v>14800</v>
      </c>
    </row>
    <row r="28" spans="2:8" s="254" customFormat="1" x14ac:dyDescent="0.35">
      <c r="B28" s="250"/>
      <c r="C28" s="251" t="s">
        <v>505</v>
      </c>
      <c r="D28" s="252">
        <f>$I$12</f>
        <v>7800</v>
      </c>
      <c r="G28" s="211"/>
      <c r="H28" s="211"/>
    </row>
    <row r="29" spans="2:8" x14ac:dyDescent="0.35">
      <c r="B29" s="250"/>
      <c r="C29" s="251" t="s">
        <v>506</v>
      </c>
      <c r="D29" s="252">
        <f>$I$12</f>
        <v>7800</v>
      </c>
    </row>
    <row r="30" spans="2:8" x14ac:dyDescent="0.35">
      <c r="B30" s="255">
        <v>150000061</v>
      </c>
      <c r="C30" s="256" t="s">
        <v>45</v>
      </c>
      <c r="D30" s="257">
        <f>I14</f>
        <v>17800</v>
      </c>
    </row>
  </sheetData>
  <mergeCells count="10">
    <mergeCell ref="B16:D16"/>
    <mergeCell ref="B3:I3"/>
    <mergeCell ref="B4:I4"/>
    <mergeCell ref="B6:B7"/>
    <mergeCell ref="C6:C7"/>
    <mergeCell ref="D6:D7"/>
    <mergeCell ref="E6:F6"/>
    <mergeCell ref="G6:G7"/>
    <mergeCell ref="H6:H7"/>
    <mergeCell ref="I6:I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A58D-A3E8-4903-AFCD-6B6088705E30}">
  <sheetPr>
    <tabColor rgb="FF00B0F0"/>
  </sheetPr>
  <dimension ref="A1:AI28"/>
  <sheetViews>
    <sheetView topLeftCell="H14" zoomScaleNormal="100" workbookViewId="0">
      <selection activeCell="L25" sqref="L25"/>
    </sheetView>
  </sheetViews>
  <sheetFormatPr defaultRowHeight="14.5" x14ac:dyDescent="0.35"/>
  <cols>
    <col min="1" max="1" width="4" bestFit="1" customWidth="1"/>
    <col min="2" max="2" width="18.6328125" customWidth="1"/>
    <col min="3" max="3" width="15.1796875" bestFit="1" customWidth="1"/>
    <col min="4" max="4" width="14.1796875" bestFit="1" customWidth="1"/>
    <col min="6" max="6" width="11.1796875" bestFit="1" customWidth="1"/>
    <col min="8" max="8" width="12.90625" bestFit="1" customWidth="1"/>
    <col min="11" max="11" width="18.6328125" bestFit="1" customWidth="1"/>
    <col min="12" max="12" width="18.90625" bestFit="1" customWidth="1"/>
    <col min="13" max="13" width="13.26953125" bestFit="1" customWidth="1"/>
    <col min="16" max="16" width="8.26953125" bestFit="1" customWidth="1"/>
    <col min="17" max="17" width="12.90625" bestFit="1" customWidth="1"/>
    <col min="19" max="19" width="4" bestFit="1" customWidth="1"/>
    <col min="20" max="20" width="18.6328125" bestFit="1" customWidth="1"/>
    <col min="21" max="21" width="15.1796875" bestFit="1" customWidth="1"/>
    <col min="22" max="22" width="14.7265625" customWidth="1"/>
    <col min="24" max="24" width="10.1796875" bestFit="1" customWidth="1"/>
    <col min="26" max="26" width="12.90625" bestFit="1" customWidth="1"/>
    <col min="28" max="28" width="4" bestFit="1" customWidth="1"/>
    <col min="29" max="29" width="18.6328125" bestFit="1" customWidth="1"/>
    <col min="30" max="30" width="15.1796875" bestFit="1" customWidth="1"/>
    <col min="31" max="31" width="14.1796875" bestFit="1" customWidth="1"/>
    <col min="35" max="35" width="12.90625" bestFit="1" customWidth="1"/>
  </cols>
  <sheetData>
    <row r="1" spans="1:31" x14ac:dyDescent="0.35">
      <c r="B1" s="117" t="s">
        <v>396</v>
      </c>
      <c r="C1" s="136">
        <v>10000</v>
      </c>
      <c r="K1" s="117" t="s">
        <v>396</v>
      </c>
      <c r="L1" s="136">
        <v>10000</v>
      </c>
      <c r="T1" s="117" t="s">
        <v>396</v>
      </c>
      <c r="U1" s="136">
        <v>10000</v>
      </c>
      <c r="AC1" s="117" t="s">
        <v>396</v>
      </c>
      <c r="AD1" s="136">
        <v>11300</v>
      </c>
    </row>
    <row r="2" spans="1:31" x14ac:dyDescent="0.35">
      <c r="B2" s="117" t="s">
        <v>397</v>
      </c>
      <c r="C2" s="136">
        <v>3000</v>
      </c>
      <c r="K2" s="117" t="s">
        <v>397</v>
      </c>
      <c r="L2" s="136">
        <v>3000</v>
      </c>
      <c r="T2" s="117" t="s">
        <v>397</v>
      </c>
      <c r="U2" s="136">
        <v>3000</v>
      </c>
      <c r="AC2" s="117" t="s">
        <v>397</v>
      </c>
      <c r="AD2" s="136">
        <v>3000</v>
      </c>
    </row>
    <row r="3" spans="1:31" x14ac:dyDescent="0.35">
      <c r="B3" s="117" t="s">
        <v>398</v>
      </c>
      <c r="C3" s="138">
        <v>0.1</v>
      </c>
      <c r="K3" s="117" t="s">
        <v>398</v>
      </c>
      <c r="L3" s="138">
        <v>0.1</v>
      </c>
      <c r="T3" s="117" t="s">
        <v>398</v>
      </c>
      <c r="U3" s="138">
        <v>0.1</v>
      </c>
      <c r="AC3" s="117" t="s">
        <v>398</v>
      </c>
      <c r="AD3" s="138">
        <v>0.1</v>
      </c>
    </row>
    <row r="4" spans="1:31" x14ac:dyDescent="0.35">
      <c r="B4" s="117" t="s">
        <v>399</v>
      </c>
      <c r="C4" s="139">
        <f>SUM(C1:C2)</f>
        <v>13000</v>
      </c>
      <c r="K4" s="117" t="s">
        <v>399</v>
      </c>
      <c r="L4" s="139">
        <f>SUM(L1:L2)</f>
        <v>13000</v>
      </c>
      <c r="T4" s="117" t="s">
        <v>399</v>
      </c>
      <c r="U4" s="139">
        <f>SUM(U1:U2)</f>
        <v>13000</v>
      </c>
      <c r="AC4" s="117" t="s">
        <v>399</v>
      </c>
      <c r="AD4" s="139">
        <f>SUM(AD1:AD2)</f>
        <v>14300</v>
      </c>
    </row>
    <row r="5" spans="1:31" x14ac:dyDescent="0.35">
      <c r="B5" s="117" t="s">
        <v>400</v>
      </c>
      <c r="C5" s="139">
        <f>C4*C3/(1-C3)</f>
        <v>1444.4444444444443</v>
      </c>
      <c r="K5" s="117" t="s">
        <v>400</v>
      </c>
      <c r="L5" s="139">
        <f>L4*L3/(1-L3)</f>
        <v>1444.4444444444443</v>
      </c>
      <c r="T5" s="117" t="s">
        <v>400</v>
      </c>
      <c r="U5" s="139">
        <f>U4*U3/(1-U3)</f>
        <v>1444.4444444444443</v>
      </c>
      <c r="AC5" s="117" t="s">
        <v>400</v>
      </c>
      <c r="AD5" s="139">
        <f>AD4*AD3/(1-AD3)</f>
        <v>1588.8888888888889</v>
      </c>
    </row>
    <row r="6" spans="1:31" x14ac:dyDescent="0.35">
      <c r="B6" s="117" t="s">
        <v>401</v>
      </c>
      <c r="C6" s="139">
        <f>+C4/(1-C3)</f>
        <v>14444.444444444443</v>
      </c>
      <c r="K6" s="117" t="s">
        <v>401</v>
      </c>
      <c r="L6" s="139">
        <f>+L4/(1-L3)</f>
        <v>14444.444444444443</v>
      </c>
      <c r="T6" s="117" t="s">
        <v>401</v>
      </c>
      <c r="U6" s="139">
        <f>+U4/(1-U3)</f>
        <v>14444.444444444443</v>
      </c>
      <c r="AC6" s="117" t="s">
        <v>401</v>
      </c>
      <c r="AD6" s="139">
        <f>+AD4/(1-AD3)</f>
        <v>15888.888888888889</v>
      </c>
    </row>
    <row r="7" spans="1:31" ht="32" x14ac:dyDescent="0.35">
      <c r="A7" s="141" t="s">
        <v>0</v>
      </c>
      <c r="B7" s="141" t="s">
        <v>407</v>
      </c>
      <c r="C7" s="141" t="s">
        <v>745</v>
      </c>
      <c r="D7" s="143" t="s">
        <v>746</v>
      </c>
      <c r="J7" s="141" t="s">
        <v>0</v>
      </c>
      <c r="K7" s="141" t="s">
        <v>407</v>
      </c>
      <c r="L7" s="141" t="s">
        <v>745</v>
      </c>
      <c r="M7" s="143" t="s">
        <v>746</v>
      </c>
      <c r="S7" s="141" t="s">
        <v>0</v>
      </c>
      <c r="T7" s="141" t="s">
        <v>407</v>
      </c>
      <c r="U7" s="141" t="s">
        <v>745</v>
      </c>
      <c r="V7" s="143" t="s">
        <v>746</v>
      </c>
      <c r="AB7" s="141" t="s">
        <v>0</v>
      </c>
      <c r="AC7" s="141" t="s">
        <v>407</v>
      </c>
      <c r="AD7" s="141" t="s">
        <v>745</v>
      </c>
      <c r="AE7" s="143" t="s">
        <v>746</v>
      </c>
    </row>
    <row r="8" spans="1:31" x14ac:dyDescent="0.35">
      <c r="A8" s="144">
        <v>1</v>
      </c>
      <c r="B8" s="145" t="s">
        <v>429</v>
      </c>
      <c r="C8" s="146">
        <f>'[3]4. 3 Trạm'!$S334</f>
        <v>0.51133536259282808</v>
      </c>
      <c r="D8" s="130">
        <f>$C$1+GAP!$K$9</f>
        <v>15000</v>
      </c>
      <c r="J8" s="144">
        <v>1</v>
      </c>
      <c r="K8" s="145" t="s">
        <v>429</v>
      </c>
      <c r="L8" s="146">
        <f>'[3]4. 3 Trạm'!$T334</f>
        <v>0.49706416331589559</v>
      </c>
      <c r="M8" s="130">
        <f>$L$1+GAP!$K$9</f>
        <v>15000</v>
      </c>
      <c r="S8" s="144">
        <v>1</v>
      </c>
      <c r="T8" s="145" t="s">
        <v>429</v>
      </c>
      <c r="U8" s="146">
        <f>'[3]4. 3 Trạm'!$U334</f>
        <v>0.50434738700552417</v>
      </c>
      <c r="V8" s="130">
        <f>$U$1+GAP!$K$9</f>
        <v>15000</v>
      </c>
      <c r="AB8" s="144">
        <v>1</v>
      </c>
      <c r="AC8" s="145" t="s">
        <v>429</v>
      </c>
      <c r="AD8" s="146">
        <f>'[3]4. 3 Trạm'!$V334</f>
        <v>0.51736864881993272</v>
      </c>
      <c r="AE8" s="130">
        <f>$AD$1+GAP!$K$9</f>
        <v>16300</v>
      </c>
    </row>
    <row r="9" spans="1:31" x14ac:dyDescent="0.35">
      <c r="A9" s="144">
        <v>5</v>
      </c>
      <c r="B9" s="145" t="s">
        <v>22</v>
      </c>
      <c r="C9" s="146">
        <f>'[3]4. 3 Trạm'!$S335</f>
        <v>6.4970641388642225E-2</v>
      </c>
      <c r="D9" s="130">
        <f>$C$1+GAP!$K$11</f>
        <v>13500</v>
      </c>
      <c r="J9" s="144">
        <v>5</v>
      </c>
      <c r="K9" s="145" t="s">
        <v>22</v>
      </c>
      <c r="L9" s="146">
        <f>'[3]4. 3 Trạm'!$T335</f>
        <v>5.8399136842366708E-2</v>
      </c>
      <c r="M9" s="130">
        <f>$L$1+GAP!$K$11</f>
        <v>13500</v>
      </c>
      <c r="S9" s="144">
        <v>5</v>
      </c>
      <c r="T9" s="145" t="s">
        <v>22</v>
      </c>
      <c r="U9" s="146">
        <f>'[3]4. 3 Trạm'!$U335</f>
        <v>5.5507957307370223E-2</v>
      </c>
      <c r="V9" s="130">
        <f>$U$1+GAP!$K$11</f>
        <v>13500</v>
      </c>
      <c r="AB9" s="144">
        <v>5</v>
      </c>
      <c r="AC9" s="145" t="s">
        <v>22</v>
      </c>
      <c r="AD9" s="146">
        <f>'[3]4. 3 Trạm'!$V335</f>
        <v>4.4495103812786721E-2</v>
      </c>
      <c r="AE9" s="130">
        <f>$AD$1+GAP!$K$11</f>
        <v>14800</v>
      </c>
    </row>
    <row r="10" spans="1:31" x14ac:dyDescent="0.35">
      <c r="A10" s="144">
        <v>7</v>
      </c>
      <c r="B10" s="145" t="s">
        <v>27</v>
      </c>
      <c r="C10" s="146">
        <f>'[3]4. 3 Trạm'!$S337</f>
        <v>1.5890206111695566E-2</v>
      </c>
      <c r="D10" s="130">
        <f>$C$1+GAP!$K$10</f>
        <v>12000</v>
      </c>
      <c r="J10" s="144">
        <v>7</v>
      </c>
      <c r="K10" s="145" t="s">
        <v>27</v>
      </c>
      <c r="L10" s="146">
        <f>'[3]4. 3 Trạm'!$T337</f>
        <v>1.6398176315514271E-2</v>
      </c>
      <c r="M10" s="130">
        <f>$L$1+GAP!$K$10</f>
        <v>12000</v>
      </c>
      <c r="S10" s="144">
        <v>7</v>
      </c>
      <c r="T10" s="145" t="s">
        <v>27</v>
      </c>
      <c r="U10" s="146">
        <f>'[3]4. 3 Trạm'!$U337</f>
        <v>1.571854014390894E-2</v>
      </c>
      <c r="V10" s="130">
        <f>$U$1+GAP!$K$10</f>
        <v>12000</v>
      </c>
      <c r="AB10" s="144">
        <v>7</v>
      </c>
      <c r="AC10" s="145" t="s">
        <v>27</v>
      </c>
      <c r="AD10" s="146">
        <f>'[3]4. 3 Trạm'!$V337</f>
        <v>1.5093887507831869E-2</v>
      </c>
      <c r="AE10" s="130">
        <f>$AD$1+GAP!$K$10</f>
        <v>13300</v>
      </c>
    </row>
    <row r="11" spans="1:31" x14ac:dyDescent="0.35">
      <c r="A11" s="144">
        <v>8</v>
      </c>
      <c r="B11" s="145" t="s">
        <v>29</v>
      </c>
      <c r="C11" s="146">
        <f>'[3]4. 3 Trạm'!$S338</f>
        <v>1.6100854377153202E-2</v>
      </c>
      <c r="D11" s="130">
        <f>$C$1+GAP!$K$10</f>
        <v>12000</v>
      </c>
      <c r="J11" s="144">
        <v>8</v>
      </c>
      <c r="K11" s="145" t="s">
        <v>29</v>
      </c>
      <c r="L11" s="146">
        <f>'[3]4. 3 Trạm'!$T338</f>
        <v>1.5470359223063121E-2</v>
      </c>
      <c r="M11" s="130">
        <f>$L$1+GAP!$K$10</f>
        <v>12000</v>
      </c>
      <c r="S11" s="144">
        <v>8</v>
      </c>
      <c r="T11" s="145" t="s">
        <v>29</v>
      </c>
      <c r="U11" s="146">
        <f>'[3]4. 3 Trạm'!$U338</f>
        <v>1.547886970853728E-2</v>
      </c>
      <c r="V11" s="130">
        <f>$U$1+GAP!$K$10</f>
        <v>12000</v>
      </c>
      <c r="AB11" s="144">
        <v>8</v>
      </c>
      <c r="AC11" s="145" t="s">
        <v>29</v>
      </c>
      <c r="AD11" s="146">
        <f>'[3]4. 3 Trạm'!$V338</f>
        <v>1.5516824853526845E-2</v>
      </c>
      <c r="AE11" s="130">
        <f>$AD$1+GAP!$K$10</f>
        <v>13300</v>
      </c>
    </row>
    <row r="12" spans="1:31" x14ac:dyDescent="0.35">
      <c r="A12" s="144">
        <v>10</v>
      </c>
      <c r="B12" s="145" t="s">
        <v>19</v>
      </c>
      <c r="C12" s="155">
        <f>'[3]4. 3 Trạm'!$S336</f>
        <v>0.26768431439746443</v>
      </c>
      <c r="D12" s="130">
        <f>$C$1+GAP!$K$11</f>
        <v>13500</v>
      </c>
      <c r="J12" s="144">
        <v>10</v>
      </c>
      <c r="K12" s="145" t="s">
        <v>19</v>
      </c>
      <c r="L12" s="155">
        <f>'[3]4. 3 Trạm'!$T336</f>
        <v>0.29014887216136792</v>
      </c>
      <c r="M12" s="130">
        <f>$L$1+GAP!$K$11</f>
        <v>13500</v>
      </c>
      <c r="S12" s="144">
        <v>10</v>
      </c>
      <c r="T12" s="145" t="s">
        <v>19</v>
      </c>
      <c r="U12" s="155">
        <f>'[3]4. 3 Trạm'!$U336</f>
        <v>0.27717466249673295</v>
      </c>
      <c r="V12" s="130">
        <f>$U$1+GAP!$K$11</f>
        <v>13500</v>
      </c>
      <c r="AB12" s="144">
        <v>10</v>
      </c>
      <c r="AC12" s="145" t="s">
        <v>19</v>
      </c>
      <c r="AD12" s="155">
        <f>'[3]4. 3 Trạm'!$V336</f>
        <v>0.27679036383741662</v>
      </c>
      <c r="AE12" s="130">
        <f>$AD$1+GAP!$K$11</f>
        <v>14800</v>
      </c>
    </row>
    <row r="13" spans="1:31" x14ac:dyDescent="0.35">
      <c r="A13" s="144">
        <v>11</v>
      </c>
      <c r="B13" s="145" t="s">
        <v>430</v>
      </c>
      <c r="C13" s="146">
        <f>'[3]4. 3 Trạm'!$S339</f>
        <v>1.5679732296147216E-2</v>
      </c>
      <c r="D13" s="130">
        <f>$C$1+GAP!$K$12</f>
        <v>6500</v>
      </c>
      <c r="J13" s="144">
        <v>11</v>
      </c>
      <c r="K13" s="145" t="s">
        <v>430</v>
      </c>
      <c r="L13" s="146">
        <f>'[3]4. 3 Trạm'!$T339</f>
        <v>1.8909498676781628E-2</v>
      </c>
      <c r="M13" s="130">
        <f>$L$1+GAP!$K$12</f>
        <v>6500</v>
      </c>
      <c r="S13" s="144">
        <v>11</v>
      </c>
      <c r="T13" s="145" t="s">
        <v>430</v>
      </c>
      <c r="U13" s="146">
        <f>'[3]4. 3 Trạm'!$U339</f>
        <v>1.8094122207030449E-2</v>
      </c>
      <c r="V13" s="130">
        <f>$U$1+GAP!$K$12</f>
        <v>6500</v>
      </c>
      <c r="AB13" s="144">
        <v>11</v>
      </c>
      <c r="AC13" s="145" t="s">
        <v>430</v>
      </c>
      <c r="AD13" s="146">
        <f>'[3]4. 3 Trạm'!$V339</f>
        <v>2.3950693100032536E-2</v>
      </c>
      <c r="AE13" s="130">
        <f>$AD$1+GAP!$K$12</f>
        <v>7800</v>
      </c>
    </row>
    <row r="14" spans="1:31" x14ac:dyDescent="0.35">
      <c r="A14" s="144">
        <v>12</v>
      </c>
      <c r="B14" s="158" t="s">
        <v>747</v>
      </c>
      <c r="C14" s="146">
        <f>'[3]4. 3 Trạm'!$S341</f>
        <v>3.8483649987539918E-3</v>
      </c>
      <c r="D14" s="130">
        <f>$C$1+GAP!$K$15</f>
        <v>2000</v>
      </c>
      <c r="J14" s="144">
        <v>12</v>
      </c>
      <c r="K14" s="158" t="s">
        <v>747</v>
      </c>
      <c r="L14" s="146">
        <f>'[3]4. 3 Trạm'!$T341</f>
        <v>4.0771833612101467E-3</v>
      </c>
      <c r="M14" s="130">
        <f>$L$1+GAP!$K$15</f>
        <v>2000</v>
      </c>
      <c r="S14" s="144">
        <v>12</v>
      </c>
      <c r="T14" s="158" t="s">
        <v>747</v>
      </c>
      <c r="U14" s="146">
        <f>'[3]4. 3 Trạm'!$U341</f>
        <v>7.6438511554141868E-3</v>
      </c>
      <c r="V14" s="130">
        <f>$U$1+GAP!$K$15</f>
        <v>2000</v>
      </c>
      <c r="AB14" s="144">
        <v>12</v>
      </c>
      <c r="AC14" s="158" t="s">
        <v>747</v>
      </c>
      <c r="AD14" s="146">
        <f>'[3]4. 3 Trạm'!$V341</f>
        <v>4.2130059126117168E-3</v>
      </c>
      <c r="AE14" s="130">
        <f>$AD$1+GAP!$K$15</f>
        <v>3300</v>
      </c>
    </row>
    <row r="15" spans="1:31" x14ac:dyDescent="0.35">
      <c r="A15" s="573">
        <v>13</v>
      </c>
      <c r="B15" s="75" t="s">
        <v>482</v>
      </c>
      <c r="C15" s="159">
        <f>'[3]4. 3 Trạm'!$S$342</f>
        <v>0.10316976357414369</v>
      </c>
      <c r="D15" s="130">
        <f>C15*$C$1</f>
        <v>1031.6976357414369</v>
      </c>
      <c r="J15" s="573">
        <v>13</v>
      </c>
      <c r="K15" s="75" t="s">
        <v>482</v>
      </c>
      <c r="L15" s="159">
        <f>'[3]4. 3 Trạm'!$S$342</f>
        <v>0.10316976357414369</v>
      </c>
      <c r="M15" s="130">
        <f>L15*$L$1</f>
        <v>1031.6976357414369</v>
      </c>
      <c r="S15" s="573">
        <v>13</v>
      </c>
      <c r="T15" s="75" t="s">
        <v>482</v>
      </c>
      <c r="U15" s="159">
        <f>'[3]4. 3 Trạm'!$S$342</f>
        <v>0.10316976357414369</v>
      </c>
      <c r="V15" s="130">
        <f>U15*$U$1</f>
        <v>1031.6976357414369</v>
      </c>
      <c r="AB15" s="573">
        <v>13</v>
      </c>
      <c r="AC15" s="75" t="s">
        <v>482</v>
      </c>
      <c r="AD15" s="159">
        <f>'[3]4. 3 Trạm'!$S$342</f>
        <v>0.10316976357414369</v>
      </c>
      <c r="AE15" s="130">
        <f>AD15*$AD$1</f>
        <v>1165.8183283878236</v>
      </c>
    </row>
    <row r="16" spans="1:31" ht="5.5" customHeight="1" x14ac:dyDescent="0.35"/>
    <row r="17" spans="1:35" s="3" customFormat="1" ht="32" customHeight="1" x14ac:dyDescent="0.35">
      <c r="E17" s="824" t="s">
        <v>748</v>
      </c>
      <c r="F17" s="824"/>
      <c r="G17" s="824"/>
      <c r="H17" s="824"/>
      <c r="N17" s="824" t="s">
        <v>749</v>
      </c>
      <c r="O17" s="824"/>
      <c r="P17" s="824"/>
      <c r="Q17" s="824"/>
      <c r="W17" s="824" t="s">
        <v>750</v>
      </c>
      <c r="X17" s="824"/>
      <c r="Y17" s="824"/>
      <c r="Z17" s="824"/>
      <c r="AF17" s="824" t="s">
        <v>752</v>
      </c>
      <c r="AG17" s="824"/>
      <c r="AH17" s="824"/>
      <c r="AI17" s="824"/>
    </row>
    <row r="18" spans="1:35" ht="38" customHeight="1" x14ac:dyDescent="0.35">
      <c r="C18" s="141" t="s">
        <v>408</v>
      </c>
      <c r="D18" s="141" t="s">
        <v>751</v>
      </c>
      <c r="E18" s="143" t="s">
        <v>741</v>
      </c>
      <c r="F18" s="143" t="s">
        <v>742</v>
      </c>
      <c r="G18" s="143" t="s">
        <v>743</v>
      </c>
      <c r="H18" s="143" t="s">
        <v>744</v>
      </c>
      <c r="L18" s="141" t="s">
        <v>408</v>
      </c>
      <c r="M18" s="141" t="s">
        <v>751</v>
      </c>
      <c r="N18" s="143" t="s">
        <v>741</v>
      </c>
      <c r="O18" s="143" t="s">
        <v>742</v>
      </c>
      <c r="P18" s="143" t="s">
        <v>743</v>
      </c>
      <c r="Q18" s="143" t="s">
        <v>744</v>
      </c>
      <c r="U18" s="141" t="s">
        <v>408</v>
      </c>
      <c r="V18" s="141" t="s">
        <v>751</v>
      </c>
      <c r="W18" s="143" t="s">
        <v>741</v>
      </c>
      <c r="X18" s="143" t="s">
        <v>742</v>
      </c>
      <c r="Y18" s="143" t="s">
        <v>743</v>
      </c>
      <c r="Z18" s="143" t="s">
        <v>744</v>
      </c>
      <c r="AD18" s="141" t="s">
        <v>408</v>
      </c>
      <c r="AE18" s="141" t="s">
        <v>751</v>
      </c>
      <c r="AF18" s="143" t="s">
        <v>741</v>
      </c>
      <c r="AG18" s="143" t="s">
        <v>742</v>
      </c>
      <c r="AH18" s="143" t="s">
        <v>743</v>
      </c>
      <c r="AI18" s="143" t="s">
        <v>744</v>
      </c>
    </row>
    <row r="19" spans="1:35" x14ac:dyDescent="0.35">
      <c r="A19" s="144">
        <v>1</v>
      </c>
      <c r="B19" s="145" t="s">
        <v>429</v>
      </c>
      <c r="C19" s="146">
        <v>0.54</v>
      </c>
      <c r="D19" s="572">
        <f>C8-C19</f>
        <v>-2.8664637407171956E-2</v>
      </c>
      <c r="E19" s="109">
        <f t="shared" ref="E19:E25" si="0">D8*D19</f>
        <v>-429.96956110757935</v>
      </c>
      <c r="F19" s="109">
        <f>'[3]4. 3 Trạm'!S89</f>
        <v>467032</v>
      </c>
      <c r="G19" s="109">
        <f>F19*D19</f>
        <v>-13387.302937546332</v>
      </c>
      <c r="H19" s="130">
        <f t="shared" ref="H19:H25" si="1">D8*G19</f>
        <v>-200809544.06319499</v>
      </c>
      <c r="J19" s="144">
        <v>1</v>
      </c>
      <c r="K19" s="145" t="s">
        <v>429</v>
      </c>
      <c r="L19" s="146">
        <v>0.54</v>
      </c>
      <c r="M19" s="572">
        <f>L8-L19</f>
        <v>-4.2935836684104445E-2</v>
      </c>
      <c r="N19" s="109">
        <f t="shared" ref="N19:N25" si="2">M8*M19</f>
        <v>-644.03755026156671</v>
      </c>
      <c r="O19" s="109">
        <f>'[3]4. 3 Trạm'!T89</f>
        <v>299036</v>
      </c>
      <c r="P19" s="109">
        <f>O19*M19</f>
        <v>-12839.360858667857</v>
      </c>
      <c r="Q19" s="130">
        <f t="shared" ref="Q19:Q25" si="3">M8*P19</f>
        <v>-192590412.88001785</v>
      </c>
      <c r="S19" s="144">
        <v>1</v>
      </c>
      <c r="T19" s="145" t="s">
        <v>429</v>
      </c>
      <c r="U19" s="146">
        <v>0.54</v>
      </c>
      <c r="V19" s="572">
        <f>U8-U19</f>
        <v>-3.5652612994475863E-2</v>
      </c>
      <c r="W19" s="109">
        <f t="shared" ref="W19:W25" si="4">V8*V19</f>
        <v>-534.78919491713793</v>
      </c>
      <c r="X19" s="109">
        <f>'[3]4. 3 Trạm'!U89</f>
        <v>848224</v>
      </c>
      <c r="Y19" s="109">
        <f>X19*V19</f>
        <v>-30241.402004626296</v>
      </c>
      <c r="Z19" s="130">
        <f t="shared" ref="Z19:Z25" si="5">V8*Y19</f>
        <v>-453621030.06939441</v>
      </c>
      <c r="AB19" s="144">
        <v>1</v>
      </c>
      <c r="AC19" s="145" t="s">
        <v>429</v>
      </c>
      <c r="AD19" s="146">
        <v>0.54</v>
      </c>
      <c r="AE19" s="572">
        <f>AD8-AD19</f>
        <v>-2.2631351180067316E-2</v>
      </c>
      <c r="AF19" s="109">
        <f t="shared" ref="AF19:AF25" si="6">AE8*AE19</f>
        <v>-368.89102423509723</v>
      </c>
      <c r="AG19" s="109">
        <f>'[3]4. 3 Trạm'!V89</f>
        <v>446897</v>
      </c>
      <c r="AH19" s="109">
        <f>AG19*AE19</f>
        <v>-10113.882948318544</v>
      </c>
      <c r="AI19" s="130">
        <f t="shared" ref="AI19:AI25" si="7">AE8*AH19</f>
        <v>-164856292.05759227</v>
      </c>
    </row>
    <row r="20" spans="1:35" x14ac:dyDescent="0.35">
      <c r="A20" s="144">
        <v>5</v>
      </c>
      <c r="B20" s="145" t="s">
        <v>22</v>
      </c>
      <c r="C20" s="146">
        <v>0.03</v>
      </c>
      <c r="D20" s="572">
        <f t="shared" ref="D20:D26" si="8">C9-C20</f>
        <v>3.4970641388642226E-2</v>
      </c>
      <c r="E20" s="109">
        <f t="shared" si="0"/>
        <v>472.10365874667008</v>
      </c>
      <c r="F20" s="109">
        <f>'[3]4. 3 Trạm'!S90</f>
        <v>45769</v>
      </c>
      <c r="G20" s="109">
        <f t="shared" ref="G20:G25" si="9">F20*D20</f>
        <v>1600.5712857167659</v>
      </c>
      <c r="H20" s="130">
        <f t="shared" si="1"/>
        <v>21607712.357176341</v>
      </c>
      <c r="J20" s="144">
        <v>5</v>
      </c>
      <c r="K20" s="145" t="s">
        <v>22</v>
      </c>
      <c r="L20" s="146">
        <v>0.03</v>
      </c>
      <c r="M20" s="572">
        <f t="shared" ref="M20:M26" si="10">L9-L20</f>
        <v>2.839913684236671E-2</v>
      </c>
      <c r="N20" s="109">
        <f t="shared" si="2"/>
        <v>383.3883473719506</v>
      </c>
      <c r="O20" s="109">
        <f>'[3]4. 3 Trạm'!T90</f>
        <v>23322</v>
      </c>
      <c r="P20" s="109">
        <f t="shared" ref="P20:P22" si="11">O20*M20</f>
        <v>662.32466943767645</v>
      </c>
      <c r="Q20" s="130">
        <f t="shared" si="3"/>
        <v>8941383.0374086313</v>
      </c>
      <c r="S20" s="144">
        <v>5</v>
      </c>
      <c r="T20" s="145" t="s">
        <v>22</v>
      </c>
      <c r="U20" s="146">
        <v>0.03</v>
      </c>
      <c r="V20" s="572">
        <f t="shared" ref="V20:V26" si="12">U9-U20</f>
        <v>2.5507957307370224E-2</v>
      </c>
      <c r="W20" s="109">
        <f t="shared" si="4"/>
        <v>344.357423649498</v>
      </c>
      <c r="X20" s="109">
        <f>'[3]4. 3 Trạm'!U90</f>
        <v>88500</v>
      </c>
      <c r="Y20" s="109">
        <f t="shared" ref="Y20:Y22" si="13">X20*V20</f>
        <v>2257.4542217022649</v>
      </c>
      <c r="Z20" s="130">
        <f t="shared" si="5"/>
        <v>30475631.992980577</v>
      </c>
      <c r="AB20" s="144">
        <v>5</v>
      </c>
      <c r="AC20" s="145" t="s">
        <v>22</v>
      </c>
      <c r="AD20" s="146">
        <v>0.03</v>
      </c>
      <c r="AE20" s="572">
        <f t="shared" ref="AE20:AE26" si="14">AD9-AD20</f>
        <v>1.4495103812786722E-2</v>
      </c>
      <c r="AF20" s="109">
        <f t="shared" si="6"/>
        <v>214.5275364292435</v>
      </c>
      <c r="AG20" s="109">
        <f>'[3]4. 3 Trạm'!V90</f>
        <v>31654</v>
      </c>
      <c r="AH20" s="109">
        <f t="shared" ref="AH20:AH22" si="15">AG20*AE20</f>
        <v>458.82801608995089</v>
      </c>
      <c r="AI20" s="130">
        <f t="shared" si="7"/>
        <v>6790654.638131273</v>
      </c>
    </row>
    <row r="21" spans="1:35" x14ac:dyDescent="0.35">
      <c r="A21" s="144">
        <v>7</v>
      </c>
      <c r="B21" s="145" t="s">
        <v>27</v>
      </c>
      <c r="C21" s="146">
        <v>0.02</v>
      </c>
      <c r="D21" s="572">
        <f t="shared" si="8"/>
        <v>-4.109793888304434E-3</v>
      </c>
      <c r="E21" s="109">
        <f t="shared" si="0"/>
        <v>-49.317526659653204</v>
      </c>
      <c r="F21" s="109">
        <f>'[3]4. 3 Trạm'!S92</f>
        <v>14995</v>
      </c>
      <c r="G21" s="109">
        <f t="shared" si="9"/>
        <v>-61.62635935512499</v>
      </c>
      <c r="H21" s="130">
        <f t="shared" si="1"/>
        <v>-739516.31226149993</v>
      </c>
      <c r="J21" s="144">
        <v>7</v>
      </c>
      <c r="K21" s="145" t="s">
        <v>27</v>
      </c>
      <c r="L21" s="146">
        <v>0.02</v>
      </c>
      <c r="M21" s="572">
        <f t="shared" si="10"/>
        <v>-3.601823684485729E-3</v>
      </c>
      <c r="N21" s="109">
        <f t="shared" si="2"/>
        <v>-43.221884213828751</v>
      </c>
      <c r="O21" s="109">
        <f>'[3]4. 3 Trạm'!T92</f>
        <v>10167</v>
      </c>
      <c r="P21" s="109">
        <f t="shared" si="11"/>
        <v>-36.619741400166404</v>
      </c>
      <c r="Q21" s="130">
        <f t="shared" si="3"/>
        <v>-439436.89680199686</v>
      </c>
      <c r="S21" s="144">
        <v>7</v>
      </c>
      <c r="T21" s="145" t="s">
        <v>27</v>
      </c>
      <c r="U21" s="146">
        <v>0.02</v>
      </c>
      <c r="V21" s="572">
        <f t="shared" si="12"/>
        <v>-4.2814598560910605E-3</v>
      </c>
      <c r="W21" s="109">
        <f t="shared" si="4"/>
        <v>-51.377518273092726</v>
      </c>
      <c r="X21" s="109">
        <f>'[3]4. 3 Trạm'!U92</f>
        <v>28617</v>
      </c>
      <c r="Y21" s="109">
        <f t="shared" si="13"/>
        <v>-122.52253670175787</v>
      </c>
      <c r="Z21" s="130">
        <f t="shared" si="5"/>
        <v>-1470270.4404210944</v>
      </c>
      <c r="AB21" s="144">
        <v>7</v>
      </c>
      <c r="AC21" s="145" t="s">
        <v>27</v>
      </c>
      <c r="AD21" s="146">
        <v>0.02</v>
      </c>
      <c r="AE21" s="572">
        <f t="shared" si="14"/>
        <v>-4.9061124921681316E-3</v>
      </c>
      <c r="AF21" s="109">
        <f t="shared" si="6"/>
        <v>-65.25129614583615</v>
      </c>
      <c r="AG21" s="109">
        <f>'[3]4. 3 Trạm'!V92</f>
        <v>14779</v>
      </c>
      <c r="AH21" s="109">
        <f t="shared" si="15"/>
        <v>-72.507436521752823</v>
      </c>
      <c r="AI21" s="130">
        <f t="shared" si="7"/>
        <v>-964348.90573931253</v>
      </c>
    </row>
    <row r="22" spans="1:35" x14ac:dyDescent="0.35">
      <c r="A22" s="144">
        <v>8</v>
      </c>
      <c r="B22" s="145" t="s">
        <v>29</v>
      </c>
      <c r="C22" s="146">
        <v>0.02</v>
      </c>
      <c r="D22" s="572">
        <f t="shared" si="8"/>
        <v>-3.8991456228467981E-3</v>
      </c>
      <c r="E22" s="109">
        <f t="shared" si="0"/>
        <v>-46.78974747416158</v>
      </c>
      <c r="F22" s="109">
        <f>'[3]4. 3 Trạm'!S93</f>
        <v>12807</v>
      </c>
      <c r="G22" s="109">
        <f t="shared" si="9"/>
        <v>-49.936357991798943</v>
      </c>
      <c r="H22" s="130">
        <f t="shared" si="1"/>
        <v>-599236.29590158735</v>
      </c>
      <c r="J22" s="144">
        <v>8</v>
      </c>
      <c r="K22" s="145" t="s">
        <v>29</v>
      </c>
      <c r="L22" s="146">
        <v>0.02</v>
      </c>
      <c r="M22" s="572">
        <f t="shared" si="10"/>
        <v>-4.5296407769368791E-3</v>
      </c>
      <c r="N22" s="109">
        <f t="shared" si="2"/>
        <v>-54.355689323242551</v>
      </c>
      <c r="O22" s="109">
        <f>'[3]4. 3 Trạm'!T93</f>
        <v>8490</v>
      </c>
      <c r="P22" s="109">
        <f t="shared" si="11"/>
        <v>-38.456650196194104</v>
      </c>
      <c r="Q22" s="130">
        <f t="shared" si="3"/>
        <v>-461479.80235432927</v>
      </c>
      <c r="S22" s="144">
        <v>8</v>
      </c>
      <c r="T22" s="145" t="s">
        <v>29</v>
      </c>
      <c r="U22" s="146">
        <v>0.02</v>
      </c>
      <c r="V22" s="572">
        <f t="shared" si="12"/>
        <v>-4.5211302914627202E-3</v>
      </c>
      <c r="W22" s="109">
        <f t="shared" si="4"/>
        <v>-54.253563497552641</v>
      </c>
      <c r="X22" s="109">
        <f>'[3]4. 3 Trạm'!U93</f>
        <v>22312</v>
      </c>
      <c r="Y22" s="109">
        <f t="shared" si="13"/>
        <v>-100.87545906311621</v>
      </c>
      <c r="Z22" s="130">
        <f t="shared" si="5"/>
        <v>-1210505.5087573945</v>
      </c>
      <c r="AB22" s="144">
        <v>8</v>
      </c>
      <c r="AC22" s="145" t="s">
        <v>29</v>
      </c>
      <c r="AD22" s="146">
        <v>0.02</v>
      </c>
      <c r="AE22" s="572">
        <f t="shared" si="14"/>
        <v>-4.4831751464731555E-3</v>
      </c>
      <c r="AF22" s="109">
        <f t="shared" si="6"/>
        <v>-59.626229448092971</v>
      </c>
      <c r="AG22" s="109">
        <f>'[3]4. 3 Trạm'!V93</f>
        <v>12733</v>
      </c>
      <c r="AH22" s="109">
        <f t="shared" si="15"/>
        <v>-57.084269140042686</v>
      </c>
      <c r="AI22" s="130">
        <f t="shared" si="7"/>
        <v>-759220.77956256771</v>
      </c>
    </row>
    <row r="23" spans="1:35" x14ac:dyDescent="0.35">
      <c r="A23" s="144">
        <v>10</v>
      </c>
      <c r="B23" s="145" t="s">
        <v>19</v>
      </c>
      <c r="C23" s="146">
        <v>0.28000000000000003</v>
      </c>
      <c r="D23" s="572">
        <f t="shared" si="8"/>
        <v>-1.2315685602535598E-2</v>
      </c>
      <c r="E23" s="109">
        <f t="shared" si="0"/>
        <v>-166.26175563423058</v>
      </c>
      <c r="F23" s="109">
        <f>'[3]4. 3 Trạm'!S91</f>
        <v>275166</v>
      </c>
      <c r="G23" s="109">
        <f>F23*D23</f>
        <v>-3388.8579445073101</v>
      </c>
      <c r="H23" s="130">
        <f t="shared" si="1"/>
        <v>-45749582.250848688</v>
      </c>
      <c r="J23" s="144">
        <v>10</v>
      </c>
      <c r="K23" s="145" t="s">
        <v>19</v>
      </c>
      <c r="L23" s="146">
        <v>0.28000000000000003</v>
      </c>
      <c r="M23" s="572">
        <f t="shared" si="10"/>
        <v>1.0148872161367894E-2</v>
      </c>
      <c r="N23" s="109">
        <f t="shared" si="2"/>
        <v>137.00977417846659</v>
      </c>
      <c r="O23" s="109">
        <f>'[3]4. 3 Trạm'!T91</f>
        <v>202466</v>
      </c>
      <c r="P23" s="109">
        <f>O23*M23</f>
        <v>2054.8015510235123</v>
      </c>
      <c r="Q23" s="130">
        <f t="shared" si="3"/>
        <v>27739820.938817415</v>
      </c>
      <c r="S23" s="144">
        <v>10</v>
      </c>
      <c r="T23" s="145" t="s">
        <v>19</v>
      </c>
      <c r="U23" s="146">
        <v>0.28000000000000003</v>
      </c>
      <c r="V23" s="572">
        <f t="shared" si="12"/>
        <v>-2.825337503267078E-3</v>
      </c>
      <c r="W23" s="109">
        <f t="shared" si="4"/>
        <v>-38.142056294105551</v>
      </c>
      <c r="X23" s="109">
        <f>'[3]4. 3 Trạm'!U91</f>
        <v>526884</v>
      </c>
      <c r="Y23" s="109">
        <f>X23*V23</f>
        <v>-1488.625125071371</v>
      </c>
      <c r="Z23" s="130">
        <f t="shared" si="5"/>
        <v>-20096439.188463509</v>
      </c>
      <c r="AB23" s="144">
        <v>10</v>
      </c>
      <c r="AC23" s="145" t="s">
        <v>19</v>
      </c>
      <c r="AD23" s="146">
        <v>0.28000000000000003</v>
      </c>
      <c r="AE23" s="572">
        <f t="shared" si="14"/>
        <v>-3.2096361625834069E-3</v>
      </c>
      <c r="AF23" s="109">
        <f t="shared" si="6"/>
        <v>-47.502615206234424</v>
      </c>
      <c r="AG23" s="109">
        <f>'[3]4. 3 Trạm'!V91</f>
        <v>278043</v>
      </c>
      <c r="AH23" s="109">
        <f>AG23*AE23</f>
        <v>-892.41686755317824</v>
      </c>
      <c r="AI23" s="130">
        <f t="shared" si="7"/>
        <v>-13207769.639787039</v>
      </c>
    </row>
    <row r="24" spans="1:35" x14ac:dyDescent="0.35">
      <c r="A24" s="144">
        <v>11</v>
      </c>
      <c r="B24" s="145" t="s">
        <v>430</v>
      </c>
      <c r="C24" s="146">
        <v>0.01</v>
      </c>
      <c r="D24" s="572">
        <f t="shared" si="8"/>
        <v>5.679732296147216E-3</v>
      </c>
      <c r="E24" s="109">
        <f t="shared" si="0"/>
        <v>36.918259924956907</v>
      </c>
      <c r="F24" s="109">
        <f>'[3]4. 3 Trạm'!S94</f>
        <v>13231</v>
      </c>
      <c r="G24" s="109">
        <f t="shared" si="9"/>
        <v>75.148538010323819</v>
      </c>
      <c r="H24" s="130">
        <f t="shared" si="1"/>
        <v>488465.49706710479</v>
      </c>
      <c r="J24" s="144">
        <v>11</v>
      </c>
      <c r="K24" s="145" t="s">
        <v>430</v>
      </c>
      <c r="L24" s="146">
        <v>0.01</v>
      </c>
      <c r="M24" s="572">
        <f t="shared" si="10"/>
        <v>8.9094986767816273E-3</v>
      </c>
      <c r="N24" s="109">
        <f t="shared" si="2"/>
        <v>57.911741399080576</v>
      </c>
      <c r="O24" s="109">
        <f>'[3]4. 3 Trạm'!T94</f>
        <v>9601</v>
      </c>
      <c r="P24" s="109">
        <f t="shared" ref="P24:P25" si="16">O24*M24</f>
        <v>85.5400967957804</v>
      </c>
      <c r="Q24" s="130">
        <f t="shared" si="3"/>
        <v>556010.62917257263</v>
      </c>
      <c r="S24" s="144">
        <v>11</v>
      </c>
      <c r="T24" s="145" t="s">
        <v>430</v>
      </c>
      <c r="U24" s="146">
        <v>0.01</v>
      </c>
      <c r="V24" s="572">
        <f t="shared" si="12"/>
        <v>8.0941222070304488E-3</v>
      </c>
      <c r="W24" s="109">
        <f t="shared" si="4"/>
        <v>52.611794345697916</v>
      </c>
      <c r="X24" s="109">
        <f>'[3]4. 3 Trạm'!U94</f>
        <v>28372</v>
      </c>
      <c r="Y24" s="109">
        <f t="shared" ref="Y24:Y25" si="17">X24*V24</f>
        <v>229.64643525786789</v>
      </c>
      <c r="Z24" s="130">
        <f t="shared" si="5"/>
        <v>1492701.8291761414</v>
      </c>
      <c r="AB24" s="144">
        <v>11</v>
      </c>
      <c r="AC24" s="145" t="s">
        <v>430</v>
      </c>
      <c r="AD24" s="146">
        <v>0.01</v>
      </c>
      <c r="AE24" s="572">
        <f t="shared" si="14"/>
        <v>1.3950693100032536E-2</v>
      </c>
      <c r="AF24" s="109">
        <f t="shared" si="6"/>
        <v>108.81540618025379</v>
      </c>
      <c r="AG24" s="109">
        <f>'[3]4. 3 Trạm'!V94</f>
        <v>21393</v>
      </c>
      <c r="AH24" s="109">
        <f t="shared" ref="AH24:AH25" si="18">AG24*AE24</f>
        <v>298.44717748899603</v>
      </c>
      <c r="AI24" s="130">
        <f t="shared" si="7"/>
        <v>2327887.9844141691</v>
      </c>
    </row>
    <row r="25" spans="1:35" x14ac:dyDescent="0.35">
      <c r="A25" s="144">
        <v>12</v>
      </c>
      <c r="B25" s="158" t="s">
        <v>747</v>
      </c>
      <c r="C25" s="146">
        <v>0</v>
      </c>
      <c r="D25" s="572">
        <f t="shared" si="8"/>
        <v>3.8483649987539918E-3</v>
      </c>
      <c r="E25" s="109">
        <f t="shared" si="0"/>
        <v>7.6967299975079833</v>
      </c>
      <c r="F25" s="109">
        <f>'[3]4. 3 Trạm'!S95</f>
        <v>0</v>
      </c>
      <c r="G25" s="109">
        <f t="shared" si="9"/>
        <v>0</v>
      </c>
      <c r="H25" s="130">
        <f t="shared" si="1"/>
        <v>0</v>
      </c>
      <c r="J25" s="144">
        <v>12</v>
      </c>
      <c r="K25" s="158" t="s">
        <v>747</v>
      </c>
      <c r="L25" s="146">
        <v>0</v>
      </c>
      <c r="M25" s="572">
        <f t="shared" si="10"/>
        <v>4.0771833612101467E-3</v>
      </c>
      <c r="N25" s="109">
        <f t="shared" si="2"/>
        <v>8.1543667224202938</v>
      </c>
      <c r="O25" s="109">
        <f>'[3]4. 3 Trạm'!T95</f>
        <v>0</v>
      </c>
      <c r="P25" s="109">
        <f t="shared" si="16"/>
        <v>0</v>
      </c>
      <c r="Q25" s="130">
        <f t="shared" si="3"/>
        <v>0</v>
      </c>
      <c r="S25" s="144">
        <v>12</v>
      </c>
      <c r="T25" s="158" t="s">
        <v>747</v>
      </c>
      <c r="U25" s="146">
        <v>0</v>
      </c>
      <c r="V25" s="572">
        <f t="shared" si="12"/>
        <v>7.6438511554141868E-3</v>
      </c>
      <c r="W25" s="109">
        <f t="shared" si="4"/>
        <v>15.287702310828374</v>
      </c>
      <c r="X25" s="109">
        <f>'[3]4. 3 Trạm'!U95</f>
        <v>0</v>
      </c>
      <c r="Y25" s="109">
        <f t="shared" si="17"/>
        <v>0</v>
      </c>
      <c r="Z25" s="130">
        <f t="shared" si="5"/>
        <v>0</v>
      </c>
      <c r="AB25" s="144">
        <v>12</v>
      </c>
      <c r="AC25" s="158" t="s">
        <v>747</v>
      </c>
      <c r="AD25" s="146">
        <v>0</v>
      </c>
      <c r="AE25" s="572">
        <f t="shared" si="14"/>
        <v>4.2130059126117168E-3</v>
      </c>
      <c r="AF25" s="109">
        <f t="shared" si="6"/>
        <v>13.902919511618665</v>
      </c>
      <c r="AG25" s="109">
        <f>'[3]4. 3 Trạm'!V95</f>
        <v>200.61099999999965</v>
      </c>
      <c r="AH25" s="109">
        <f t="shared" si="18"/>
        <v>0.84517532913494764</v>
      </c>
      <c r="AI25" s="130">
        <f t="shared" si="7"/>
        <v>2789.0785861453273</v>
      </c>
    </row>
    <row r="26" spans="1:35" x14ac:dyDescent="0.35">
      <c r="A26" s="573">
        <v>13</v>
      </c>
      <c r="B26" s="75" t="s">
        <v>482</v>
      </c>
      <c r="C26" s="572">
        <v>0.1</v>
      </c>
      <c r="D26" s="572">
        <f t="shared" si="8"/>
        <v>3.169763574143683E-3</v>
      </c>
      <c r="E26" s="130">
        <f>D26*C1</f>
        <v>31.69763574143683</v>
      </c>
      <c r="F26" s="109">
        <f>'[3]4. 3 Trạm'!S97</f>
        <v>117019</v>
      </c>
      <c r="G26" s="109">
        <f>-F26*D26</f>
        <v>-370.92256368271967</v>
      </c>
      <c r="H26" s="130">
        <f>$C$1*G26</f>
        <v>-3709225.6368271969</v>
      </c>
      <c r="J26" s="573">
        <v>13</v>
      </c>
      <c r="K26" s="75" t="s">
        <v>482</v>
      </c>
      <c r="L26" s="572">
        <v>0.1</v>
      </c>
      <c r="M26" s="572">
        <f t="shared" si="10"/>
        <v>3.169763574143683E-3</v>
      </c>
      <c r="N26" s="130">
        <f>M26*L1</f>
        <v>31.69763574143683</v>
      </c>
      <c r="O26" s="109">
        <f>'[3]4. 3 Trạm'!T97</f>
        <v>77982</v>
      </c>
      <c r="P26" s="109">
        <f>-O26*M26</f>
        <v>-247.18450303887269</v>
      </c>
      <c r="Q26" s="130">
        <f>$L$1*P26</f>
        <v>-2471845.0303887269</v>
      </c>
      <c r="S26" s="573">
        <v>13</v>
      </c>
      <c r="T26" s="75" t="s">
        <v>482</v>
      </c>
      <c r="U26" s="572">
        <v>0.1</v>
      </c>
      <c r="V26" s="572">
        <f t="shared" si="12"/>
        <v>3.169763574143683E-3</v>
      </c>
      <c r="W26" s="130">
        <f>V26*U1</f>
        <v>31.69763574143683</v>
      </c>
      <c r="X26" s="109">
        <f>'[3]4. 3 Trạm'!U97</f>
        <v>205626</v>
      </c>
      <c r="Y26" s="109">
        <f>-X26*V26</f>
        <v>-651.78580469686892</v>
      </c>
      <c r="Z26" s="130">
        <f>$U$1*Y26</f>
        <v>-6517858.0469686892</v>
      </c>
      <c r="AB26" s="573">
        <v>13</v>
      </c>
      <c r="AC26" s="75" t="s">
        <v>482</v>
      </c>
      <c r="AD26" s="572">
        <v>0.1</v>
      </c>
      <c r="AE26" s="572">
        <f t="shared" si="14"/>
        <v>3.169763574143683E-3</v>
      </c>
      <c r="AF26" s="130">
        <f>AE26*AD1</f>
        <v>35.81832838782362</v>
      </c>
      <c r="AG26" s="109">
        <f>'[3]4. 3 Trạm'!V97</f>
        <v>92319.388999999966</v>
      </c>
      <c r="AH26" s="109">
        <f>-AG26*AE26</f>
        <v>-292.63063643940092</v>
      </c>
      <c r="AI26" s="130">
        <f>$AD$1*AH26</f>
        <v>-3306726.1917652301</v>
      </c>
    </row>
    <row r="27" spans="1:35" x14ac:dyDescent="0.35">
      <c r="F27" s="574">
        <f>SUM(F19:F26)</f>
        <v>946019</v>
      </c>
      <c r="G27" s="574">
        <f>SUM(G19:G26)</f>
        <v>-15582.926339356196</v>
      </c>
      <c r="H27" s="574">
        <f>SUM(H19:H26)</f>
        <v>-229510926.70479053</v>
      </c>
      <c r="O27" s="574">
        <f>SUM(O19:O26)</f>
        <v>631064</v>
      </c>
      <c r="P27" s="574">
        <f>SUM(P19:P26)</f>
        <v>-10358.955436046121</v>
      </c>
      <c r="Q27" s="574">
        <f>SUM(Q19:Q26)</f>
        <v>-158725960.00416431</v>
      </c>
      <c r="X27" s="574">
        <f>SUM(X19:X26)</f>
        <v>1748535</v>
      </c>
      <c r="Y27" s="574">
        <f>SUM(Y19:Y26)</f>
        <v>-30118.11027319928</v>
      </c>
      <c r="Z27" s="574">
        <f>SUM(Z19:Z26)</f>
        <v>-450947769.43184841</v>
      </c>
      <c r="AG27" s="574">
        <f>SUM(AG19:AG26)</f>
        <v>898019</v>
      </c>
      <c r="AH27" s="574">
        <f>SUM(AH19:AH26)</f>
        <v>-10670.401789064837</v>
      </c>
      <c r="AI27" s="574">
        <f>SUM(AI19:AI26)</f>
        <v>-173973025.87331486</v>
      </c>
    </row>
    <row r="28" spans="1:35" x14ac:dyDescent="0.35">
      <c r="H28" s="168">
        <f>H27/F27</f>
        <v>-242.60710060240919</v>
      </c>
      <c r="Q28" s="168">
        <f>Q27/O27</f>
        <v>-251.52117693952485</v>
      </c>
      <c r="Z28" s="168">
        <f>Z27/X27</f>
        <v>-257.90033910207598</v>
      </c>
      <c r="AI28" s="168">
        <f>AI27/AG27</f>
        <v>-193.72978285906518</v>
      </c>
    </row>
  </sheetData>
  <mergeCells count="4">
    <mergeCell ref="E17:H17"/>
    <mergeCell ref="N17:Q17"/>
    <mergeCell ref="W17:Z17"/>
    <mergeCell ref="AF17:AI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8205-B476-49BC-92F0-5EFBBBECBC13}">
  <dimension ref="A2:AE44"/>
  <sheetViews>
    <sheetView topLeftCell="C21" zoomScale="85" zoomScaleNormal="85" workbookViewId="0">
      <selection activeCell="J35" sqref="J35"/>
    </sheetView>
  </sheetViews>
  <sheetFormatPr defaultRowHeight="14.5" x14ac:dyDescent="0.35"/>
  <cols>
    <col min="1" max="1" width="5.90625" customWidth="1"/>
    <col min="2" max="2" width="24.08984375" customWidth="1"/>
    <col min="3" max="3" width="19.81640625" customWidth="1"/>
    <col min="4" max="4" width="2.90625"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4" customWidth="1"/>
    <col min="15" max="15" width="14.453125" bestFit="1" customWidth="1"/>
    <col min="16" max="16" width="7.453125" bestFit="1" customWidth="1"/>
    <col min="17" max="17" width="7.90625" bestFit="1" customWidth="1"/>
    <col min="18"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5">
        <v>2026</v>
      </c>
    </row>
    <row r="3" spans="1:31" x14ac:dyDescent="0.35">
      <c r="A3" s="135">
        <v>3</v>
      </c>
    </row>
    <row r="6" spans="1:31" x14ac:dyDescent="0.35">
      <c r="B6" s="117" t="s">
        <v>396</v>
      </c>
      <c r="C6" s="136">
        <v>11300</v>
      </c>
    </row>
    <row r="7" spans="1:31" x14ac:dyDescent="0.35">
      <c r="B7" s="117" t="s">
        <v>397</v>
      </c>
      <c r="C7" s="137">
        <v>3000</v>
      </c>
    </row>
    <row r="8" spans="1:31" x14ac:dyDescent="0.35">
      <c r="B8" s="117" t="s">
        <v>398</v>
      </c>
      <c r="C8" s="138">
        <v>0.1</v>
      </c>
    </row>
    <row r="9" spans="1:31" x14ac:dyDescent="0.35">
      <c r="B9" s="117" t="s">
        <v>399</v>
      </c>
      <c r="C9" s="139">
        <f>SUM(C6:C7)</f>
        <v>14300</v>
      </c>
    </row>
    <row r="10" spans="1:31" x14ac:dyDescent="0.35">
      <c r="B10" s="117" t="s">
        <v>400</v>
      </c>
      <c r="C10" s="139">
        <f>C9*C8/(1-C8)</f>
        <v>1588.8888888888889</v>
      </c>
    </row>
    <row r="11" spans="1:31" x14ac:dyDescent="0.35">
      <c r="B11" s="117" t="s">
        <v>401</v>
      </c>
      <c r="C11" s="139">
        <f>+C9/(1-C8)</f>
        <v>15888.888888888889</v>
      </c>
      <c r="X11" t="s">
        <v>402</v>
      </c>
    </row>
    <row r="12" spans="1:31" x14ac:dyDescent="0.35">
      <c r="B12" s="140" t="s">
        <v>403</v>
      </c>
      <c r="S12" t="s">
        <v>404</v>
      </c>
      <c r="V12" t="s">
        <v>405</v>
      </c>
      <c r="W12" t="s">
        <v>406</v>
      </c>
      <c r="X12" t="s">
        <v>405</v>
      </c>
      <c r="Y12" t="s">
        <v>406</v>
      </c>
    </row>
    <row r="13" spans="1:31" ht="48" x14ac:dyDescent="0.35">
      <c r="A13" s="141" t="s">
        <v>0</v>
      </c>
      <c r="B13" s="141" t="s">
        <v>407</v>
      </c>
      <c r="C13" s="141" t="s">
        <v>408</v>
      </c>
      <c r="E13" s="142" t="s">
        <v>409</v>
      </c>
      <c r="F13" s="143" t="s">
        <v>410</v>
      </c>
      <c r="G13" s="143" t="s">
        <v>411</v>
      </c>
      <c r="H13" s="143" t="s">
        <v>412</v>
      </c>
      <c r="I13" s="143" t="s">
        <v>413</v>
      </c>
      <c r="J13" s="143" t="s">
        <v>414</v>
      </c>
      <c r="K13" s="143" t="s">
        <v>415</v>
      </c>
      <c r="L13" s="143" t="s">
        <v>416</v>
      </c>
      <c r="M13" s="143" t="s">
        <v>417</v>
      </c>
      <c r="N13" s="143" t="s">
        <v>418</v>
      </c>
      <c r="O13" s="142" t="s">
        <v>519</v>
      </c>
      <c r="P13" s="825" t="s">
        <v>419</v>
      </c>
      <c r="Q13" s="825"/>
      <c r="R13" s="143" t="s">
        <v>420</v>
      </c>
      <c r="S13" s="143" t="s">
        <v>421</v>
      </c>
      <c r="T13" s="143" t="s">
        <v>419</v>
      </c>
      <c r="U13" s="143" t="s">
        <v>422</v>
      </c>
      <c r="V13" s="143" t="s">
        <v>423</v>
      </c>
      <c r="W13" s="143" t="s">
        <v>423</v>
      </c>
      <c r="X13" s="143" t="s">
        <v>423</v>
      </c>
      <c r="Y13" s="143" t="s">
        <v>423</v>
      </c>
      <c r="Z13" s="143" t="s">
        <v>424</v>
      </c>
      <c r="AA13" s="143" t="s">
        <v>425</v>
      </c>
      <c r="AC13" s="143" t="s">
        <v>426</v>
      </c>
      <c r="AD13" s="143" t="s">
        <v>427</v>
      </c>
      <c r="AE13" s="143" t="s">
        <v>428</v>
      </c>
    </row>
    <row r="14" spans="1:31" x14ac:dyDescent="0.35">
      <c r="A14" s="144">
        <v>1</v>
      </c>
      <c r="B14" s="145" t="s">
        <v>429</v>
      </c>
      <c r="C14" s="146">
        <v>0.54</v>
      </c>
      <c r="E14" s="147">
        <v>16300</v>
      </c>
      <c r="F14" s="148">
        <f>C14*1000</f>
        <v>540</v>
      </c>
      <c r="G14" s="149">
        <f>F14/1000/(1-$C$8)</f>
        <v>0.6</v>
      </c>
      <c r="H14" s="149">
        <f>E14*G14/SUMPRODUCT($E$14:$E$20,$G$14:$G$20)</f>
        <v>0.6354317066127636</v>
      </c>
      <c r="I14" s="148">
        <f>$C$6*H14</f>
        <v>7180.3782847242292</v>
      </c>
      <c r="J14" s="150">
        <f>($C$7+$C$10)*H14</f>
        <v>2915.9254981230151</v>
      </c>
      <c r="K14" s="148">
        <f>I14+J14</f>
        <v>10096.303782847244</v>
      </c>
      <c r="L14" s="148">
        <f>E14*G14</f>
        <v>9780</v>
      </c>
      <c r="M14" s="148">
        <f>L14-K14</f>
        <v>-316.30378284724429</v>
      </c>
      <c r="N14" s="148">
        <f>K14/(F14/(1-$C$8))*1000</f>
        <v>16827.172971412074</v>
      </c>
      <c r="O14" s="147">
        <v>15000</v>
      </c>
      <c r="P14" s="130">
        <f t="shared" ref="P14:P22" si="0">O14-N14</f>
        <v>-1827.1729714120738</v>
      </c>
      <c r="Q14" s="151">
        <f t="shared" ref="Q14:Q20" si="1">P14/E14</f>
        <v>-0.11209650131362416</v>
      </c>
      <c r="R14" s="109">
        <f t="shared" ref="R14:R19" si="2">I14/F14*1000</f>
        <v>13296.996823563388</v>
      </c>
      <c r="S14" s="152">
        <f>'[4]BOM (Long)'!$P$7</f>
        <v>11536.63177925785</v>
      </c>
      <c r="T14" s="130">
        <f t="shared" ref="T14:T19" si="3">R14-S14</f>
        <v>1760.3650443055376</v>
      </c>
      <c r="U14" s="151">
        <f t="shared" ref="U14:U19" si="4">T14/S14</f>
        <v>0.1525891679641336</v>
      </c>
      <c r="V14" s="153">
        <f t="shared" ref="V14:W19" si="5">R14/R$16</f>
        <v>1.2255639097744362</v>
      </c>
      <c r="W14" s="154">
        <f t="shared" si="5"/>
        <v>1.25</v>
      </c>
      <c r="X14" s="153">
        <f t="shared" ref="X14:X19" si="6">S14/C$6</f>
        <v>1.0209408654210488</v>
      </c>
      <c r="Y14" s="154">
        <f t="shared" ref="Y14:Y19" si="7">S14/C$6</f>
        <v>1.0209408654210488</v>
      </c>
      <c r="Z14" s="109">
        <v>9700</v>
      </c>
      <c r="AA14" s="152"/>
      <c r="AC14" s="109">
        <v>12500</v>
      </c>
      <c r="AE14" s="130">
        <f>AC14+AD14</f>
        <v>12500</v>
      </c>
    </row>
    <row r="15" spans="1:31" x14ac:dyDescent="0.35">
      <c r="A15" s="144">
        <v>5</v>
      </c>
      <c r="B15" s="145" t="s">
        <v>22</v>
      </c>
      <c r="C15" s="155">
        <v>0.03</v>
      </c>
      <c r="E15" s="147">
        <v>14800</v>
      </c>
      <c r="F15" s="148">
        <f t="shared" ref="F15:F20" si="8">C15*1000</f>
        <v>30</v>
      </c>
      <c r="G15" s="149">
        <f t="shared" ref="G15:G20" si="9">F15/1000/(1-$C$8)</f>
        <v>3.3333333333333333E-2</v>
      </c>
      <c r="H15" s="149">
        <f t="shared" ref="H15:H20" si="10">E15*G15/SUMPRODUCT($E$14:$E$20,$G$14:$G$20)</f>
        <v>3.2053133121570897E-2</v>
      </c>
      <c r="I15" s="148">
        <f t="shared" ref="I15:I20" si="11">$C$6*H15</f>
        <v>362.20040427375113</v>
      </c>
      <c r="J15" s="150">
        <f t="shared" ref="J15:J20" si="12">($C$7+$C$10)*H15</f>
        <v>147.08826643565311</v>
      </c>
      <c r="K15" s="148">
        <f t="shared" ref="K15:K20" si="13">I15+J15</f>
        <v>509.28867070940424</v>
      </c>
      <c r="L15" s="148">
        <f t="shared" ref="L15:L20" si="14">E15*G15</f>
        <v>493.33333333333331</v>
      </c>
      <c r="M15" s="148">
        <f t="shared" ref="M15:M20" si="15">L15-K15</f>
        <v>-15.955337376070929</v>
      </c>
      <c r="N15" s="148">
        <f t="shared" ref="N15:N20" si="16">K15/(F15/(1-$C$8))*1000</f>
        <v>15278.660121282126</v>
      </c>
      <c r="O15" s="147">
        <v>13500</v>
      </c>
      <c r="P15" s="130">
        <f t="shared" si="0"/>
        <v>-1778.6601212821261</v>
      </c>
      <c r="Q15" s="151">
        <f t="shared" si="1"/>
        <v>-0.12017973792446798</v>
      </c>
      <c r="R15" s="109">
        <f t="shared" si="2"/>
        <v>12073.346809125038</v>
      </c>
      <c r="S15" s="152">
        <f>'[4]BOM (Long)'!$P$9</f>
        <v>10152.23596574691</v>
      </c>
      <c r="T15" s="130">
        <f t="shared" si="3"/>
        <v>1921.1108433781283</v>
      </c>
      <c r="U15" s="151">
        <f t="shared" si="4"/>
        <v>0.18923031831212864</v>
      </c>
      <c r="V15" s="153">
        <f t="shared" si="5"/>
        <v>1.112781954887218</v>
      </c>
      <c r="W15" s="153">
        <f t="shared" si="5"/>
        <v>1.1000000000000001</v>
      </c>
      <c r="X15" s="153">
        <f t="shared" si="6"/>
        <v>0.89842796157052296</v>
      </c>
      <c r="Y15" s="153">
        <f t="shared" si="7"/>
        <v>0.89842796157052296</v>
      </c>
      <c r="Z15" s="109">
        <f>Z14/$Y$15</f>
        <v>10796.636363636362</v>
      </c>
      <c r="AA15" s="152">
        <f>Z15-$Z$14</f>
        <v>1096.6363636363621</v>
      </c>
      <c r="AB15" s="130">
        <f>Z15-Z14</f>
        <v>1096.6363636363621</v>
      </c>
      <c r="AC15" s="109">
        <v>10000</v>
      </c>
    </row>
    <row r="16" spans="1:31" x14ac:dyDescent="0.35">
      <c r="A16" s="144">
        <v>7</v>
      </c>
      <c r="B16" s="145" t="s">
        <v>27</v>
      </c>
      <c r="C16" s="155">
        <v>0.02</v>
      </c>
      <c r="E16" s="147">
        <v>13300</v>
      </c>
      <c r="F16" s="148">
        <f t="shared" si="8"/>
        <v>20</v>
      </c>
      <c r="G16" s="149">
        <f t="shared" si="9"/>
        <v>2.2222222222222223E-2</v>
      </c>
      <c r="H16" s="149">
        <f t="shared" si="10"/>
        <v>1.9203003176436619E-2</v>
      </c>
      <c r="I16" s="148">
        <f t="shared" si="11"/>
        <v>216.99393589373378</v>
      </c>
      <c r="J16" s="150">
        <f t="shared" si="12"/>
        <v>88.120447909648036</v>
      </c>
      <c r="K16" s="148">
        <f t="shared" si="13"/>
        <v>305.11438380338183</v>
      </c>
      <c r="L16" s="148">
        <f t="shared" si="14"/>
        <v>295.55555555555554</v>
      </c>
      <c r="M16" s="148">
        <f t="shared" si="15"/>
        <v>-9.558828247826284</v>
      </c>
      <c r="N16" s="148">
        <f t="shared" si="16"/>
        <v>13730.147271152182</v>
      </c>
      <c r="O16" s="147">
        <v>12000</v>
      </c>
      <c r="P16" s="130">
        <f t="shared" si="0"/>
        <v>-1730.1472711521819</v>
      </c>
      <c r="Q16" s="151">
        <f t="shared" si="1"/>
        <v>-0.13008626098888587</v>
      </c>
      <c r="R16" s="109">
        <f t="shared" si="2"/>
        <v>10849.69679468669</v>
      </c>
      <c r="S16" s="152">
        <f>'[4]BOM (Long)'!$P$10</f>
        <v>9229.3054234062802</v>
      </c>
      <c r="T16" s="130">
        <f t="shared" si="3"/>
        <v>1620.3913712804097</v>
      </c>
      <c r="U16" s="151">
        <f t="shared" si="4"/>
        <v>0.17557024033151655</v>
      </c>
      <c r="V16" s="153">
        <f t="shared" si="5"/>
        <v>1</v>
      </c>
      <c r="W16" s="156">
        <f t="shared" si="5"/>
        <v>1</v>
      </c>
      <c r="X16" s="153">
        <f t="shared" si="6"/>
        <v>0.816752692336839</v>
      </c>
      <c r="Y16" s="156">
        <f t="shared" si="7"/>
        <v>0.816752692336839</v>
      </c>
      <c r="Z16" s="109">
        <f>Z15/$Y$15</f>
        <v>12017.253275112887</v>
      </c>
      <c r="AA16" s="152">
        <f>Z16-$Z$14</f>
        <v>2317.2532751128874</v>
      </c>
      <c r="AB16" s="130">
        <f>Z16-Z15</f>
        <v>1220.6169114765253</v>
      </c>
      <c r="AC16" s="109">
        <v>9000</v>
      </c>
    </row>
    <row r="17" spans="1:31" x14ac:dyDescent="0.35">
      <c r="A17" s="144">
        <v>8</v>
      </c>
      <c r="B17" s="145" t="s">
        <v>29</v>
      </c>
      <c r="C17" s="155">
        <v>0.02</v>
      </c>
      <c r="E17" s="147">
        <v>13300</v>
      </c>
      <c r="F17" s="148">
        <f t="shared" si="8"/>
        <v>20</v>
      </c>
      <c r="G17" s="149">
        <f t="shared" si="9"/>
        <v>2.2222222222222223E-2</v>
      </c>
      <c r="H17" s="149">
        <f t="shared" si="10"/>
        <v>1.9203003176436619E-2</v>
      </c>
      <c r="I17" s="148">
        <f t="shared" si="11"/>
        <v>216.99393589373378</v>
      </c>
      <c r="J17" s="150">
        <f t="shared" si="12"/>
        <v>88.120447909648036</v>
      </c>
      <c r="K17" s="148">
        <f t="shared" si="13"/>
        <v>305.11438380338183</v>
      </c>
      <c r="L17" s="148">
        <f t="shared" si="14"/>
        <v>295.55555555555554</v>
      </c>
      <c r="M17" s="148">
        <f t="shared" si="15"/>
        <v>-9.558828247826284</v>
      </c>
      <c r="N17" s="148">
        <f t="shared" si="16"/>
        <v>13730.147271152182</v>
      </c>
      <c r="O17" s="147">
        <v>12000</v>
      </c>
      <c r="P17" s="130">
        <f t="shared" si="0"/>
        <v>-1730.1472711521819</v>
      </c>
      <c r="Q17" s="151">
        <f t="shared" si="1"/>
        <v>-0.13008626098888587</v>
      </c>
      <c r="R17" s="109">
        <f t="shared" si="2"/>
        <v>10849.69679468669</v>
      </c>
      <c r="S17" s="152">
        <f>'[4]BOM (Long)'!$P$11</f>
        <v>9229.3054234062802</v>
      </c>
      <c r="T17" s="130">
        <f t="shared" si="3"/>
        <v>1620.3913712804097</v>
      </c>
      <c r="U17" s="151">
        <f t="shared" si="4"/>
        <v>0.17557024033151655</v>
      </c>
      <c r="V17" s="153">
        <f t="shared" si="5"/>
        <v>1</v>
      </c>
      <c r="W17" s="156">
        <f t="shared" si="5"/>
        <v>1</v>
      </c>
      <c r="X17" s="153">
        <f t="shared" si="6"/>
        <v>0.816752692336839</v>
      </c>
      <c r="Y17" s="156">
        <f t="shared" si="7"/>
        <v>0.816752692336839</v>
      </c>
      <c r="Z17" s="109">
        <f>Z16/$Y$15</f>
        <v>13375.867391867212</v>
      </c>
      <c r="AA17" s="152">
        <f>Z17-$Z$14</f>
        <v>3675.8673918672121</v>
      </c>
      <c r="AB17" s="130">
        <f>Z17-Z16</f>
        <v>1358.6141167543246</v>
      </c>
      <c r="AC17" s="109">
        <v>9000</v>
      </c>
    </row>
    <row r="18" spans="1:31" x14ac:dyDescent="0.35">
      <c r="A18" s="144">
        <v>10</v>
      </c>
      <c r="B18" s="145" t="s">
        <v>19</v>
      </c>
      <c r="C18" s="155">
        <v>0.27</v>
      </c>
      <c r="E18" s="147">
        <v>14800</v>
      </c>
      <c r="F18" s="148">
        <f t="shared" si="8"/>
        <v>270</v>
      </c>
      <c r="G18" s="149">
        <f t="shared" si="9"/>
        <v>0.3</v>
      </c>
      <c r="H18" s="149">
        <f t="shared" si="10"/>
        <v>0.28847819809413805</v>
      </c>
      <c r="I18" s="148">
        <f t="shared" si="11"/>
        <v>3259.8036384637599</v>
      </c>
      <c r="J18" s="150">
        <f t="shared" si="12"/>
        <v>1323.7943979208778</v>
      </c>
      <c r="K18" s="148">
        <f t="shared" si="13"/>
        <v>4583.5980363846375</v>
      </c>
      <c r="L18" s="148">
        <f t="shared" si="14"/>
        <v>4440</v>
      </c>
      <c r="M18" s="148">
        <f t="shared" si="15"/>
        <v>-143.59803638463745</v>
      </c>
      <c r="N18" s="148">
        <f t="shared" si="16"/>
        <v>15278.660121282124</v>
      </c>
      <c r="O18" s="147">
        <v>13500</v>
      </c>
      <c r="P18" s="130">
        <f t="shared" si="0"/>
        <v>-1778.6601212821242</v>
      </c>
      <c r="Q18" s="151">
        <f t="shared" si="1"/>
        <v>-0.12017973792446786</v>
      </c>
      <c r="R18" s="109">
        <f t="shared" si="2"/>
        <v>12073.346809125036</v>
      </c>
      <c r="S18" s="152">
        <f>'[4]BOM (Long)'!$P$13</f>
        <v>10152.235965746908</v>
      </c>
      <c r="T18" s="130">
        <f t="shared" si="3"/>
        <v>1921.1108433781283</v>
      </c>
      <c r="U18" s="151">
        <f t="shared" si="4"/>
        <v>0.18923031831212866</v>
      </c>
      <c r="V18" s="153">
        <f t="shared" si="5"/>
        <v>1.1127819548872178</v>
      </c>
      <c r="W18" s="153">
        <f t="shared" si="5"/>
        <v>1.0999999999999999</v>
      </c>
      <c r="X18" s="153">
        <f t="shared" si="6"/>
        <v>0.89842796157052285</v>
      </c>
      <c r="Y18" s="153">
        <f t="shared" si="7"/>
        <v>0.89842796157052285</v>
      </c>
      <c r="Z18" s="109">
        <f>Z17/$Y$15</f>
        <v>14888.080028681588</v>
      </c>
      <c r="AA18" s="152">
        <f>Z18-$Z$14</f>
        <v>5188.0800286815884</v>
      </c>
      <c r="AB18" s="130">
        <f>Z18-Z17</f>
        <v>1512.2126368143763</v>
      </c>
      <c r="AC18" s="109">
        <v>10000</v>
      </c>
      <c r="AD18" s="109">
        <f>'[5]CP Công đoạn (3)'!$CJ$6</f>
        <v>2321.0309940637335</v>
      </c>
      <c r="AE18" s="130">
        <f>AC18+AD18</f>
        <v>12321.030994063734</v>
      </c>
    </row>
    <row r="19" spans="1:31" x14ac:dyDescent="0.35">
      <c r="A19" s="144">
        <v>11</v>
      </c>
      <c r="B19" s="145" t="s">
        <v>430</v>
      </c>
      <c r="C19" s="155">
        <v>0.01</v>
      </c>
      <c r="E19" s="147">
        <v>7800</v>
      </c>
      <c r="F19" s="148">
        <f t="shared" si="8"/>
        <v>10</v>
      </c>
      <c r="G19" s="149">
        <f t="shared" si="9"/>
        <v>1.1111111111111112E-2</v>
      </c>
      <c r="H19" s="149">
        <f t="shared" si="10"/>
        <v>5.6309558186543466E-3</v>
      </c>
      <c r="I19" s="148">
        <f t="shared" si="11"/>
        <v>63.629800750794118</v>
      </c>
      <c r="J19" s="150">
        <f t="shared" si="12"/>
        <v>25.839830590047168</v>
      </c>
      <c r="K19" s="148">
        <f>I19+J19</f>
        <v>89.469631340841289</v>
      </c>
      <c r="L19" s="148">
        <f t="shared" si="14"/>
        <v>86.666666666666671</v>
      </c>
      <c r="M19" s="148">
        <f t="shared" si="15"/>
        <v>-2.8029646741746177</v>
      </c>
      <c r="N19" s="148">
        <f t="shared" si="16"/>
        <v>8052.2668206757171</v>
      </c>
      <c r="O19" s="147">
        <v>6500</v>
      </c>
      <c r="P19" s="130">
        <f t="shared" si="0"/>
        <v>-1552.2668206757171</v>
      </c>
      <c r="Q19" s="151">
        <f t="shared" si="1"/>
        <v>-0.19900856675329706</v>
      </c>
      <c r="R19" s="109">
        <f t="shared" si="2"/>
        <v>6362.9800750794111</v>
      </c>
      <c r="S19" s="152">
        <f>'[4]BOM (Long)'!$P$14</f>
        <v>5537.5832540437677</v>
      </c>
      <c r="T19" s="130">
        <f t="shared" si="3"/>
        <v>825.39682103564337</v>
      </c>
      <c r="U19" s="151">
        <f t="shared" si="4"/>
        <v>0.1490536183691514</v>
      </c>
      <c r="V19" s="153">
        <f t="shared" si="5"/>
        <v>0.58646616541353369</v>
      </c>
      <c r="W19" s="157">
        <f t="shared" si="5"/>
        <v>0.6</v>
      </c>
      <c r="X19" s="153">
        <f t="shared" si="6"/>
        <v>0.49005161540210335</v>
      </c>
      <c r="Y19" s="157">
        <f t="shared" si="7"/>
        <v>0.49005161540210335</v>
      </c>
      <c r="Z19" s="109">
        <f>Z18/$Y$15</f>
        <v>16571.256311586796</v>
      </c>
      <c r="AA19" s="152">
        <f>Z19-$Z$14</f>
        <v>6871.2563115867961</v>
      </c>
      <c r="AB19" s="130">
        <f>Z19-Z18</f>
        <v>1683.1762829052077</v>
      </c>
      <c r="AC19" s="109">
        <v>5000</v>
      </c>
    </row>
    <row r="20" spans="1:31" hidden="1" x14ac:dyDescent="0.35">
      <c r="A20" s="144"/>
      <c r="B20" s="158"/>
      <c r="C20" s="159"/>
      <c r="E20" s="147"/>
      <c r="F20" s="160">
        <f t="shared" si="8"/>
        <v>0</v>
      </c>
      <c r="G20" s="160">
        <f t="shared" si="9"/>
        <v>0</v>
      </c>
      <c r="H20" s="160">
        <f t="shared" si="10"/>
        <v>0</v>
      </c>
      <c r="I20" s="160">
        <f t="shared" si="11"/>
        <v>0</v>
      </c>
      <c r="J20" s="160">
        <f t="shared" si="12"/>
        <v>0</v>
      </c>
      <c r="K20" s="160">
        <f t="shared" si="13"/>
        <v>0</v>
      </c>
      <c r="L20" s="160">
        <f t="shared" si="14"/>
        <v>0</v>
      </c>
      <c r="M20" s="160">
        <f t="shared" si="15"/>
        <v>0</v>
      </c>
      <c r="N20" s="160" t="e">
        <f t="shared" si="16"/>
        <v>#DIV/0!</v>
      </c>
      <c r="O20" s="160"/>
      <c r="P20" s="160" t="e">
        <f t="shared" si="0"/>
        <v>#DIV/0!</v>
      </c>
      <c r="Q20" s="161" t="e">
        <f t="shared" si="1"/>
        <v>#DIV/0!</v>
      </c>
    </row>
    <row r="21" spans="1:31" s="75" customFormat="1" ht="29" x14ac:dyDescent="0.35">
      <c r="B21" s="162" t="s">
        <v>431</v>
      </c>
      <c r="C21" s="163">
        <f>SUM(C14:C20)</f>
        <v>0.89000000000000012</v>
      </c>
      <c r="E21" s="470">
        <f>E14-E18</f>
        <v>1500</v>
      </c>
      <c r="F21" s="164">
        <f>SUM(F14:F20)</f>
        <v>890</v>
      </c>
      <c r="G21" s="78">
        <f t="shared" ref="G21:M21" si="17">SUM(G14:G20)</f>
        <v>0.98888888888888893</v>
      </c>
      <c r="H21" s="78">
        <f t="shared" si="17"/>
        <v>1</v>
      </c>
      <c r="I21" s="165">
        <f t="shared" si="17"/>
        <v>11300</v>
      </c>
      <c r="J21" s="165">
        <f>SUM(J14:J20)</f>
        <v>4588.8888888888896</v>
      </c>
      <c r="K21" s="164">
        <f t="shared" si="17"/>
        <v>15888.888888888892</v>
      </c>
      <c r="L21" s="164">
        <f t="shared" si="17"/>
        <v>15391.111111111109</v>
      </c>
      <c r="M21" s="164">
        <f t="shared" si="17"/>
        <v>-497.77777777777987</v>
      </c>
      <c r="N21" s="200">
        <f>SUMPRODUCT(C14:C19,N14:N19)</f>
        <v>14300.000000000002</v>
      </c>
      <c r="P21" s="75">
        <f t="shared" si="0"/>
        <v>-14300.000000000002</v>
      </c>
    </row>
    <row r="22" spans="1:31" x14ac:dyDescent="0.35">
      <c r="B22" t="s">
        <v>432</v>
      </c>
      <c r="C22" s="166">
        <f>100%-C21</f>
        <v>0.10999999999999988</v>
      </c>
      <c r="E22" s="274">
        <f>E21/E14</f>
        <v>9.202453987730061E-2</v>
      </c>
      <c r="N22" s="130">
        <f>K21-N21</f>
        <v>1588.8888888888905</v>
      </c>
      <c r="P22" s="130">
        <f t="shared" si="0"/>
        <v>-1588.8888888888905</v>
      </c>
    </row>
    <row r="23" spans="1:31" x14ac:dyDescent="0.35">
      <c r="B23" t="s">
        <v>433</v>
      </c>
      <c r="F23" s="148">
        <f>1000-F21</f>
        <v>110</v>
      </c>
    </row>
    <row r="26" spans="1:31" x14ac:dyDescent="0.35">
      <c r="B26" s="117" t="s">
        <v>434</v>
      </c>
      <c r="C26" s="136">
        <f>C11</f>
        <v>15888.888888888889</v>
      </c>
    </row>
    <row r="27" spans="1:31" x14ac:dyDescent="0.35">
      <c r="B27" s="117" t="s">
        <v>686</v>
      </c>
      <c r="C27" s="137">
        <v>1500</v>
      </c>
    </row>
    <row r="28" spans="1:31" x14ac:dyDescent="0.35">
      <c r="B28" s="117" t="s">
        <v>398</v>
      </c>
      <c r="C28" s="138">
        <v>0.06</v>
      </c>
    </row>
    <row r="29" spans="1:31" x14ac:dyDescent="0.35">
      <c r="B29" s="117" t="s">
        <v>399</v>
      </c>
      <c r="C29" s="139">
        <f>SUM(C26:C27)</f>
        <v>17388.888888888891</v>
      </c>
    </row>
    <row r="30" spans="1:31" x14ac:dyDescent="0.35">
      <c r="B30" s="117" t="s">
        <v>400</v>
      </c>
      <c r="C30" s="139">
        <f>C29*C28/(1-C28)</f>
        <v>1109.9290780141846</v>
      </c>
    </row>
    <row r="31" spans="1:31" x14ac:dyDescent="0.35">
      <c r="B31" s="117" t="s">
        <v>401</v>
      </c>
      <c r="C31" s="139">
        <f>+C29/(1-C28)</f>
        <v>18498.817966903076</v>
      </c>
    </row>
    <row r="32" spans="1:31" x14ac:dyDescent="0.35">
      <c r="X32" t="s">
        <v>402</v>
      </c>
    </row>
    <row r="33" spans="1:28" x14ac:dyDescent="0.35">
      <c r="B33" t="s">
        <v>428</v>
      </c>
      <c r="S33" t="s">
        <v>404</v>
      </c>
      <c r="V33" t="s">
        <v>405</v>
      </c>
      <c r="W33" t="s">
        <v>406</v>
      </c>
      <c r="X33" t="s">
        <v>405</v>
      </c>
      <c r="Y33" t="s">
        <v>406</v>
      </c>
    </row>
    <row r="34" spans="1:28" ht="48" x14ac:dyDescent="0.35">
      <c r="A34" s="141" t="s">
        <v>0</v>
      </c>
      <c r="B34" s="141" t="s">
        <v>407</v>
      </c>
      <c r="C34" s="141" t="s">
        <v>408</v>
      </c>
      <c r="E34" s="142" t="s">
        <v>435</v>
      </c>
      <c r="F34" s="143" t="s">
        <v>410</v>
      </c>
      <c r="G34" s="143" t="s">
        <v>411</v>
      </c>
      <c r="H34" s="143" t="s">
        <v>412</v>
      </c>
      <c r="I34" s="143" t="s">
        <v>436</v>
      </c>
      <c r="J34" s="143" t="s">
        <v>437</v>
      </c>
      <c r="K34" s="143" t="s">
        <v>438</v>
      </c>
      <c r="L34" s="143" t="s">
        <v>416</v>
      </c>
      <c r="M34" s="143" t="s">
        <v>417</v>
      </c>
      <c r="N34" s="143" t="s">
        <v>439</v>
      </c>
      <c r="O34" s="142" t="s">
        <v>440</v>
      </c>
      <c r="P34" s="825" t="s">
        <v>419</v>
      </c>
      <c r="Q34" s="825"/>
      <c r="R34" s="143" t="s">
        <v>420</v>
      </c>
      <c r="S34" s="143" t="s">
        <v>421</v>
      </c>
      <c r="T34" s="143" t="s">
        <v>419</v>
      </c>
      <c r="U34" s="143" t="s">
        <v>422</v>
      </c>
      <c r="V34" s="143" t="s">
        <v>423</v>
      </c>
      <c r="W34" s="143" t="s">
        <v>423</v>
      </c>
      <c r="X34" s="143" t="s">
        <v>423</v>
      </c>
      <c r="Y34" s="143" t="s">
        <v>423</v>
      </c>
      <c r="Z34" s="143" t="s">
        <v>424</v>
      </c>
      <c r="AA34" s="143" t="s">
        <v>425</v>
      </c>
    </row>
    <row r="35" spans="1:28" x14ac:dyDescent="0.35">
      <c r="A35" s="144">
        <v>1</v>
      </c>
      <c r="B35" s="145" t="s">
        <v>441</v>
      </c>
      <c r="C35" s="146">
        <v>0.54</v>
      </c>
      <c r="E35" s="147">
        <f>N14</f>
        <v>16827.172971412074</v>
      </c>
      <c r="F35" s="148">
        <f>C35*1000</f>
        <v>540</v>
      </c>
      <c r="G35" s="149">
        <f t="shared" ref="G35:G40" si="18">F35/1000/(1-$C$28)</f>
        <v>0.57446808510638303</v>
      </c>
      <c r="H35" s="550">
        <f t="shared" ref="H35:H40" si="19">E35*G35/SUMPRODUCT($E$35:$E$40,$G$35:$G$40)</f>
        <v>0.6354317066127636</v>
      </c>
      <c r="I35" s="148">
        <f>$C$26*H35</f>
        <v>10096.303782847244</v>
      </c>
      <c r="J35" s="150">
        <f>($C$27+$C$30)*H35</f>
        <v>1658.43168818083</v>
      </c>
      <c r="K35" s="148">
        <f>I35+J35</f>
        <v>11754.735471028074</v>
      </c>
      <c r="L35" s="148">
        <f t="shared" ref="L35:L40" si="20">O35</f>
        <v>18300</v>
      </c>
      <c r="M35" s="148">
        <f>L35-N35</f>
        <v>-2161.9469310488676</v>
      </c>
      <c r="N35" s="148">
        <f t="shared" ref="N35:N40" si="21">K35/(F35/(1-$C$28))*1000</f>
        <v>20461.946931048868</v>
      </c>
      <c r="O35" s="168">
        <v>18300</v>
      </c>
      <c r="P35" s="130">
        <f t="shared" ref="P35:P41" si="22">O35-N35</f>
        <v>-2161.9469310488676</v>
      </c>
      <c r="Q35" s="151">
        <f>P35/E35</f>
        <v>-0.12847950958380414</v>
      </c>
      <c r="R35" s="109">
        <f t="shared" ref="R35:R40" si="23">I35/F35*1000</f>
        <v>18696.858857124524</v>
      </c>
      <c r="S35" s="152">
        <f>'[4]BOM (Long)'!$P$7</f>
        <v>11536.63177925785</v>
      </c>
      <c r="T35" s="130">
        <f t="shared" ref="T35:T40" si="24">R35-S35</f>
        <v>7160.2270778666734</v>
      </c>
      <c r="U35" s="151">
        <f t="shared" ref="U35:U40" si="25">T35/S35</f>
        <v>0.62065143578044313</v>
      </c>
      <c r="V35" s="153">
        <f t="shared" ref="V35:W40" si="26">R35/R$16</f>
        <v>1.7232609547467486</v>
      </c>
      <c r="W35" s="154">
        <f t="shared" si="26"/>
        <v>1.25</v>
      </c>
      <c r="X35" s="153">
        <f t="shared" ref="X35:X40" si="27">S35/C$6</f>
        <v>1.0209408654210488</v>
      </c>
      <c r="Y35" s="154">
        <f t="shared" ref="Y35:Y40" si="28">S35/C$6</f>
        <v>1.0209408654210488</v>
      </c>
      <c r="Z35" s="109">
        <v>9700</v>
      </c>
      <c r="AA35" s="152"/>
    </row>
    <row r="36" spans="1:28" x14ac:dyDescent="0.35">
      <c r="A36" s="144">
        <v>5</v>
      </c>
      <c r="B36" s="145" t="s">
        <v>442</v>
      </c>
      <c r="C36" s="155">
        <v>0.03</v>
      </c>
      <c r="E36" s="147">
        <f t="shared" ref="E36:E39" si="29">N15</f>
        <v>15278.660121282126</v>
      </c>
      <c r="F36" s="148">
        <f t="shared" ref="F36:F41" si="30">C36*1000</f>
        <v>30</v>
      </c>
      <c r="G36" s="149">
        <f t="shared" si="18"/>
        <v>3.1914893617021274E-2</v>
      </c>
      <c r="H36" s="550">
        <f t="shared" si="19"/>
        <v>3.2053133121570883E-2</v>
      </c>
      <c r="I36" s="148">
        <f>$C$26*H36</f>
        <v>509.28867070940402</v>
      </c>
      <c r="J36" s="150">
        <f t="shared" ref="J36:J40" si="31">($C$27+$C$30)*H36</f>
        <v>83.65640417544742</v>
      </c>
      <c r="K36" s="148">
        <f t="shared" ref="K36:K40" si="32">I36+J36</f>
        <v>592.94507488485146</v>
      </c>
      <c r="L36" s="148">
        <f t="shared" si="20"/>
        <v>16800</v>
      </c>
      <c r="M36" s="148">
        <f t="shared" ref="M36:M40" si="33">L36-N36</f>
        <v>-1778.9456797253442</v>
      </c>
      <c r="N36" s="148">
        <f t="shared" si="21"/>
        <v>18578.945679725344</v>
      </c>
      <c r="O36" s="147">
        <f>O35-1500</f>
        <v>16800</v>
      </c>
      <c r="P36" s="130">
        <f t="shared" si="22"/>
        <v>-1778.9456797253442</v>
      </c>
      <c r="Q36" s="151">
        <f t="shared" ref="Q36:Q41" si="34">P36/E36</f>
        <v>-0.11643335643335602</v>
      </c>
      <c r="R36" s="109">
        <f t="shared" si="23"/>
        <v>16976.289023646801</v>
      </c>
      <c r="S36" s="152">
        <f>'[4]BOM (Long)'!$P$9</f>
        <v>10152.23596574691</v>
      </c>
      <c r="T36" s="130">
        <f t="shared" si="24"/>
        <v>6824.0530578998914</v>
      </c>
      <c r="U36" s="151">
        <f t="shared" si="25"/>
        <v>0.67217242397870525</v>
      </c>
      <c r="V36" s="153">
        <f t="shared" si="26"/>
        <v>1.5646786582976608</v>
      </c>
      <c r="W36" s="153">
        <f t="shared" si="26"/>
        <v>1.1000000000000001</v>
      </c>
      <c r="X36" s="153">
        <f t="shared" si="27"/>
        <v>0.89842796157052296</v>
      </c>
      <c r="Y36" s="153">
        <f t="shared" si="28"/>
        <v>0.89842796157052296</v>
      </c>
      <c r="Z36" s="109">
        <f>Z35/$Y$15</f>
        <v>10796.636363636362</v>
      </c>
      <c r="AA36" s="152">
        <f>Z36-$Z$14</f>
        <v>1096.6363636363621</v>
      </c>
      <c r="AB36" s="130">
        <f>Z36-Z35</f>
        <v>1096.6363636363621</v>
      </c>
    </row>
    <row r="37" spans="1:28" x14ac:dyDescent="0.35">
      <c r="A37" s="144">
        <v>7</v>
      </c>
      <c r="B37" s="145" t="s">
        <v>443</v>
      </c>
      <c r="C37" s="155">
        <v>0.02</v>
      </c>
      <c r="E37" s="147">
        <f t="shared" si="29"/>
        <v>13730.147271152182</v>
      </c>
      <c r="F37" s="148">
        <f t="shared" si="30"/>
        <v>20</v>
      </c>
      <c r="G37" s="149">
        <f t="shared" si="18"/>
        <v>2.1276595744680854E-2</v>
      </c>
      <c r="H37" s="550">
        <f t="shared" si="19"/>
        <v>1.9203003176436615E-2</v>
      </c>
      <c r="I37" s="148">
        <f t="shared" ref="I37:I40" si="35">$C$26*H37</f>
        <v>305.11438380338177</v>
      </c>
      <c r="J37" s="150">
        <f t="shared" si="31"/>
        <v>50.118476375380673</v>
      </c>
      <c r="K37" s="148">
        <f t="shared" si="32"/>
        <v>355.23286017876245</v>
      </c>
      <c r="L37" s="148">
        <f t="shared" si="20"/>
        <v>15300</v>
      </c>
      <c r="M37" s="148">
        <f t="shared" si="33"/>
        <v>-1395.9444284018355</v>
      </c>
      <c r="N37" s="148">
        <f t="shared" si="21"/>
        <v>16695.944428401835</v>
      </c>
      <c r="O37" s="147">
        <f>O35-3000</f>
        <v>15300</v>
      </c>
      <c r="P37" s="130">
        <f t="shared" si="22"/>
        <v>-1395.9444284018355</v>
      </c>
      <c r="Q37" s="151">
        <f t="shared" si="34"/>
        <v>-0.1016700258805522</v>
      </c>
      <c r="R37" s="109">
        <f t="shared" si="23"/>
        <v>15255.719190169089</v>
      </c>
      <c r="S37" s="152">
        <f>'[4]BOM (Long)'!$P$10</f>
        <v>9229.3054234062802</v>
      </c>
      <c r="T37" s="130">
        <f t="shared" si="24"/>
        <v>6026.4137667628092</v>
      </c>
      <c r="U37" s="151">
        <f t="shared" si="25"/>
        <v>0.6529650380275992</v>
      </c>
      <c r="V37" s="153">
        <f t="shared" si="26"/>
        <v>1.406096361848574</v>
      </c>
      <c r="W37" s="156">
        <f t="shared" si="26"/>
        <v>1</v>
      </c>
      <c r="X37" s="153">
        <f t="shared" si="27"/>
        <v>0.816752692336839</v>
      </c>
      <c r="Y37" s="156">
        <f t="shared" si="28"/>
        <v>0.816752692336839</v>
      </c>
      <c r="Z37" s="109">
        <f>Z36/$Y$15</f>
        <v>12017.253275112887</v>
      </c>
      <c r="AA37" s="152">
        <f>Z37-$Z$14</f>
        <v>2317.2532751128874</v>
      </c>
      <c r="AB37" s="130">
        <f>Z37-Z36</f>
        <v>1220.6169114765253</v>
      </c>
    </row>
    <row r="38" spans="1:28" x14ac:dyDescent="0.35">
      <c r="A38" s="144">
        <v>8</v>
      </c>
      <c r="B38" s="145" t="s">
        <v>444</v>
      </c>
      <c r="C38" s="155">
        <v>0.02</v>
      </c>
      <c r="E38" s="147">
        <f t="shared" si="29"/>
        <v>13730.147271152182</v>
      </c>
      <c r="F38" s="148">
        <f t="shared" si="30"/>
        <v>20</v>
      </c>
      <c r="G38" s="149">
        <f t="shared" si="18"/>
        <v>2.1276595744680854E-2</v>
      </c>
      <c r="H38" s="550">
        <f t="shared" si="19"/>
        <v>1.9203003176436615E-2</v>
      </c>
      <c r="I38" s="148">
        <f t="shared" si="35"/>
        <v>305.11438380338177</v>
      </c>
      <c r="J38" s="150">
        <f t="shared" si="31"/>
        <v>50.118476375380673</v>
      </c>
      <c r="K38" s="148">
        <f t="shared" si="32"/>
        <v>355.23286017876245</v>
      </c>
      <c r="L38" s="148">
        <f t="shared" si="20"/>
        <v>15300</v>
      </c>
      <c r="M38" s="148">
        <f t="shared" si="33"/>
        <v>-1395.9444284018355</v>
      </c>
      <c r="N38" s="148">
        <f t="shared" si="21"/>
        <v>16695.944428401835</v>
      </c>
      <c r="O38" s="147">
        <f>O37</f>
        <v>15300</v>
      </c>
      <c r="P38" s="130">
        <f t="shared" si="22"/>
        <v>-1395.9444284018355</v>
      </c>
      <c r="Q38" s="151">
        <f t="shared" si="34"/>
        <v>-0.1016700258805522</v>
      </c>
      <c r="R38" s="109">
        <f t="shared" si="23"/>
        <v>15255.719190169089</v>
      </c>
      <c r="S38" s="152">
        <f>'[4]BOM (Long)'!$P$11</f>
        <v>9229.3054234062802</v>
      </c>
      <c r="T38" s="130">
        <f t="shared" si="24"/>
        <v>6026.4137667628092</v>
      </c>
      <c r="U38" s="151">
        <f t="shared" si="25"/>
        <v>0.6529650380275992</v>
      </c>
      <c r="V38" s="153">
        <f t="shared" si="26"/>
        <v>1.406096361848574</v>
      </c>
      <c r="W38" s="156">
        <f t="shared" si="26"/>
        <v>1</v>
      </c>
      <c r="X38" s="153">
        <f t="shared" si="27"/>
        <v>0.816752692336839</v>
      </c>
      <c r="Y38" s="156">
        <f t="shared" si="28"/>
        <v>0.816752692336839</v>
      </c>
      <c r="Z38" s="109">
        <f>Z37/$Y$15</f>
        <v>13375.867391867212</v>
      </c>
      <c r="AA38" s="152">
        <f>Z38-$Z$14</f>
        <v>3675.8673918672121</v>
      </c>
      <c r="AB38" s="130">
        <f>Z38-Z37</f>
        <v>1358.6141167543246</v>
      </c>
    </row>
    <row r="39" spans="1:28" x14ac:dyDescent="0.35">
      <c r="A39" s="144">
        <v>10</v>
      </c>
      <c r="B39" s="145" t="s">
        <v>445</v>
      </c>
      <c r="C39" s="155">
        <v>0.27</v>
      </c>
      <c r="E39" s="147">
        <f t="shared" si="29"/>
        <v>15278.660121282124</v>
      </c>
      <c r="F39" s="148">
        <f t="shared" si="30"/>
        <v>270</v>
      </c>
      <c r="G39" s="149">
        <f t="shared" si="18"/>
        <v>0.28723404255319152</v>
      </c>
      <c r="H39" s="550">
        <f t="shared" si="19"/>
        <v>0.28847819809413799</v>
      </c>
      <c r="I39" s="148">
        <f t="shared" si="35"/>
        <v>4583.5980363846365</v>
      </c>
      <c r="J39" s="150">
        <f t="shared" si="31"/>
        <v>752.90763757902687</v>
      </c>
      <c r="K39" s="148">
        <f t="shared" si="32"/>
        <v>5336.5056739636639</v>
      </c>
      <c r="L39" s="148">
        <f t="shared" si="20"/>
        <v>17800</v>
      </c>
      <c r="M39" s="148">
        <f t="shared" si="33"/>
        <v>-778.94567972534787</v>
      </c>
      <c r="N39" s="148">
        <f t="shared" si="21"/>
        <v>18578.945679725348</v>
      </c>
      <c r="O39" s="168">
        <v>17800</v>
      </c>
      <c r="P39" s="130">
        <f t="shared" si="22"/>
        <v>-778.94567972534787</v>
      </c>
      <c r="Q39" s="151">
        <f t="shared" si="34"/>
        <v>-5.0982590982590816E-2</v>
      </c>
      <c r="R39" s="109">
        <f t="shared" si="23"/>
        <v>16976.289023646805</v>
      </c>
      <c r="S39" s="152">
        <f>'[4]BOM (Long)'!$P$13</f>
        <v>10152.235965746908</v>
      </c>
      <c r="T39" s="130">
        <f t="shared" si="24"/>
        <v>6824.0530578998969</v>
      </c>
      <c r="U39" s="151">
        <f t="shared" si="25"/>
        <v>0.67217242397870591</v>
      </c>
      <c r="V39" s="153">
        <f t="shared" si="26"/>
        <v>1.5646786582976611</v>
      </c>
      <c r="W39" s="153">
        <f t="shared" si="26"/>
        <v>1.0999999999999999</v>
      </c>
      <c r="X39" s="153">
        <f t="shared" si="27"/>
        <v>0.89842796157052285</v>
      </c>
      <c r="Y39" s="153">
        <f t="shared" si="28"/>
        <v>0.89842796157052285</v>
      </c>
      <c r="Z39" s="109">
        <f>Z38/$Y$15</f>
        <v>14888.080028681588</v>
      </c>
      <c r="AA39" s="152">
        <f>Z39-$Z$14</f>
        <v>5188.0800286815884</v>
      </c>
      <c r="AB39" s="130">
        <f>Z39-Z38</f>
        <v>1512.2126368143763</v>
      </c>
    </row>
    <row r="40" spans="1:28" x14ac:dyDescent="0.35">
      <c r="A40" s="144">
        <v>11</v>
      </c>
      <c r="B40" s="145" t="s">
        <v>446</v>
      </c>
      <c r="C40" s="155">
        <v>0.01</v>
      </c>
      <c r="E40" s="147">
        <f>N19</f>
        <v>8052.2668206757171</v>
      </c>
      <c r="F40" s="148">
        <f t="shared" si="30"/>
        <v>10</v>
      </c>
      <c r="G40" s="149">
        <f t="shared" si="18"/>
        <v>1.0638297872340427E-2</v>
      </c>
      <c r="H40" s="550">
        <f t="shared" si="19"/>
        <v>5.6309558186543474E-3</v>
      </c>
      <c r="I40" s="148">
        <f t="shared" si="35"/>
        <v>89.469631340841303</v>
      </c>
      <c r="J40" s="150">
        <f t="shared" si="31"/>
        <v>14.696395328119149</v>
      </c>
      <c r="K40" s="148">
        <f t="shared" si="32"/>
        <v>104.16602666896046</v>
      </c>
      <c r="L40" s="148">
        <f t="shared" si="20"/>
        <v>12550</v>
      </c>
      <c r="M40" s="148">
        <f t="shared" si="33"/>
        <v>2758.3934931177173</v>
      </c>
      <c r="N40" s="148">
        <f t="shared" si="21"/>
        <v>9791.6065068822827</v>
      </c>
      <c r="O40" s="147">
        <f>C6+1250</f>
        <v>12550</v>
      </c>
      <c r="P40" s="130">
        <f t="shared" si="22"/>
        <v>2758.3934931177173</v>
      </c>
      <c r="Q40" s="151">
        <f>P40/E40</f>
        <v>0.34256111409957513</v>
      </c>
      <c r="R40" s="109">
        <f t="shared" si="23"/>
        <v>8946.9631340841315</v>
      </c>
      <c r="S40" s="152">
        <f>'[4]BOM (Long)'!$P$14</f>
        <v>5537.5832540437677</v>
      </c>
      <c r="T40" s="130">
        <f t="shared" si="24"/>
        <v>3409.3798800403638</v>
      </c>
      <c r="U40" s="151">
        <f t="shared" si="25"/>
        <v>0.61568011235780451</v>
      </c>
      <c r="V40" s="153">
        <f t="shared" si="26"/>
        <v>0.82462794153525432</v>
      </c>
      <c r="W40" s="157">
        <f t="shared" si="26"/>
        <v>0.6</v>
      </c>
      <c r="X40" s="153">
        <f t="shared" si="27"/>
        <v>0.49005161540210335</v>
      </c>
      <c r="Y40" s="157">
        <f t="shared" si="28"/>
        <v>0.49005161540210335</v>
      </c>
      <c r="Z40" s="109">
        <f>Z39/$Y$15</f>
        <v>16571.256311586796</v>
      </c>
      <c r="AA40" s="152">
        <f>Z40-$Z$14</f>
        <v>6871.2563115867961</v>
      </c>
      <c r="AB40" s="130">
        <f>Z40-Z39</f>
        <v>1683.1762829052077</v>
      </c>
    </row>
    <row r="41" spans="1:28" x14ac:dyDescent="0.35">
      <c r="A41" s="144"/>
      <c r="B41" s="158"/>
      <c r="C41" s="159"/>
      <c r="E41" s="147"/>
      <c r="F41" s="160">
        <f t="shared" si="30"/>
        <v>0</v>
      </c>
      <c r="G41" s="160">
        <f>F41/1000/(1-$C$8)</f>
        <v>0</v>
      </c>
      <c r="H41" s="160">
        <f>E41*G41/SUMPRODUCT($E$14:$E$20,$G$14:$G$20)</f>
        <v>0</v>
      </c>
      <c r="I41" s="160">
        <f>$C$6*H41</f>
        <v>0</v>
      </c>
      <c r="J41" s="160">
        <f>($C$7+$C$10)*H41</f>
        <v>0</v>
      </c>
      <c r="K41" s="160">
        <f>I41+J41</f>
        <v>0</v>
      </c>
      <c r="L41" s="160">
        <f>E41*G41</f>
        <v>0</v>
      </c>
      <c r="M41" s="160">
        <f t="shared" ref="M41" si="36">L41-K41</f>
        <v>0</v>
      </c>
      <c r="N41" s="160" t="e">
        <f>K41/(F41/(1-$C$8))*1000</f>
        <v>#DIV/0!</v>
      </c>
      <c r="O41" s="160"/>
      <c r="P41" s="160" t="e">
        <f t="shared" si="22"/>
        <v>#DIV/0!</v>
      </c>
      <c r="Q41" s="161" t="e">
        <f t="shared" si="34"/>
        <v>#DIV/0!</v>
      </c>
    </row>
    <row r="42" spans="1:28" ht="29" x14ac:dyDescent="0.35">
      <c r="A42" s="75"/>
      <c r="B42" s="162" t="s">
        <v>431</v>
      </c>
      <c r="C42" s="163">
        <f>SUM(C35:C41)</f>
        <v>0.89000000000000012</v>
      </c>
      <c r="D42" s="75"/>
      <c r="E42" s="75"/>
      <c r="F42" s="164">
        <f>SUM(F35:F41)</f>
        <v>890</v>
      </c>
      <c r="G42" s="78">
        <f t="shared" ref="G42:M42" si="37">SUM(G35:G41)</f>
        <v>0.94680851063829796</v>
      </c>
      <c r="H42" s="78">
        <f t="shared" si="37"/>
        <v>1</v>
      </c>
      <c r="I42" s="165">
        <f>SUM(I35:I41)</f>
        <v>15888.888888888891</v>
      </c>
      <c r="J42" s="165">
        <f>SUM(J35:J41)</f>
        <v>2609.9290780141846</v>
      </c>
      <c r="K42" s="164">
        <f>SUM(K35:K41)</f>
        <v>18498.817966903076</v>
      </c>
      <c r="L42" s="164">
        <f>SUMPRODUCT(C35:C40,L35:L40)</f>
        <v>15929.5</v>
      </c>
      <c r="M42" s="164">
        <f t="shared" si="37"/>
        <v>-4753.3336541855133</v>
      </c>
      <c r="N42" s="75"/>
      <c r="O42" s="75"/>
      <c r="P42" s="75"/>
      <c r="Q42" s="75"/>
      <c r="R42" s="75"/>
      <c r="S42" s="75"/>
      <c r="T42" s="75"/>
      <c r="U42" s="75"/>
      <c r="V42" s="75"/>
      <c r="W42" s="75"/>
      <c r="X42" s="75"/>
      <c r="Y42" s="75"/>
      <c r="Z42" s="75"/>
      <c r="AA42" s="75"/>
      <c r="AB42" s="75"/>
    </row>
    <row r="43" spans="1:28" x14ac:dyDescent="0.35">
      <c r="B43" t="s">
        <v>432</v>
      </c>
      <c r="C43" s="166">
        <f>100%-C42</f>
        <v>0.10999999999999988</v>
      </c>
    </row>
    <row r="44" spans="1:28" x14ac:dyDescent="0.35">
      <c r="B44" t="s">
        <v>433</v>
      </c>
      <c r="F44" s="148">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8392-4A07-4566-9CC4-127AC0A5B6D0}">
  <sheetPr>
    <tabColor rgb="FFFF0000"/>
  </sheetPr>
  <dimension ref="A2:AE44"/>
  <sheetViews>
    <sheetView topLeftCell="C7" zoomScale="85" zoomScaleNormal="85" workbookViewId="0">
      <selection activeCell="N24" sqref="N24"/>
    </sheetView>
  </sheetViews>
  <sheetFormatPr defaultRowHeight="14.5" x14ac:dyDescent="0.35"/>
  <cols>
    <col min="1" max="1" width="5.90625" customWidth="1"/>
    <col min="2" max="2" width="24.08984375" customWidth="1"/>
    <col min="3" max="3" width="19.81640625" customWidth="1"/>
    <col min="4" max="4" width="2.90625"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6.453125" bestFit="1" customWidth="1"/>
    <col min="15" max="15" width="14.453125" bestFit="1" customWidth="1"/>
    <col min="16" max="16" width="7.453125" bestFit="1" customWidth="1"/>
    <col min="17" max="17" width="7.90625" bestFit="1" customWidth="1"/>
    <col min="18" max="18" width="14.6328125" bestFit="1" customWidth="1"/>
    <col min="19"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5">
        <v>2026</v>
      </c>
    </row>
    <row r="3" spans="1:31" x14ac:dyDescent="0.35">
      <c r="A3" s="135">
        <v>4</v>
      </c>
    </row>
    <row r="6" spans="1:31" x14ac:dyDescent="0.35">
      <c r="B6" s="117" t="s">
        <v>396</v>
      </c>
      <c r="C6" s="136">
        <v>11300</v>
      </c>
    </row>
    <row r="7" spans="1:31" x14ac:dyDescent="0.35">
      <c r="B7" s="117" t="s">
        <v>397</v>
      </c>
      <c r="C7" s="137">
        <v>3000</v>
      </c>
    </row>
    <row r="8" spans="1:31" x14ac:dyDescent="0.35">
      <c r="B8" s="117" t="s">
        <v>398</v>
      </c>
      <c r="C8" s="138">
        <v>0.1</v>
      </c>
    </row>
    <row r="9" spans="1:31" x14ac:dyDescent="0.35">
      <c r="B9" s="117" t="s">
        <v>399</v>
      </c>
      <c r="C9" s="139">
        <f>SUM(C6:C7)</f>
        <v>14300</v>
      </c>
    </row>
    <row r="10" spans="1:31" x14ac:dyDescent="0.35">
      <c r="B10" s="117" t="s">
        <v>400</v>
      </c>
      <c r="C10" s="139">
        <f>C9*C8/(1-C8)</f>
        <v>1588.8888888888889</v>
      </c>
    </row>
    <row r="11" spans="1:31" x14ac:dyDescent="0.35">
      <c r="B11" s="117" t="s">
        <v>401</v>
      </c>
      <c r="C11" s="139">
        <f>+C9/(1-C8)</f>
        <v>15888.888888888889</v>
      </c>
      <c r="X11" t="s">
        <v>402</v>
      </c>
    </row>
    <row r="12" spans="1:31" x14ac:dyDescent="0.35">
      <c r="B12" s="140" t="s">
        <v>403</v>
      </c>
      <c r="E12" s="111">
        <v>0</v>
      </c>
      <c r="S12" t="s">
        <v>404</v>
      </c>
      <c r="V12" t="s">
        <v>405</v>
      </c>
      <c r="W12" t="s">
        <v>406</v>
      </c>
      <c r="X12" t="s">
        <v>405</v>
      </c>
      <c r="Y12" t="s">
        <v>406</v>
      </c>
    </row>
    <row r="13" spans="1:31" ht="48" x14ac:dyDescent="0.35">
      <c r="A13" s="141" t="s">
        <v>0</v>
      </c>
      <c r="B13" s="141" t="s">
        <v>407</v>
      </c>
      <c r="C13" s="141" t="s">
        <v>408</v>
      </c>
      <c r="E13" s="142" t="s">
        <v>409</v>
      </c>
      <c r="F13" s="143" t="s">
        <v>410</v>
      </c>
      <c r="G13" s="143" t="s">
        <v>411</v>
      </c>
      <c r="H13" s="143" t="s">
        <v>412</v>
      </c>
      <c r="I13" s="143" t="s">
        <v>413</v>
      </c>
      <c r="J13" s="143" t="s">
        <v>414</v>
      </c>
      <c r="K13" s="143" t="s">
        <v>415</v>
      </c>
      <c r="L13" s="143" t="s">
        <v>416</v>
      </c>
      <c r="M13" s="143" t="s">
        <v>417</v>
      </c>
      <c r="N13" s="143" t="s">
        <v>418</v>
      </c>
      <c r="O13" s="142" t="s">
        <v>409</v>
      </c>
      <c r="P13" s="825" t="s">
        <v>419</v>
      </c>
      <c r="Q13" s="825"/>
      <c r="R13" s="143" t="s">
        <v>420</v>
      </c>
      <c r="S13" s="143" t="s">
        <v>421</v>
      </c>
      <c r="T13" s="143" t="s">
        <v>419</v>
      </c>
      <c r="U13" s="143" t="s">
        <v>422</v>
      </c>
      <c r="V13" s="143" t="s">
        <v>423</v>
      </c>
      <c r="W13" s="143" t="s">
        <v>423</v>
      </c>
      <c r="X13" s="143" t="s">
        <v>423</v>
      </c>
      <c r="Y13" s="143" t="s">
        <v>423</v>
      </c>
      <c r="Z13" s="143" t="s">
        <v>424</v>
      </c>
      <c r="AA13" s="143" t="s">
        <v>425</v>
      </c>
      <c r="AC13" s="143" t="s">
        <v>426</v>
      </c>
      <c r="AD13" s="143" t="s">
        <v>427</v>
      </c>
      <c r="AE13" s="143" t="s">
        <v>428</v>
      </c>
    </row>
    <row r="14" spans="1:31" x14ac:dyDescent="0.35">
      <c r="A14" s="144">
        <v>1</v>
      </c>
      <c r="B14" s="145" t="s">
        <v>429</v>
      </c>
      <c r="C14" s="146">
        <v>0.53</v>
      </c>
      <c r="E14" s="147">
        <f>'Giá mua Chai-Vảy'!E14-$E$12</f>
        <v>16300</v>
      </c>
      <c r="F14" s="148">
        <f>C14*1000</f>
        <v>530</v>
      </c>
      <c r="G14" s="149">
        <f>F14/1000/(1-$C$8)</f>
        <v>0.58888888888888891</v>
      </c>
      <c r="H14" s="149">
        <f>E14*G14/SUMPRODUCT($E$14:$E$20,$G$14:$G$20)</f>
        <v>0.61465670579864828</v>
      </c>
      <c r="I14" s="148">
        <f>$C$6*H14</f>
        <v>6945.620775524726</v>
      </c>
      <c r="J14" s="150">
        <f>($C$7+$C$10)*H14</f>
        <v>2820.5913277204636</v>
      </c>
      <c r="K14" s="148">
        <f>I14+J14</f>
        <v>9766.2121032451905</v>
      </c>
      <c r="L14" s="148">
        <f>E14*G14</f>
        <v>9598.8888888888887</v>
      </c>
      <c r="M14" s="148">
        <f>L14-K14</f>
        <v>-167.32321435630183</v>
      </c>
      <c r="N14" s="148">
        <f>K14/(F14/(1-$C$8))*1000</f>
        <v>16584.133760227684</v>
      </c>
      <c r="O14" s="147">
        <v>16300</v>
      </c>
      <c r="P14" s="130">
        <f>O14-N14</f>
        <v>-284.13376022768352</v>
      </c>
      <c r="Q14" s="186">
        <f t="shared" ref="Q14:Q20" si="0">P14/E14</f>
        <v>-1.7431519032373222E-2</v>
      </c>
      <c r="R14" s="109">
        <f>I14/F14*1000</f>
        <v>13104.944859480614</v>
      </c>
      <c r="S14" s="152">
        <f>'[4]BOM (Long)'!$P$7</f>
        <v>11536.63177925785</v>
      </c>
      <c r="T14" s="130">
        <f t="shared" ref="T14:T19" si="1">R14-S14</f>
        <v>1568.3130802227643</v>
      </c>
      <c r="U14" s="151">
        <f t="shared" ref="U14:U19" si="2">T14/S14</f>
        <v>0.1359420245207526</v>
      </c>
      <c r="V14" s="153">
        <f t="shared" ref="V14:W19" si="3">R14/R$16</f>
        <v>1.225563909774436</v>
      </c>
      <c r="W14" s="154">
        <f t="shared" si="3"/>
        <v>1.25</v>
      </c>
      <c r="X14" s="153">
        <f t="shared" ref="X14:X19" si="4">S14/C$6</f>
        <v>1.0209408654210488</v>
      </c>
      <c r="Y14" s="154">
        <f t="shared" ref="Y14:Y19" si="5">S14/C$6</f>
        <v>1.0209408654210488</v>
      </c>
      <c r="Z14" s="109">
        <v>9700</v>
      </c>
      <c r="AA14" s="152"/>
      <c r="AC14" s="109">
        <v>12500</v>
      </c>
      <c r="AE14" s="130">
        <f>AC14+AD14</f>
        <v>12500</v>
      </c>
    </row>
    <row r="15" spans="1:31" x14ac:dyDescent="0.35">
      <c r="A15" s="144">
        <v>5</v>
      </c>
      <c r="B15" s="145" t="s">
        <v>22</v>
      </c>
      <c r="C15" s="155">
        <v>0.03</v>
      </c>
      <c r="E15" s="147">
        <f>'Giá mua Chai-Vảy'!E15-$E$12</f>
        <v>14800</v>
      </c>
      <c r="F15" s="148">
        <f t="shared" ref="F15:F20" si="6">C15*1000</f>
        <v>30</v>
      </c>
      <c r="G15" s="149">
        <f t="shared" ref="G15:G20" si="7">F15/1000/(1-$C$8)</f>
        <v>3.3333333333333333E-2</v>
      </c>
      <c r="H15" s="149">
        <f t="shared" ref="H15:H20" si="8">E15*G15/SUMPRODUCT($E$14:$E$20,$G$14:$G$20)</f>
        <v>3.1590181430096058E-2</v>
      </c>
      <c r="I15" s="148">
        <f t="shared" ref="I15:I20" si="9">$C$6*H15</f>
        <v>356.96905016008543</v>
      </c>
      <c r="J15" s="150">
        <f t="shared" ref="J15:J20" si="10">($C$7+$C$10)*H15</f>
        <v>144.96383256255191</v>
      </c>
      <c r="K15" s="148">
        <f t="shared" ref="K15:K20" si="11">I15+J15</f>
        <v>501.93288272263737</v>
      </c>
      <c r="L15" s="148">
        <f>E15*G15</f>
        <v>493.33333333333331</v>
      </c>
      <c r="M15" s="148">
        <f t="shared" ref="M15:M20" si="12">L15-K15</f>
        <v>-8.5995493893040589</v>
      </c>
      <c r="N15" s="148">
        <f t="shared" ref="N15:N20" si="13">K15/(F15/(1-$C$8))*1000</f>
        <v>15057.98648167912</v>
      </c>
      <c r="O15" s="147">
        <v>14800</v>
      </c>
      <c r="P15" s="130">
        <f t="shared" ref="P15:P20" si="14">O15-N15</f>
        <v>-257.98648167911961</v>
      </c>
      <c r="Q15" s="186">
        <f t="shared" si="0"/>
        <v>-1.7431519032372948E-2</v>
      </c>
      <c r="R15" s="109">
        <f t="shared" ref="R15:R19" si="15">I15/F15*1000</f>
        <v>11898.968338669514</v>
      </c>
      <c r="S15" s="152">
        <f>'[4]BOM (Long)'!$P$9</f>
        <v>10152.23596574691</v>
      </c>
      <c r="T15" s="130">
        <f t="shared" si="1"/>
        <v>1746.7323729226046</v>
      </c>
      <c r="U15" s="151">
        <f t="shared" si="2"/>
        <v>0.17205395725788725</v>
      </c>
      <c r="V15" s="153">
        <f t="shared" si="3"/>
        <v>1.112781954887218</v>
      </c>
      <c r="W15" s="153">
        <f t="shared" si="3"/>
        <v>1.1000000000000001</v>
      </c>
      <c r="X15" s="153">
        <f t="shared" si="4"/>
        <v>0.89842796157052296</v>
      </c>
      <c r="Y15" s="153">
        <f t="shared" si="5"/>
        <v>0.89842796157052296</v>
      </c>
      <c r="Z15" s="109">
        <f>Z14/$Y$15</f>
        <v>10796.636363636362</v>
      </c>
      <c r="AA15" s="152">
        <f>Z15-$Z$14</f>
        <v>1096.6363636363621</v>
      </c>
      <c r="AB15" s="130">
        <f>Z15-Z14</f>
        <v>1096.6363636363621</v>
      </c>
      <c r="AC15" s="109">
        <v>10000</v>
      </c>
    </row>
    <row r="16" spans="1:31" x14ac:dyDescent="0.35">
      <c r="A16" s="144">
        <v>7</v>
      </c>
      <c r="B16" s="145" t="s">
        <v>27</v>
      </c>
      <c r="C16" s="155">
        <v>0.02</v>
      </c>
      <c r="E16" s="147">
        <f>'Giá mua Chai-Vảy'!E16-$E$12</f>
        <v>13300</v>
      </c>
      <c r="F16" s="148">
        <f t="shared" si="6"/>
        <v>20</v>
      </c>
      <c r="G16" s="149">
        <f t="shared" si="7"/>
        <v>2.2222222222222223E-2</v>
      </c>
      <c r="H16" s="149">
        <f t="shared" si="8"/>
        <v>1.8925649235147637E-2</v>
      </c>
      <c r="I16" s="148">
        <f t="shared" si="9"/>
        <v>213.85983635716829</v>
      </c>
      <c r="J16" s="150">
        <f t="shared" si="10"/>
        <v>86.847701490177485</v>
      </c>
      <c r="K16" s="148">
        <f t="shared" si="11"/>
        <v>300.70753784734575</v>
      </c>
      <c r="L16" s="148">
        <f>E16*G16</f>
        <v>295.55555555555554</v>
      </c>
      <c r="M16" s="148">
        <f t="shared" si="12"/>
        <v>-5.1519822917902047</v>
      </c>
      <c r="N16" s="148">
        <f t="shared" si="13"/>
        <v>13531.839203130559</v>
      </c>
      <c r="O16" s="147">
        <v>13300</v>
      </c>
      <c r="P16" s="130">
        <f t="shared" si="14"/>
        <v>-231.83920313055933</v>
      </c>
      <c r="Q16" s="186">
        <f t="shared" si="0"/>
        <v>-1.7431519032372882E-2</v>
      </c>
      <c r="R16" s="109">
        <f t="shared" si="15"/>
        <v>10692.991817858416</v>
      </c>
      <c r="S16" s="152">
        <f>'[4]BOM (Long)'!$P$10</f>
        <v>9229.3054234062802</v>
      </c>
      <c r="T16" s="130">
        <f t="shared" si="1"/>
        <v>1463.6863944521356</v>
      </c>
      <c r="U16" s="151">
        <f t="shared" si="2"/>
        <v>0.15859117531641179</v>
      </c>
      <c r="V16" s="153">
        <f t="shared" si="3"/>
        <v>1</v>
      </c>
      <c r="W16" s="156">
        <f t="shared" si="3"/>
        <v>1</v>
      </c>
      <c r="X16" s="153">
        <f t="shared" si="4"/>
        <v>0.816752692336839</v>
      </c>
      <c r="Y16" s="156">
        <f t="shared" si="5"/>
        <v>0.816752692336839</v>
      </c>
      <c r="Z16" s="109">
        <f>Z15/$Y$15</f>
        <v>12017.253275112887</v>
      </c>
      <c r="AA16" s="152">
        <f>Z16-$Z$14</f>
        <v>2317.2532751128874</v>
      </c>
      <c r="AB16" s="130">
        <f>Z16-Z15</f>
        <v>1220.6169114765253</v>
      </c>
      <c r="AC16" s="109">
        <v>9000</v>
      </c>
    </row>
    <row r="17" spans="1:31" x14ac:dyDescent="0.35">
      <c r="A17" s="144">
        <v>8</v>
      </c>
      <c r="B17" s="145" t="s">
        <v>29</v>
      </c>
      <c r="C17" s="155">
        <v>0.02</v>
      </c>
      <c r="E17" s="147">
        <f>'Giá mua Chai-Vảy'!E17-$E$12</f>
        <v>13300</v>
      </c>
      <c r="F17" s="148">
        <f t="shared" si="6"/>
        <v>20</v>
      </c>
      <c r="G17" s="149">
        <f t="shared" si="7"/>
        <v>2.2222222222222223E-2</v>
      </c>
      <c r="H17" s="149">
        <f t="shared" si="8"/>
        <v>1.8925649235147637E-2</v>
      </c>
      <c r="I17" s="148">
        <f t="shared" si="9"/>
        <v>213.85983635716829</v>
      </c>
      <c r="J17" s="150">
        <f t="shared" si="10"/>
        <v>86.847701490177485</v>
      </c>
      <c r="K17" s="148">
        <f t="shared" si="11"/>
        <v>300.70753784734575</v>
      </c>
      <c r="L17" s="148">
        <f>E17*G17</f>
        <v>295.55555555555554</v>
      </c>
      <c r="M17" s="148">
        <f t="shared" si="12"/>
        <v>-5.1519822917902047</v>
      </c>
      <c r="N17" s="148">
        <f t="shared" si="13"/>
        <v>13531.839203130559</v>
      </c>
      <c r="O17" s="147">
        <v>13300</v>
      </c>
      <c r="P17" s="130">
        <f t="shared" si="14"/>
        <v>-231.83920313055933</v>
      </c>
      <c r="Q17" s="186">
        <f t="shared" si="0"/>
        <v>-1.7431519032372882E-2</v>
      </c>
      <c r="R17" s="109">
        <f t="shared" si="15"/>
        <v>10692.991817858416</v>
      </c>
      <c r="S17" s="152">
        <f>'[4]BOM (Long)'!$P$11</f>
        <v>9229.3054234062802</v>
      </c>
      <c r="T17" s="130">
        <f t="shared" si="1"/>
        <v>1463.6863944521356</v>
      </c>
      <c r="U17" s="151">
        <f t="shared" si="2"/>
        <v>0.15859117531641179</v>
      </c>
      <c r="V17" s="153">
        <f t="shared" si="3"/>
        <v>1</v>
      </c>
      <c r="W17" s="156">
        <f t="shared" si="3"/>
        <v>1</v>
      </c>
      <c r="X17" s="153">
        <f t="shared" si="4"/>
        <v>0.816752692336839</v>
      </c>
      <c r="Y17" s="156">
        <f t="shared" si="5"/>
        <v>0.816752692336839</v>
      </c>
      <c r="Z17" s="109">
        <f>Z16/$Y$15</f>
        <v>13375.867391867212</v>
      </c>
      <c r="AA17" s="152">
        <f>Z17-$Z$14</f>
        <v>3675.8673918672121</v>
      </c>
      <c r="AB17" s="130">
        <f>Z17-Z16</f>
        <v>1358.6141167543246</v>
      </c>
      <c r="AC17" s="109">
        <v>9000</v>
      </c>
    </row>
    <row r="18" spans="1:31" x14ac:dyDescent="0.35">
      <c r="A18" s="144">
        <v>10</v>
      </c>
      <c r="B18" s="145" t="s">
        <v>19</v>
      </c>
      <c r="C18" s="155">
        <v>0.3</v>
      </c>
      <c r="E18" s="147">
        <f>'Giá mua Chai-Vảy'!E18-$E$12</f>
        <v>14800</v>
      </c>
      <c r="F18" s="148">
        <f t="shared" si="6"/>
        <v>300</v>
      </c>
      <c r="G18" s="149">
        <f t="shared" si="7"/>
        <v>0.33333333333333331</v>
      </c>
      <c r="H18" s="149">
        <f t="shared" si="8"/>
        <v>0.31590181430096054</v>
      </c>
      <c r="I18" s="148">
        <f t="shared" si="9"/>
        <v>3569.6905016008541</v>
      </c>
      <c r="J18" s="150">
        <f t="shared" si="10"/>
        <v>1449.6383256255187</v>
      </c>
      <c r="K18" s="148">
        <f t="shared" si="11"/>
        <v>5019.3288272263726</v>
      </c>
      <c r="L18" s="148">
        <f>E18*G18</f>
        <v>4933.333333333333</v>
      </c>
      <c r="M18" s="148">
        <f t="shared" si="12"/>
        <v>-85.995493893039566</v>
      </c>
      <c r="N18" s="148">
        <f t="shared" si="13"/>
        <v>15057.98648167912</v>
      </c>
      <c r="O18" s="147">
        <v>14800</v>
      </c>
      <c r="P18" s="130">
        <f t="shared" si="14"/>
        <v>-257.98648167911961</v>
      </c>
      <c r="Q18" s="186">
        <f t="shared" si="0"/>
        <v>-1.7431519032372948E-2</v>
      </c>
      <c r="R18" s="109">
        <f t="shared" si="15"/>
        <v>11898.968338669514</v>
      </c>
      <c r="S18" s="152">
        <f>'[4]BOM (Long)'!$P$13</f>
        <v>10152.235965746908</v>
      </c>
      <c r="T18" s="130">
        <f t="shared" si="1"/>
        <v>1746.7323729226064</v>
      </c>
      <c r="U18" s="151">
        <f t="shared" si="2"/>
        <v>0.17205395725788747</v>
      </c>
      <c r="V18" s="153">
        <f t="shared" si="3"/>
        <v>1.112781954887218</v>
      </c>
      <c r="W18" s="153">
        <f t="shared" si="3"/>
        <v>1.0999999999999999</v>
      </c>
      <c r="X18" s="153">
        <f t="shared" si="4"/>
        <v>0.89842796157052285</v>
      </c>
      <c r="Y18" s="153">
        <f t="shared" si="5"/>
        <v>0.89842796157052285</v>
      </c>
      <c r="Z18" s="109">
        <f>Z17/$Y$15</f>
        <v>14888.080028681588</v>
      </c>
      <c r="AA18" s="152">
        <f>Z18-$Z$14</f>
        <v>5188.0800286815884</v>
      </c>
      <c r="AB18" s="130">
        <f>Z18-Z17</f>
        <v>1512.2126368143763</v>
      </c>
      <c r="AC18" s="109">
        <v>10000</v>
      </c>
      <c r="AD18" s="109">
        <f>'[5]CP Công đoạn (3)'!$CJ$6</f>
        <v>2321.0309940637335</v>
      </c>
      <c r="AE18" s="130">
        <f>AC18+AD18</f>
        <v>12321.030994063734</v>
      </c>
    </row>
    <row r="19" spans="1:31" x14ac:dyDescent="0.35">
      <c r="A19" s="144">
        <v>11</v>
      </c>
      <c r="B19" s="145" t="s">
        <v>430</v>
      </c>
      <c r="C19" s="464"/>
      <c r="E19" s="147">
        <f>'Giá mua Chai-Vảy'!E19-$E$12</f>
        <v>7800</v>
      </c>
      <c r="F19" s="148">
        <f t="shared" si="6"/>
        <v>0</v>
      </c>
      <c r="G19" s="149">
        <f t="shared" si="7"/>
        <v>0</v>
      </c>
      <c r="H19" s="149">
        <f t="shared" si="8"/>
        <v>0</v>
      </c>
      <c r="I19" s="148">
        <f t="shared" si="9"/>
        <v>0</v>
      </c>
      <c r="J19" s="150">
        <f t="shared" si="10"/>
        <v>0</v>
      </c>
      <c r="K19" s="148">
        <f>I19+J19</f>
        <v>0</v>
      </c>
      <c r="L19" s="148">
        <f t="shared" ref="L19:L20" si="16">E19*G19</f>
        <v>0</v>
      </c>
      <c r="M19" s="148">
        <f t="shared" si="12"/>
        <v>0</v>
      </c>
      <c r="N19" s="148" t="e">
        <f t="shared" si="13"/>
        <v>#DIV/0!</v>
      </c>
      <c r="O19" s="147">
        <v>7800</v>
      </c>
      <c r="P19" s="130" t="e">
        <f t="shared" si="14"/>
        <v>#DIV/0!</v>
      </c>
      <c r="Q19" s="186" t="e">
        <f t="shared" si="0"/>
        <v>#DIV/0!</v>
      </c>
      <c r="R19" s="109" t="e">
        <f t="shared" si="15"/>
        <v>#DIV/0!</v>
      </c>
      <c r="S19" s="152">
        <f>'[4]BOM (Long)'!$P$14</f>
        <v>5537.5832540437677</v>
      </c>
      <c r="T19" s="130" t="e">
        <f t="shared" si="1"/>
        <v>#DIV/0!</v>
      </c>
      <c r="U19" s="151" t="e">
        <f t="shared" si="2"/>
        <v>#DIV/0!</v>
      </c>
      <c r="V19" s="153" t="e">
        <f t="shared" si="3"/>
        <v>#DIV/0!</v>
      </c>
      <c r="W19" s="157">
        <f t="shared" si="3"/>
        <v>0.6</v>
      </c>
      <c r="X19" s="153">
        <f t="shared" si="4"/>
        <v>0.49005161540210335</v>
      </c>
      <c r="Y19" s="157">
        <f t="shared" si="5"/>
        <v>0.49005161540210335</v>
      </c>
      <c r="Z19" s="109">
        <f>Z18/$Y$15</f>
        <v>16571.256311586796</v>
      </c>
      <c r="AA19" s="152">
        <f>Z19-$Z$14</f>
        <v>6871.2563115867961</v>
      </c>
      <c r="AB19" s="130">
        <f>Z19-Z18</f>
        <v>1683.1762829052077</v>
      </c>
      <c r="AC19" s="109">
        <v>5000</v>
      </c>
    </row>
    <row r="20" spans="1:31" hidden="1" x14ac:dyDescent="0.35">
      <c r="A20" s="144"/>
      <c r="B20" s="158"/>
      <c r="C20" s="159"/>
      <c r="E20" s="147"/>
      <c r="F20" s="160">
        <f t="shared" si="6"/>
        <v>0</v>
      </c>
      <c r="G20" s="160">
        <f t="shared" si="7"/>
        <v>0</v>
      </c>
      <c r="H20" s="160">
        <f t="shared" si="8"/>
        <v>0</v>
      </c>
      <c r="I20" s="160">
        <f t="shared" si="9"/>
        <v>0</v>
      </c>
      <c r="J20" s="160">
        <f t="shared" si="10"/>
        <v>0</v>
      </c>
      <c r="K20" s="160">
        <f t="shared" si="11"/>
        <v>0</v>
      </c>
      <c r="L20" s="160">
        <f t="shared" si="16"/>
        <v>0</v>
      </c>
      <c r="M20" s="160">
        <f t="shared" si="12"/>
        <v>0</v>
      </c>
      <c r="N20" s="160" t="e">
        <f t="shared" si="13"/>
        <v>#DIV/0!</v>
      </c>
      <c r="O20" s="160"/>
      <c r="P20" s="160" t="e">
        <f t="shared" si="14"/>
        <v>#DIV/0!</v>
      </c>
      <c r="Q20" s="161" t="e">
        <f t="shared" si="0"/>
        <v>#DIV/0!</v>
      </c>
    </row>
    <row r="21" spans="1:31" s="75" customFormat="1" ht="29" x14ac:dyDescent="0.35">
      <c r="B21" s="162" t="s">
        <v>431</v>
      </c>
      <c r="C21" s="462">
        <f>SUM(C14:C20)</f>
        <v>0.90000000000000013</v>
      </c>
      <c r="F21" s="164">
        <f>SUM(F14:F20)</f>
        <v>900</v>
      </c>
      <c r="G21" s="78">
        <f t="shared" ref="G21:M21" si="17">SUM(G14:G20)</f>
        <v>1</v>
      </c>
      <c r="H21" s="78">
        <f t="shared" si="17"/>
        <v>1</v>
      </c>
      <c r="I21" s="165">
        <f>SUM(I14:I20)</f>
        <v>11300.000000000002</v>
      </c>
      <c r="J21" s="165">
        <f>SUM(J14:J20)</f>
        <v>4588.8888888888887</v>
      </c>
      <c r="K21" s="164">
        <f>SUM(K14:K20)</f>
        <v>15888.888888888892</v>
      </c>
      <c r="L21" s="164">
        <f>SUM(L14:L20)</f>
        <v>15616.666666666664</v>
      </c>
      <c r="M21" s="164">
        <f t="shared" si="17"/>
        <v>-272.22222222222587</v>
      </c>
      <c r="N21" s="200">
        <f>SUMPRODUCT(C14:C18,N14:N18)</f>
        <v>14300.000000000004</v>
      </c>
      <c r="O21" s="470">
        <f>AVERAGE(O14:O18)</f>
        <v>14500</v>
      </c>
      <c r="R21" s="200">
        <f>SUMPRODUCT(F14:F18,R14:R18)</f>
        <v>11300000</v>
      </c>
    </row>
    <row r="22" spans="1:31" x14ac:dyDescent="0.35">
      <c r="B22" t="s">
        <v>432</v>
      </c>
      <c r="C22" s="461">
        <f>100%-C21</f>
        <v>9.9999999999999867E-2</v>
      </c>
      <c r="I22" s="149">
        <f>C10/J21</f>
        <v>0.34624697336561744</v>
      </c>
      <c r="J22" s="149">
        <f>C7/J21</f>
        <v>0.65375302663438262</v>
      </c>
      <c r="K22" s="745" t="s">
        <v>857</v>
      </c>
      <c r="L22" s="745" t="s">
        <v>856</v>
      </c>
      <c r="N22" s="130">
        <f>K21-N21</f>
        <v>1588.8888888888887</v>
      </c>
      <c r="O22" s="200">
        <f>SUMPRODUCT(C14:C18,O14:O18)</f>
        <v>14055</v>
      </c>
    </row>
    <row r="23" spans="1:31" x14ac:dyDescent="0.35">
      <c r="B23" t="s">
        <v>433</v>
      </c>
      <c r="F23" s="148">
        <f>1000-F21</f>
        <v>100</v>
      </c>
      <c r="I23" s="110">
        <f>I14/$K14</f>
        <v>0.71118881118881117</v>
      </c>
      <c r="J23" s="153">
        <f>J14/$K14</f>
        <v>0.28881118881118878</v>
      </c>
      <c r="K23" s="310">
        <f>J23*I22</f>
        <v>9.9999999999999992E-2</v>
      </c>
      <c r="L23" s="310">
        <f>J23*J22</f>
        <v>0.1888111888111888</v>
      </c>
      <c r="N23" s="110">
        <f>K14/$K14</f>
        <v>1</v>
      </c>
    </row>
    <row r="24" spans="1:31" x14ac:dyDescent="0.35">
      <c r="I24" s="109">
        <f>$N14*I$23</f>
        <v>11794.450373532554</v>
      </c>
      <c r="J24" s="109">
        <f>$N14*J$23</f>
        <v>4789.6833866951274</v>
      </c>
      <c r="K24" s="317">
        <f>$N14*K$23</f>
        <v>1658.4133760227683</v>
      </c>
      <c r="L24" s="317">
        <f>$N14*L$23</f>
        <v>3131.2700106723596</v>
      </c>
      <c r="N24" s="109">
        <f>$N14*N$23</f>
        <v>16584.133760227684</v>
      </c>
    </row>
    <row r="25" spans="1:31" x14ac:dyDescent="0.35">
      <c r="I25" s="109">
        <f t="shared" ref="I25:L25" si="18">$N15*I$23</f>
        <v>10709.071504802563</v>
      </c>
      <c r="J25" s="109">
        <f t="shared" si="18"/>
        <v>4348.9149768765565</v>
      </c>
      <c r="K25" s="317">
        <f t="shared" si="18"/>
        <v>1505.7986481679118</v>
      </c>
      <c r="L25" s="317">
        <f t="shared" si="18"/>
        <v>2843.1163287086447</v>
      </c>
      <c r="N25" s="109">
        <f>$N15*N$23</f>
        <v>15057.98648167912</v>
      </c>
    </row>
    <row r="26" spans="1:31" x14ac:dyDescent="0.35">
      <c r="B26" s="117" t="s">
        <v>434</v>
      </c>
      <c r="C26" s="136">
        <f>C11</f>
        <v>15888.888888888889</v>
      </c>
      <c r="I26" s="109">
        <f t="shared" ref="I26:L26" si="19">$N16*I$23</f>
        <v>9623.692636072572</v>
      </c>
      <c r="J26" s="109">
        <f t="shared" si="19"/>
        <v>3908.1465670579864</v>
      </c>
      <c r="K26" s="317">
        <f t="shared" si="19"/>
        <v>1353.1839203130558</v>
      </c>
      <c r="L26" s="317">
        <f t="shared" si="19"/>
        <v>2554.9626467449307</v>
      </c>
      <c r="N26" s="109">
        <f>$N16*N$23</f>
        <v>13531.839203130559</v>
      </c>
    </row>
    <row r="27" spans="1:31" x14ac:dyDescent="0.35">
      <c r="B27" s="117" t="s">
        <v>397</v>
      </c>
      <c r="C27" s="137">
        <v>1500</v>
      </c>
      <c r="I27" s="109">
        <f t="shared" ref="I27:L27" si="20">$N17*I$23</f>
        <v>9623.692636072572</v>
      </c>
      <c r="J27" s="109">
        <f t="shared" si="20"/>
        <v>3908.1465670579864</v>
      </c>
      <c r="K27" s="317">
        <f t="shared" si="20"/>
        <v>1353.1839203130558</v>
      </c>
      <c r="L27" s="317">
        <f t="shared" si="20"/>
        <v>2554.9626467449307</v>
      </c>
      <c r="N27" s="109">
        <f>$N17*N$23</f>
        <v>13531.839203130559</v>
      </c>
    </row>
    <row r="28" spans="1:31" x14ac:dyDescent="0.35">
      <c r="B28" s="117" t="s">
        <v>398</v>
      </c>
      <c r="C28" s="138">
        <v>0.06</v>
      </c>
      <c r="I28" s="109">
        <f>$N18*I$23</f>
        <v>10709.071504802563</v>
      </c>
      <c r="J28" s="109">
        <f>$N18*J$23</f>
        <v>4348.9149768765565</v>
      </c>
      <c r="K28" s="317">
        <f t="shared" ref="K28:L28" si="21">$N18*K$23</f>
        <v>1505.7986481679118</v>
      </c>
      <c r="L28" s="317">
        <f t="shared" si="21"/>
        <v>2843.1163287086447</v>
      </c>
      <c r="N28" s="109">
        <f>$N18*N$23</f>
        <v>15057.98648167912</v>
      </c>
    </row>
    <row r="29" spans="1:31" x14ac:dyDescent="0.35">
      <c r="B29" s="117" t="s">
        <v>399</v>
      </c>
      <c r="C29" s="139">
        <f>SUM(C26:C27)</f>
        <v>17388.888888888891</v>
      </c>
    </row>
    <row r="30" spans="1:31" x14ac:dyDescent="0.35">
      <c r="B30" s="117" t="s">
        <v>400</v>
      </c>
      <c r="C30" s="139">
        <f>C29*C28/(1-C28)</f>
        <v>1109.9290780141846</v>
      </c>
    </row>
    <row r="31" spans="1:31" x14ac:dyDescent="0.35">
      <c r="B31" s="117" t="s">
        <v>401</v>
      </c>
      <c r="C31" s="139">
        <f>+C29/(1-C28)</f>
        <v>18498.817966903076</v>
      </c>
    </row>
    <row r="32" spans="1:31" x14ac:dyDescent="0.35">
      <c r="X32" t="s">
        <v>402</v>
      </c>
    </row>
    <row r="33" spans="1:28" x14ac:dyDescent="0.35">
      <c r="B33" t="s">
        <v>428</v>
      </c>
      <c r="S33" t="s">
        <v>404</v>
      </c>
      <c r="V33" t="s">
        <v>405</v>
      </c>
      <c r="W33" t="s">
        <v>406</v>
      </c>
      <c r="X33" t="s">
        <v>405</v>
      </c>
      <c r="Y33" t="s">
        <v>406</v>
      </c>
    </row>
    <row r="34" spans="1:28" ht="48" x14ac:dyDescent="0.35">
      <c r="A34" s="141" t="s">
        <v>0</v>
      </c>
      <c r="B34" s="141" t="s">
        <v>407</v>
      </c>
      <c r="C34" s="141" t="s">
        <v>408</v>
      </c>
      <c r="E34" s="142" t="s">
        <v>435</v>
      </c>
      <c r="F34" s="143" t="s">
        <v>410</v>
      </c>
      <c r="G34" s="143" t="s">
        <v>411</v>
      </c>
      <c r="H34" s="143" t="s">
        <v>412</v>
      </c>
      <c r="I34" s="143" t="s">
        <v>436</v>
      </c>
      <c r="J34" s="143" t="s">
        <v>437</v>
      </c>
      <c r="K34" s="143" t="s">
        <v>438</v>
      </c>
      <c r="L34" s="143" t="s">
        <v>416</v>
      </c>
      <c r="M34" s="143" t="s">
        <v>417</v>
      </c>
      <c r="N34" s="143" t="s">
        <v>439</v>
      </c>
      <c r="O34" s="142" t="s">
        <v>440</v>
      </c>
      <c r="P34" s="825" t="s">
        <v>419</v>
      </c>
      <c r="Q34" s="825"/>
      <c r="R34" s="143" t="s">
        <v>420</v>
      </c>
      <c r="S34" s="143" t="s">
        <v>421</v>
      </c>
      <c r="T34" s="143" t="s">
        <v>419</v>
      </c>
      <c r="U34" s="143" t="s">
        <v>422</v>
      </c>
      <c r="V34" s="143" t="s">
        <v>423</v>
      </c>
      <c r="W34" s="143" t="s">
        <v>423</v>
      </c>
      <c r="X34" s="143" t="s">
        <v>423</v>
      </c>
      <c r="Y34" s="143" t="s">
        <v>423</v>
      </c>
      <c r="Z34" s="143" t="s">
        <v>424</v>
      </c>
      <c r="AA34" s="143" t="s">
        <v>425</v>
      </c>
    </row>
    <row r="35" spans="1:28" x14ac:dyDescent="0.35">
      <c r="A35" s="144">
        <v>1</v>
      </c>
      <c r="B35" s="145" t="s">
        <v>441</v>
      </c>
      <c r="C35" s="146">
        <v>0.54</v>
      </c>
      <c r="E35" s="147">
        <f t="shared" ref="E35:E40" si="22">N14</f>
        <v>16584.133760227684</v>
      </c>
      <c r="F35" s="148">
        <f>C35*1000</f>
        <v>540</v>
      </c>
      <c r="G35" s="149">
        <f t="shared" ref="G35:G40" si="23">F35/1000/(1-$C$28)</f>
        <v>0.57446808510638303</v>
      </c>
      <c r="H35" s="149" t="e">
        <f t="shared" ref="H35:H40" si="24">E35*G35/SUMPRODUCT($E$35:$E$40,$G$35:$G$40)</f>
        <v>#DIV/0!</v>
      </c>
      <c r="I35" s="148" t="e">
        <f t="shared" ref="I35:I40" si="25">$C$26*H35</f>
        <v>#DIV/0!</v>
      </c>
      <c r="J35" s="150">
        <f t="shared" ref="J35:J40" si="26">$C$27+$C$30</f>
        <v>2609.9290780141846</v>
      </c>
      <c r="K35" s="148">
        <f>N14+J35</f>
        <v>19194.062838241869</v>
      </c>
      <c r="L35" s="148">
        <f t="shared" ref="L35:L40" si="27">O35</f>
        <v>19300</v>
      </c>
      <c r="M35" s="148">
        <f>L35-K35</f>
        <v>105.93716175813097</v>
      </c>
      <c r="N35" s="148">
        <f>K35</f>
        <v>19194.062838241869</v>
      </c>
      <c r="O35" s="147">
        <f>O14+3000</f>
        <v>19300</v>
      </c>
      <c r="P35" s="130">
        <f t="shared" ref="P35:P41" si="28">O35-N35</f>
        <v>105.93716175813097</v>
      </c>
      <c r="Q35" s="151">
        <f>P35/E35</f>
        <v>6.3878622356623197E-3</v>
      </c>
      <c r="R35" s="109" t="e">
        <f t="shared" ref="R35:R40" si="29">I35/F35*1000</f>
        <v>#DIV/0!</v>
      </c>
      <c r="S35" s="152">
        <f>'[4]BOM (Long)'!$P$7</f>
        <v>11536.63177925785</v>
      </c>
      <c r="T35" s="130" t="e">
        <f t="shared" ref="T35:T40" si="30">R35-S35</f>
        <v>#DIV/0!</v>
      </c>
      <c r="U35" s="151" t="e">
        <f t="shared" ref="U35:U40" si="31">T35/S35</f>
        <v>#DIV/0!</v>
      </c>
      <c r="V35" s="153" t="e">
        <f t="shared" ref="V35:W40" si="32">R35/R$16</f>
        <v>#DIV/0!</v>
      </c>
      <c r="W35" s="154">
        <f t="shared" si="32"/>
        <v>1.25</v>
      </c>
      <c r="X35" s="153">
        <f t="shared" ref="X35:X40" si="33">S35/C$6</f>
        <v>1.0209408654210488</v>
      </c>
      <c r="Y35" s="154">
        <f t="shared" ref="Y35:Y40" si="34">S35/C$6</f>
        <v>1.0209408654210488</v>
      </c>
      <c r="Z35" s="109">
        <v>9700</v>
      </c>
      <c r="AA35" s="152"/>
    </row>
    <row r="36" spans="1:28" x14ac:dyDescent="0.35">
      <c r="A36" s="144">
        <v>5</v>
      </c>
      <c r="B36" s="145" t="s">
        <v>442</v>
      </c>
      <c r="C36" s="155">
        <v>0.03</v>
      </c>
      <c r="E36" s="147">
        <f t="shared" si="22"/>
        <v>15057.98648167912</v>
      </c>
      <c r="F36" s="148">
        <f t="shared" ref="F36:F41" si="35">C36*1000</f>
        <v>30</v>
      </c>
      <c r="G36" s="149">
        <f t="shared" si="23"/>
        <v>3.1914893617021274E-2</v>
      </c>
      <c r="H36" s="149" t="e">
        <f t="shared" si="24"/>
        <v>#DIV/0!</v>
      </c>
      <c r="I36" s="148" t="e">
        <f t="shared" si="25"/>
        <v>#DIV/0!</v>
      </c>
      <c r="J36" s="150">
        <f t="shared" si="26"/>
        <v>2609.9290780141846</v>
      </c>
      <c r="K36" s="148">
        <f t="shared" ref="K36:K40" si="36">N15+J36</f>
        <v>17667.915559693305</v>
      </c>
      <c r="L36" s="148">
        <f t="shared" si="27"/>
        <v>17800</v>
      </c>
      <c r="M36" s="148">
        <f t="shared" ref="M36:M41" si="37">L36-K36</f>
        <v>132.08444030669489</v>
      </c>
      <c r="N36" s="148">
        <f t="shared" ref="N36:N40" si="38">K36</f>
        <v>17667.915559693305</v>
      </c>
      <c r="O36" s="147">
        <f t="shared" ref="O36:O40" si="39">O15+3000</f>
        <v>17800</v>
      </c>
      <c r="P36" s="130">
        <f t="shared" si="28"/>
        <v>132.08444030669489</v>
      </c>
      <c r="Q36" s="151">
        <f t="shared" ref="Q36:Q41" si="40">P36/E36</f>
        <v>8.7717199419325102E-3</v>
      </c>
      <c r="R36" s="109" t="e">
        <f t="shared" si="29"/>
        <v>#DIV/0!</v>
      </c>
      <c r="S36" s="152">
        <f>'[4]BOM (Long)'!$P$9</f>
        <v>10152.23596574691</v>
      </c>
      <c r="T36" s="130" t="e">
        <f t="shared" si="30"/>
        <v>#DIV/0!</v>
      </c>
      <c r="U36" s="151" t="e">
        <f t="shared" si="31"/>
        <v>#DIV/0!</v>
      </c>
      <c r="V36" s="153" t="e">
        <f t="shared" si="32"/>
        <v>#DIV/0!</v>
      </c>
      <c r="W36" s="153">
        <f t="shared" si="32"/>
        <v>1.1000000000000001</v>
      </c>
      <c r="X36" s="153">
        <f t="shared" si="33"/>
        <v>0.89842796157052296</v>
      </c>
      <c r="Y36" s="153">
        <f t="shared" si="34"/>
        <v>0.89842796157052296</v>
      </c>
      <c r="Z36" s="109">
        <f>Z35/$Y$15</f>
        <v>10796.636363636362</v>
      </c>
      <c r="AA36" s="152">
        <f>Z36-$Z$14</f>
        <v>1096.6363636363621</v>
      </c>
      <c r="AB36" s="130">
        <f>Z36-Z35</f>
        <v>1096.6363636363621</v>
      </c>
    </row>
    <row r="37" spans="1:28" x14ac:dyDescent="0.35">
      <c r="A37" s="144">
        <v>7</v>
      </c>
      <c r="B37" s="145" t="s">
        <v>443</v>
      </c>
      <c r="C37" s="155">
        <v>0.02</v>
      </c>
      <c r="E37" s="147">
        <f t="shared" si="22"/>
        <v>13531.839203130559</v>
      </c>
      <c r="F37" s="148">
        <f t="shared" si="35"/>
        <v>20</v>
      </c>
      <c r="G37" s="149">
        <f t="shared" si="23"/>
        <v>2.1276595744680854E-2</v>
      </c>
      <c r="H37" s="149" t="e">
        <f t="shared" si="24"/>
        <v>#DIV/0!</v>
      </c>
      <c r="I37" s="148" t="e">
        <f t="shared" si="25"/>
        <v>#DIV/0!</v>
      </c>
      <c r="J37" s="150">
        <f t="shared" si="26"/>
        <v>2609.9290780141846</v>
      </c>
      <c r="K37" s="148">
        <f t="shared" si="36"/>
        <v>16141.768281144745</v>
      </c>
      <c r="L37" s="148">
        <f t="shared" si="27"/>
        <v>16300</v>
      </c>
      <c r="M37" s="148">
        <f t="shared" si="37"/>
        <v>158.23171885525517</v>
      </c>
      <c r="N37" s="148">
        <f t="shared" si="38"/>
        <v>16141.768281144745</v>
      </c>
      <c r="O37" s="147">
        <f t="shared" si="39"/>
        <v>16300</v>
      </c>
      <c r="P37" s="130">
        <f t="shared" si="28"/>
        <v>158.23171885525517</v>
      </c>
      <c r="Q37" s="151">
        <f t="shared" si="40"/>
        <v>1.1693289912774654E-2</v>
      </c>
      <c r="R37" s="109" t="e">
        <f t="shared" si="29"/>
        <v>#DIV/0!</v>
      </c>
      <c r="S37" s="152">
        <f>'[4]BOM (Long)'!$P$10</f>
        <v>9229.3054234062802</v>
      </c>
      <c r="T37" s="130" t="e">
        <f t="shared" si="30"/>
        <v>#DIV/0!</v>
      </c>
      <c r="U37" s="151" t="e">
        <f t="shared" si="31"/>
        <v>#DIV/0!</v>
      </c>
      <c r="V37" s="153" t="e">
        <f t="shared" si="32"/>
        <v>#DIV/0!</v>
      </c>
      <c r="W37" s="156">
        <f t="shared" si="32"/>
        <v>1</v>
      </c>
      <c r="X37" s="153">
        <f t="shared" si="33"/>
        <v>0.816752692336839</v>
      </c>
      <c r="Y37" s="156">
        <f t="shared" si="34"/>
        <v>0.816752692336839</v>
      </c>
      <c r="Z37" s="109">
        <f>Z36/$Y$15</f>
        <v>12017.253275112887</v>
      </c>
      <c r="AA37" s="152">
        <f>Z37-$Z$14</f>
        <v>2317.2532751128874</v>
      </c>
      <c r="AB37" s="130">
        <f>Z37-Z36</f>
        <v>1220.6169114765253</v>
      </c>
    </row>
    <row r="38" spans="1:28" x14ac:dyDescent="0.35">
      <c r="A38" s="144">
        <v>8</v>
      </c>
      <c r="B38" s="145" t="s">
        <v>444</v>
      </c>
      <c r="C38" s="155">
        <v>0.02</v>
      </c>
      <c r="E38" s="147">
        <f t="shared" si="22"/>
        <v>13531.839203130559</v>
      </c>
      <c r="F38" s="148">
        <f t="shared" si="35"/>
        <v>20</v>
      </c>
      <c r="G38" s="149">
        <f t="shared" si="23"/>
        <v>2.1276595744680854E-2</v>
      </c>
      <c r="H38" s="149" t="e">
        <f t="shared" si="24"/>
        <v>#DIV/0!</v>
      </c>
      <c r="I38" s="148" t="e">
        <f t="shared" si="25"/>
        <v>#DIV/0!</v>
      </c>
      <c r="J38" s="150">
        <f t="shared" si="26"/>
        <v>2609.9290780141846</v>
      </c>
      <c r="K38" s="148">
        <f t="shared" si="36"/>
        <v>16141.768281144745</v>
      </c>
      <c r="L38" s="148">
        <f t="shared" si="27"/>
        <v>16300</v>
      </c>
      <c r="M38" s="148">
        <f t="shared" si="37"/>
        <v>158.23171885525517</v>
      </c>
      <c r="N38" s="148">
        <f t="shared" si="38"/>
        <v>16141.768281144745</v>
      </c>
      <c r="O38" s="147">
        <f t="shared" si="39"/>
        <v>16300</v>
      </c>
      <c r="P38" s="130">
        <f t="shared" si="28"/>
        <v>158.23171885525517</v>
      </c>
      <c r="Q38" s="151">
        <f t="shared" si="40"/>
        <v>1.1693289912774654E-2</v>
      </c>
      <c r="R38" s="109" t="e">
        <f t="shared" si="29"/>
        <v>#DIV/0!</v>
      </c>
      <c r="S38" s="152">
        <f>'[4]BOM (Long)'!$P$11</f>
        <v>9229.3054234062802</v>
      </c>
      <c r="T38" s="130" t="e">
        <f t="shared" si="30"/>
        <v>#DIV/0!</v>
      </c>
      <c r="U38" s="151" t="e">
        <f t="shared" si="31"/>
        <v>#DIV/0!</v>
      </c>
      <c r="V38" s="153" t="e">
        <f t="shared" si="32"/>
        <v>#DIV/0!</v>
      </c>
      <c r="W38" s="156">
        <f t="shared" si="32"/>
        <v>1</v>
      </c>
      <c r="X38" s="153">
        <f t="shared" si="33"/>
        <v>0.816752692336839</v>
      </c>
      <c r="Y38" s="156">
        <f t="shared" si="34"/>
        <v>0.816752692336839</v>
      </c>
      <c r="Z38" s="109">
        <f>Z37/$Y$15</f>
        <v>13375.867391867212</v>
      </c>
      <c r="AA38" s="152">
        <f>Z38-$Z$14</f>
        <v>3675.8673918672121</v>
      </c>
      <c r="AB38" s="130">
        <f>Z38-Z37</f>
        <v>1358.6141167543246</v>
      </c>
    </row>
    <row r="39" spans="1:28" x14ac:dyDescent="0.35">
      <c r="A39" s="144">
        <v>10</v>
      </c>
      <c r="B39" s="145" t="s">
        <v>445</v>
      </c>
      <c r="C39" s="155">
        <v>0.27</v>
      </c>
      <c r="E39" s="147">
        <f t="shared" si="22"/>
        <v>15057.98648167912</v>
      </c>
      <c r="F39" s="148">
        <f t="shared" si="35"/>
        <v>270</v>
      </c>
      <c r="G39" s="149">
        <f t="shared" si="23"/>
        <v>0.28723404255319152</v>
      </c>
      <c r="H39" s="149" t="e">
        <f t="shared" si="24"/>
        <v>#DIV/0!</v>
      </c>
      <c r="I39" s="148" t="e">
        <f t="shared" si="25"/>
        <v>#DIV/0!</v>
      </c>
      <c r="J39" s="150">
        <f t="shared" si="26"/>
        <v>2609.9290780141846</v>
      </c>
      <c r="K39" s="148">
        <f t="shared" si="36"/>
        <v>17667.915559693305</v>
      </c>
      <c r="L39" s="148">
        <f t="shared" si="27"/>
        <v>17800</v>
      </c>
      <c r="M39" s="148">
        <f t="shared" si="37"/>
        <v>132.08444030669489</v>
      </c>
      <c r="N39" s="148">
        <f t="shared" si="38"/>
        <v>17667.915559693305</v>
      </c>
      <c r="O39" s="147">
        <f t="shared" si="39"/>
        <v>17800</v>
      </c>
      <c r="P39" s="130">
        <f t="shared" si="28"/>
        <v>132.08444030669489</v>
      </c>
      <c r="Q39" s="151">
        <f t="shared" si="40"/>
        <v>8.7717199419325102E-3</v>
      </c>
      <c r="R39" s="109" t="e">
        <f t="shared" si="29"/>
        <v>#DIV/0!</v>
      </c>
      <c r="S39" s="152">
        <f>'[4]BOM (Long)'!$P$13</f>
        <v>10152.235965746908</v>
      </c>
      <c r="T39" s="130" t="e">
        <f t="shared" si="30"/>
        <v>#DIV/0!</v>
      </c>
      <c r="U39" s="151" t="e">
        <f t="shared" si="31"/>
        <v>#DIV/0!</v>
      </c>
      <c r="V39" s="153" t="e">
        <f t="shared" si="32"/>
        <v>#DIV/0!</v>
      </c>
      <c r="W39" s="153">
        <f t="shared" si="32"/>
        <v>1.0999999999999999</v>
      </c>
      <c r="X39" s="153">
        <f t="shared" si="33"/>
        <v>0.89842796157052285</v>
      </c>
      <c r="Y39" s="153">
        <f t="shared" si="34"/>
        <v>0.89842796157052285</v>
      </c>
      <c r="Z39" s="109">
        <f>Z38/$Y$15</f>
        <v>14888.080028681588</v>
      </c>
      <c r="AA39" s="152">
        <f>Z39-$Z$14</f>
        <v>5188.0800286815884</v>
      </c>
      <c r="AB39" s="130">
        <f>Z39-Z38</f>
        <v>1512.2126368143763</v>
      </c>
    </row>
    <row r="40" spans="1:28" x14ac:dyDescent="0.35">
      <c r="A40" s="144">
        <v>11</v>
      </c>
      <c r="B40" s="145" t="s">
        <v>446</v>
      </c>
      <c r="C40" s="155">
        <v>0.01</v>
      </c>
      <c r="E40" s="147" t="e">
        <f t="shared" si="22"/>
        <v>#DIV/0!</v>
      </c>
      <c r="F40" s="148">
        <f t="shared" si="35"/>
        <v>10</v>
      </c>
      <c r="G40" s="149">
        <f t="shared" si="23"/>
        <v>1.0638297872340427E-2</v>
      </c>
      <c r="H40" s="149" t="e">
        <f t="shared" si="24"/>
        <v>#DIV/0!</v>
      </c>
      <c r="I40" s="148" t="e">
        <f t="shared" si="25"/>
        <v>#DIV/0!</v>
      </c>
      <c r="J40" s="150">
        <f t="shared" si="26"/>
        <v>2609.9290780141846</v>
      </c>
      <c r="K40" s="148" t="e">
        <f t="shared" si="36"/>
        <v>#DIV/0!</v>
      </c>
      <c r="L40" s="148">
        <f t="shared" si="27"/>
        <v>10800</v>
      </c>
      <c r="M40" s="148" t="e">
        <f t="shared" si="37"/>
        <v>#DIV/0!</v>
      </c>
      <c r="N40" s="148" t="e">
        <f t="shared" si="38"/>
        <v>#DIV/0!</v>
      </c>
      <c r="O40" s="147">
        <f t="shared" si="39"/>
        <v>10800</v>
      </c>
      <c r="P40" s="130" t="e">
        <f t="shared" si="28"/>
        <v>#DIV/0!</v>
      </c>
      <c r="Q40" s="151" t="e">
        <f>P40/E40</f>
        <v>#DIV/0!</v>
      </c>
      <c r="R40" s="109" t="e">
        <f t="shared" si="29"/>
        <v>#DIV/0!</v>
      </c>
      <c r="S40" s="152">
        <f>'[4]BOM (Long)'!$P$14</f>
        <v>5537.5832540437677</v>
      </c>
      <c r="T40" s="130" t="e">
        <f t="shared" si="30"/>
        <v>#DIV/0!</v>
      </c>
      <c r="U40" s="151" t="e">
        <f t="shared" si="31"/>
        <v>#DIV/0!</v>
      </c>
      <c r="V40" s="153" t="e">
        <f t="shared" si="32"/>
        <v>#DIV/0!</v>
      </c>
      <c r="W40" s="157">
        <f t="shared" si="32"/>
        <v>0.6</v>
      </c>
      <c r="X40" s="153">
        <f t="shared" si="33"/>
        <v>0.49005161540210335</v>
      </c>
      <c r="Y40" s="157">
        <f t="shared" si="34"/>
        <v>0.49005161540210335</v>
      </c>
      <c r="Z40" s="109">
        <f>Z39/$Y$15</f>
        <v>16571.256311586796</v>
      </c>
      <c r="AA40" s="152">
        <f>Z40-$Z$14</f>
        <v>6871.2563115867961</v>
      </c>
      <c r="AB40" s="130">
        <f>Z40-Z39</f>
        <v>1683.1762829052077</v>
      </c>
    </row>
    <row r="41" spans="1:28" x14ac:dyDescent="0.35">
      <c r="A41" s="144"/>
      <c r="B41" s="158"/>
      <c r="C41" s="159"/>
      <c r="E41" s="147"/>
      <c r="F41" s="160">
        <f t="shared" si="35"/>
        <v>0</v>
      </c>
      <c r="G41" s="160">
        <f>F41/1000/(1-$C$8)</f>
        <v>0</v>
      </c>
      <c r="H41" s="160">
        <f>E41*G41/SUMPRODUCT($E$14:$E$20,$G$14:$G$20)</f>
        <v>0</v>
      </c>
      <c r="I41" s="160">
        <f>$C$6*H41</f>
        <v>0</v>
      </c>
      <c r="J41" s="160">
        <f>($C$7+$C$10)*H41</f>
        <v>0</v>
      </c>
      <c r="K41" s="160">
        <f>I41+J41</f>
        <v>0</v>
      </c>
      <c r="L41" s="160">
        <f>E41*G41</f>
        <v>0</v>
      </c>
      <c r="M41" s="160">
        <f t="shared" si="37"/>
        <v>0</v>
      </c>
      <c r="N41" s="160" t="e">
        <f>K41/(F41/(1-$C$8))*1000</f>
        <v>#DIV/0!</v>
      </c>
      <c r="O41" s="160"/>
      <c r="P41" s="160" t="e">
        <f t="shared" si="28"/>
        <v>#DIV/0!</v>
      </c>
      <c r="Q41" s="161" t="e">
        <f t="shared" si="40"/>
        <v>#DIV/0!</v>
      </c>
    </row>
    <row r="42" spans="1:28" ht="29" x14ac:dyDescent="0.35">
      <c r="A42" s="75"/>
      <c r="B42" s="162" t="s">
        <v>431</v>
      </c>
      <c r="C42" s="163">
        <f>SUM(C35:C41)</f>
        <v>0.89000000000000012</v>
      </c>
      <c r="D42" s="75"/>
      <c r="E42" s="75"/>
      <c r="F42" s="164">
        <f>SUM(F35:F41)</f>
        <v>890</v>
      </c>
      <c r="G42" s="78">
        <f t="shared" ref="G42:M42" si="41">SUM(G35:G41)</f>
        <v>0.94680851063829796</v>
      </c>
      <c r="H42" s="78" t="e">
        <f t="shared" si="41"/>
        <v>#DIV/0!</v>
      </c>
      <c r="I42" s="165" t="e">
        <f t="shared" si="41"/>
        <v>#DIV/0!</v>
      </c>
      <c r="J42" s="165">
        <f t="shared" si="41"/>
        <v>15659.574468085109</v>
      </c>
      <c r="K42" s="164" t="e">
        <f>SUM(K35:K41)</f>
        <v>#DIV/0!</v>
      </c>
      <c r="L42" s="164">
        <f>SUM(L35:L41)</f>
        <v>98300</v>
      </c>
      <c r="M42" s="164" t="e">
        <f t="shared" si="41"/>
        <v>#DIV/0!</v>
      </c>
      <c r="N42" s="75"/>
      <c r="O42" s="75"/>
      <c r="P42" s="75"/>
      <c r="Q42" s="75"/>
      <c r="R42" s="75"/>
      <c r="S42" s="75"/>
      <c r="T42" s="75"/>
      <c r="U42" s="75"/>
      <c r="V42" s="75"/>
      <c r="W42" s="75"/>
      <c r="X42" s="75"/>
      <c r="Y42" s="75"/>
      <c r="Z42" s="75"/>
      <c r="AA42" s="75"/>
      <c r="AB42" s="75"/>
    </row>
    <row r="43" spans="1:28" x14ac:dyDescent="0.35">
      <c r="B43" t="s">
        <v>432</v>
      </c>
      <c r="C43" s="166">
        <f>100%-C42</f>
        <v>0.10999999999999988</v>
      </c>
    </row>
    <row r="44" spans="1:28" x14ac:dyDescent="0.35">
      <c r="B44" t="s">
        <v>433</v>
      </c>
      <c r="F44" s="148">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505"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A0C1-D07B-4B42-A70C-DC523F9B3E81}">
  <sheetPr>
    <tabColor rgb="FF00B0F0"/>
  </sheetPr>
  <dimension ref="B3:AX23"/>
  <sheetViews>
    <sheetView zoomScale="85" zoomScaleNormal="85" workbookViewId="0">
      <pane xSplit="4" ySplit="4" topLeftCell="N5" activePane="bottomRight" state="frozen"/>
      <selection pane="topRight" activeCell="E1" sqref="E1"/>
      <selection pane="bottomLeft" activeCell="A5" sqref="A5"/>
      <selection pane="bottomRight" activeCell="R11" sqref="R11"/>
    </sheetView>
  </sheetViews>
  <sheetFormatPr defaultRowHeight="14.5" x14ac:dyDescent="0.35"/>
  <cols>
    <col min="1" max="1" width="3.453125" customWidth="1"/>
    <col min="2" max="2" width="8.1796875" customWidth="1"/>
    <col min="3" max="3" width="7" bestFit="1" customWidth="1"/>
    <col min="4" max="4" width="8.7265625" customWidth="1"/>
    <col min="5" max="5" width="9.1796875" bestFit="1" customWidth="1"/>
    <col min="6" max="6" width="9.08984375" bestFit="1" customWidth="1"/>
    <col min="7" max="8" width="8.08984375" bestFit="1" customWidth="1"/>
    <col min="9" max="9" width="8.7265625" bestFit="1" customWidth="1"/>
    <col min="10" max="10" width="7.6328125" customWidth="1"/>
    <col min="20" max="20" width="7.453125" customWidth="1"/>
    <col min="30" max="30" width="12.08984375" customWidth="1"/>
    <col min="31" max="31" width="8.36328125" bestFit="1" customWidth="1"/>
    <col min="32" max="33" width="6.36328125" bestFit="1" customWidth="1"/>
    <col min="34" max="34" width="8" bestFit="1" customWidth="1"/>
    <col min="35" max="35" width="7.26953125" bestFit="1" customWidth="1"/>
    <col min="36" max="36" width="8.08984375" bestFit="1" customWidth="1"/>
    <col min="37" max="37" width="7.26953125" bestFit="1" customWidth="1"/>
    <col min="38" max="38" width="8.453125" customWidth="1"/>
    <col min="39" max="39" width="7.26953125" bestFit="1" customWidth="1"/>
    <col min="40" max="40" width="8.08984375" bestFit="1" customWidth="1"/>
    <col min="41" max="41" width="7.26953125" bestFit="1" customWidth="1"/>
    <col min="42" max="42" width="8.08984375" bestFit="1" customWidth="1"/>
    <col min="43" max="43" width="7.26953125" bestFit="1" customWidth="1"/>
    <col min="44" max="44" width="8.08984375" bestFit="1" customWidth="1"/>
    <col min="45" max="45" width="7.26953125" bestFit="1" customWidth="1"/>
    <col min="46" max="46" width="8.08984375" bestFit="1" customWidth="1"/>
    <col min="47" max="47" width="7.26953125" bestFit="1" customWidth="1"/>
    <col min="48" max="48" width="8.08984375" bestFit="1" customWidth="1"/>
    <col min="49" max="49" width="7.26953125" bestFit="1" customWidth="1"/>
    <col min="50" max="50" width="8.08984375" bestFit="1" customWidth="1"/>
  </cols>
  <sheetData>
    <row r="3" spans="2:50" s="2" customFormat="1" ht="28.5" customHeight="1" x14ac:dyDescent="0.35">
      <c r="B3" s="667" t="s">
        <v>807</v>
      </c>
      <c r="C3" s="2" t="s">
        <v>650</v>
      </c>
      <c r="D3" s="829" t="s">
        <v>658</v>
      </c>
      <c r="E3" s="829"/>
      <c r="F3" s="829"/>
      <c r="G3" s="829"/>
      <c r="H3" s="829"/>
      <c r="I3" s="829"/>
      <c r="J3" s="829" t="s">
        <v>815</v>
      </c>
      <c r="K3" s="829"/>
      <c r="L3" s="829"/>
      <c r="M3" s="829"/>
      <c r="N3" s="829"/>
      <c r="O3" s="829"/>
      <c r="P3" s="829"/>
      <c r="Q3" s="829"/>
      <c r="R3" s="829"/>
      <c r="S3" s="829"/>
      <c r="T3" s="829" t="s">
        <v>816</v>
      </c>
      <c r="U3" s="829"/>
      <c r="V3" s="829"/>
      <c r="W3" s="829"/>
      <c r="X3" s="829"/>
      <c r="Y3" s="829"/>
      <c r="Z3" s="829"/>
      <c r="AA3" s="829"/>
      <c r="AB3" s="829"/>
      <c r="AC3" s="829"/>
      <c r="AD3" s="829" t="s">
        <v>841</v>
      </c>
      <c r="AE3" s="829"/>
      <c r="AF3" s="829"/>
      <c r="AG3" s="829"/>
      <c r="AH3" s="829"/>
      <c r="AI3" s="829"/>
      <c r="AJ3" s="829"/>
      <c r="AK3" s="829"/>
      <c r="AL3" s="829"/>
      <c r="AM3" s="829"/>
      <c r="AN3" s="829"/>
      <c r="AO3" s="829"/>
      <c r="AP3" s="829"/>
      <c r="AQ3" s="829"/>
      <c r="AR3" s="829"/>
      <c r="AS3" s="203"/>
    </row>
    <row r="4" spans="2:50" s="667" customFormat="1" ht="26.5" customHeight="1" x14ac:dyDescent="0.35">
      <c r="B4" s="670">
        <v>11300</v>
      </c>
      <c r="C4" s="670">
        <v>3000</v>
      </c>
      <c r="D4" s="670" t="s">
        <v>808</v>
      </c>
      <c r="E4" s="667" t="s">
        <v>806</v>
      </c>
      <c r="F4" s="667" t="s">
        <v>726</v>
      </c>
      <c r="G4" s="667" t="s">
        <v>389</v>
      </c>
      <c r="H4" s="667" t="s">
        <v>728</v>
      </c>
      <c r="I4" s="667" t="s">
        <v>390</v>
      </c>
      <c r="J4" s="834" t="s">
        <v>806</v>
      </c>
      <c r="K4" s="834"/>
      <c r="L4" s="830" t="s">
        <v>726</v>
      </c>
      <c r="M4" s="830"/>
      <c r="N4" s="833" t="s">
        <v>389</v>
      </c>
      <c r="O4" s="833"/>
      <c r="P4" s="832" t="s">
        <v>728</v>
      </c>
      <c r="Q4" s="832"/>
      <c r="R4" s="831" t="s">
        <v>390</v>
      </c>
      <c r="S4" s="831"/>
      <c r="T4" s="834" t="s">
        <v>806</v>
      </c>
      <c r="U4" s="834"/>
      <c r="V4" s="830" t="s">
        <v>726</v>
      </c>
      <c r="W4" s="830"/>
      <c r="X4" s="833" t="s">
        <v>389</v>
      </c>
      <c r="Y4" s="833"/>
      <c r="Z4" s="832" t="s">
        <v>728</v>
      </c>
      <c r="AA4" s="832"/>
      <c r="AB4" s="831" t="s">
        <v>390</v>
      </c>
      <c r="AC4" s="831"/>
      <c r="AD4" s="828" t="s">
        <v>813</v>
      </c>
      <c r="AE4" s="828"/>
      <c r="AF4" s="828"/>
      <c r="AG4" s="828"/>
      <c r="AH4" s="828"/>
      <c r="AI4" s="828" t="s">
        <v>556</v>
      </c>
      <c r="AJ4" s="828"/>
      <c r="AK4" s="828" t="s">
        <v>560</v>
      </c>
      <c r="AL4" s="828"/>
      <c r="AM4" s="828" t="s">
        <v>564</v>
      </c>
      <c r="AN4" s="828"/>
      <c r="AO4" s="828" t="s">
        <v>567</v>
      </c>
      <c r="AP4" s="828"/>
      <c r="AQ4" s="827" t="s">
        <v>545</v>
      </c>
      <c r="AR4" s="827"/>
      <c r="AS4" s="827" t="s">
        <v>546</v>
      </c>
      <c r="AT4" s="827"/>
      <c r="AU4" s="826" t="s">
        <v>683</v>
      </c>
      <c r="AV4" s="826"/>
      <c r="AW4" s="827" t="s">
        <v>371</v>
      </c>
      <c r="AX4" s="827"/>
    </row>
    <row r="5" spans="2:50" s="203" customFormat="1" ht="26.5" customHeight="1" x14ac:dyDescent="0.35">
      <c r="B5" s="711"/>
      <c r="C5" s="711"/>
      <c r="D5" s="712"/>
      <c r="J5" s="677" t="s">
        <v>455</v>
      </c>
      <c r="K5" s="203" t="s">
        <v>372</v>
      </c>
      <c r="L5" s="677" t="s">
        <v>455</v>
      </c>
      <c r="M5" s="203" t="s">
        <v>372</v>
      </c>
      <c r="N5" s="677" t="s">
        <v>455</v>
      </c>
      <c r="O5" s="203" t="s">
        <v>372</v>
      </c>
      <c r="P5" s="677" t="s">
        <v>455</v>
      </c>
      <c r="Q5" s="203" t="s">
        <v>372</v>
      </c>
      <c r="R5" s="677" t="s">
        <v>455</v>
      </c>
      <c r="S5" s="203" t="s">
        <v>372</v>
      </c>
      <c r="T5" s="677" t="s">
        <v>455</v>
      </c>
      <c r="U5" s="203" t="s">
        <v>372</v>
      </c>
      <c r="V5" s="677" t="s">
        <v>455</v>
      </c>
      <c r="W5" s="203" t="s">
        <v>372</v>
      </c>
      <c r="X5" s="677" t="s">
        <v>455</v>
      </c>
      <c r="Y5" s="203" t="s">
        <v>372</v>
      </c>
      <c r="Z5" s="677" t="s">
        <v>455</v>
      </c>
      <c r="AA5" s="203" t="s">
        <v>372</v>
      </c>
      <c r="AB5" s="677" t="s">
        <v>455</v>
      </c>
      <c r="AC5" s="203" t="s">
        <v>372</v>
      </c>
      <c r="AD5" s="203" t="s">
        <v>814</v>
      </c>
      <c r="AE5" s="203" t="s">
        <v>810</v>
      </c>
      <c r="AF5" s="203" t="s">
        <v>811</v>
      </c>
      <c r="AG5" s="203" t="s">
        <v>812</v>
      </c>
      <c r="AH5" s="203" t="s">
        <v>499</v>
      </c>
      <c r="AI5" s="677" t="s">
        <v>455</v>
      </c>
      <c r="AJ5" s="203" t="s">
        <v>372</v>
      </c>
      <c r="AK5" s="677" t="s">
        <v>455</v>
      </c>
      <c r="AL5" s="203" t="s">
        <v>372</v>
      </c>
      <c r="AM5" s="677" t="s">
        <v>455</v>
      </c>
      <c r="AN5" s="203" t="s">
        <v>372</v>
      </c>
      <c r="AO5" s="677" t="s">
        <v>455</v>
      </c>
      <c r="AP5" s="203" t="s">
        <v>372</v>
      </c>
      <c r="AQ5" s="677" t="s">
        <v>455</v>
      </c>
      <c r="AR5" s="203" t="s">
        <v>372</v>
      </c>
      <c r="AS5" s="677" t="s">
        <v>455</v>
      </c>
      <c r="AT5" s="203" t="s">
        <v>372</v>
      </c>
      <c r="AU5" s="677" t="s">
        <v>455</v>
      </c>
      <c r="AV5" s="203" t="s">
        <v>372</v>
      </c>
      <c r="AW5" s="677" t="s">
        <v>455</v>
      </c>
      <c r="AX5" s="203" t="s">
        <v>372</v>
      </c>
    </row>
    <row r="6" spans="2:50" ht="14.5" customHeight="1" x14ac:dyDescent="0.35">
      <c r="B6" s="130"/>
      <c r="C6" s="130"/>
      <c r="D6" s="69">
        <v>7.0000000000000007E-2</v>
      </c>
      <c r="E6" s="109">
        <f t="shared" ref="E6:I8" si="0">E$9/$D$9*$D6</f>
        <v>11608.89363215939</v>
      </c>
      <c r="F6" s="109">
        <f t="shared" si="0"/>
        <v>10540.590537175382</v>
      </c>
      <c r="G6" s="109">
        <f t="shared" si="0"/>
        <v>9472.2874421913912</v>
      </c>
      <c r="H6" s="109">
        <f t="shared" si="0"/>
        <v>9472.2874421913912</v>
      </c>
      <c r="I6" s="109">
        <f t="shared" si="0"/>
        <v>10540.590537175383</v>
      </c>
      <c r="J6" s="151">
        <f>J7+1%</f>
        <v>0.90140263745232785</v>
      </c>
      <c r="K6" s="109">
        <f t="shared" ref="K6:K8" si="1">$E$9/J6</f>
        <v>18398.142041274848</v>
      </c>
      <c r="L6" s="151">
        <f>L7+1%</f>
        <v>0.93930000000000002</v>
      </c>
      <c r="M6" s="109">
        <f t="shared" ref="M6:M8" si="2">$F$9/L6</f>
        <v>16031.072587755898</v>
      </c>
      <c r="N6" s="151">
        <f>N7+1%</f>
        <v>0.90300000000000002</v>
      </c>
      <c r="O6" s="109">
        <f t="shared" ref="O6:O7" si="3">G6/N6</f>
        <v>10489.797831884154</v>
      </c>
      <c r="P6" s="151">
        <f>P7+1%</f>
        <v>0.92880000000000007</v>
      </c>
      <c r="Q6" s="109">
        <f t="shared" ref="Q6:Q8" si="4">$H$9/P6</f>
        <v>14569.163655394657</v>
      </c>
      <c r="R6" s="151">
        <f>R7+1%</f>
        <v>0.87436654203297837</v>
      </c>
      <c r="S6" s="109">
        <f t="shared" ref="S6:S8" si="5">$I$9/R6</f>
        <v>17221.595015138606</v>
      </c>
      <c r="T6" s="151">
        <f>T7+1%</f>
        <v>0.95743291411661846</v>
      </c>
      <c r="U6" s="109">
        <f t="shared" ref="U6:U8" si="6">$K$9/T6</f>
        <v>19877.67421738584</v>
      </c>
      <c r="V6" s="151">
        <f>V7+1%</f>
        <v>0.97030000000000005</v>
      </c>
      <c r="W6" s="109">
        <f t="shared" ref="W6:W8" si="7">$M$9/V6</f>
        <v>17066.862140873862</v>
      </c>
      <c r="X6" s="151">
        <f>X7+1%</f>
        <v>0.91600000000000004</v>
      </c>
      <c r="Y6" s="109">
        <f t="shared" ref="Y6:Y8" si="8">$O$9/X6</f>
        <v>16921.821559860542</v>
      </c>
      <c r="Z6" s="151">
        <f>Z7+1%</f>
        <v>0.94300000000000006</v>
      </c>
      <c r="AA6" s="109">
        <f t="shared" ref="AA6:AA8" si="9">$Q$9/Z6</f>
        <v>15965.483379430565</v>
      </c>
      <c r="AB6" s="151">
        <f>AB7+1%</f>
        <v>0.95119999999999993</v>
      </c>
      <c r="AC6" s="109">
        <f t="shared" ref="AC6:AC8" si="10">$S$9/AB6</f>
        <v>18748.392856789422</v>
      </c>
      <c r="AD6" s="109"/>
      <c r="AE6" s="109"/>
      <c r="AF6" s="109"/>
      <c r="AG6" s="109"/>
      <c r="AH6" s="109"/>
      <c r="AJ6" s="109">
        <f>'H_Tỷ lệ HH&amp;PS (-PS)'!AF5</f>
        <v>0</v>
      </c>
      <c r="AK6" s="109"/>
      <c r="AL6" s="109">
        <f>'H_Tỷ lệ HH&amp;PS (-PS)'!AF41</f>
        <v>0</v>
      </c>
      <c r="AM6" s="109"/>
      <c r="AN6" s="109">
        <f>'H_Tỷ lệ HH&amp;PS (-PS)'!AF69</f>
        <v>0</v>
      </c>
      <c r="AO6" s="109"/>
      <c r="AP6" s="109">
        <f>'H_Tỷ lệ HH&amp;PS (-PS)'!AF94</f>
        <v>0</v>
      </c>
      <c r="AQ6" s="109"/>
      <c r="AR6" s="109">
        <f>'H_Tỷ lệ HH&amp;PS (-PS)'!AF123</f>
        <v>0</v>
      </c>
      <c r="AS6" s="109"/>
    </row>
    <row r="7" spans="2:50" x14ac:dyDescent="0.35">
      <c r="B7" s="130"/>
      <c r="C7" s="130"/>
      <c r="D7" s="69">
        <f>D6+1%</f>
        <v>0.08</v>
      </c>
      <c r="E7" s="109">
        <f t="shared" si="0"/>
        <v>13267.307008182161</v>
      </c>
      <c r="F7" s="109">
        <f t="shared" si="0"/>
        <v>12046.389185343292</v>
      </c>
      <c r="G7" s="109">
        <f t="shared" si="0"/>
        <v>10825.471362504448</v>
      </c>
      <c r="H7" s="109">
        <f t="shared" si="0"/>
        <v>10825.471362504448</v>
      </c>
      <c r="I7" s="109">
        <f t="shared" si="0"/>
        <v>12046.389185343294</v>
      </c>
      <c r="J7" s="151">
        <f>J8+1%</f>
        <v>0.89140263745232784</v>
      </c>
      <c r="K7" s="109">
        <f t="shared" si="1"/>
        <v>18604.53745977908</v>
      </c>
      <c r="L7" s="151">
        <f>L8+1%</f>
        <v>0.92930000000000001</v>
      </c>
      <c r="M7" s="109">
        <f t="shared" si="2"/>
        <v>16203.579556310251</v>
      </c>
      <c r="N7" s="151">
        <f>N8+1%</f>
        <v>0.89300000000000002</v>
      </c>
      <c r="O7" s="109">
        <f t="shared" si="3"/>
        <v>12122.588311875081</v>
      </c>
      <c r="P7" s="151">
        <f>P8+1%</f>
        <v>0.91880000000000006</v>
      </c>
      <c r="Q7" s="109">
        <f t="shared" si="4"/>
        <v>14727.730956824726</v>
      </c>
      <c r="R7" s="151">
        <f>R8+1%</f>
        <v>0.86436654203297836</v>
      </c>
      <c r="S7" s="109">
        <f t="shared" si="5"/>
        <v>17420.834506461739</v>
      </c>
      <c r="T7" s="151">
        <f>T8+1%</f>
        <v>0.94743291411661845</v>
      </c>
      <c r="U7" s="109">
        <f t="shared" si="6"/>
        <v>20087.479829173346</v>
      </c>
      <c r="V7" s="151">
        <f>V8+1%</f>
        <v>0.96030000000000004</v>
      </c>
      <c r="W7" s="109">
        <f t="shared" si="7"/>
        <v>17244.586416005321</v>
      </c>
      <c r="X7" s="151">
        <f>X8+1%</f>
        <v>0.90600000000000003</v>
      </c>
      <c r="Y7" s="109">
        <f t="shared" si="8"/>
        <v>17108.596632265184</v>
      </c>
      <c r="Z7" s="151">
        <f>Z8+1%</f>
        <v>0.93300000000000005</v>
      </c>
      <c r="AA7" s="109">
        <f t="shared" si="9"/>
        <v>16136.603244161868</v>
      </c>
      <c r="AB7" s="151">
        <f>AB8+1%</f>
        <v>0.94119999999999993</v>
      </c>
      <c r="AC7" s="109">
        <f t="shared" si="10"/>
        <v>18947.589550975455</v>
      </c>
      <c r="AD7" s="109"/>
      <c r="AE7" s="109"/>
      <c r="AF7" s="109"/>
      <c r="AG7" s="109"/>
      <c r="AH7" s="109"/>
      <c r="AJ7" s="109">
        <f>'H_Tỷ lệ HH&amp;PS (-PS)'!AF5</f>
        <v>0</v>
      </c>
      <c r="AK7" s="109"/>
      <c r="AL7" s="109">
        <f>'H_Tỷ lệ HH&amp;PS (-PS)'!AF41</f>
        <v>0</v>
      </c>
      <c r="AM7" s="109"/>
      <c r="AN7" s="109">
        <f>'H_Tỷ lệ HH&amp;PS (-PS)'!AF69</f>
        <v>0</v>
      </c>
      <c r="AO7" s="109"/>
      <c r="AP7" s="109">
        <f>'H_Tỷ lệ HH&amp;PS (-PS)'!AF94</f>
        <v>0</v>
      </c>
      <c r="AQ7" s="109"/>
      <c r="AR7" s="109">
        <f>'H_Tỷ lệ HH&amp;PS (-PS)'!AF123</f>
        <v>0</v>
      </c>
      <c r="AS7" s="109"/>
    </row>
    <row r="8" spans="2:50" x14ac:dyDescent="0.35">
      <c r="B8" s="130"/>
      <c r="C8" s="130"/>
      <c r="D8" s="69">
        <f t="shared" ref="D8:D12" si="11">D7+1%</f>
        <v>0.09</v>
      </c>
      <c r="E8" s="109">
        <f t="shared" si="0"/>
        <v>14925.720384204929</v>
      </c>
      <c r="F8" s="109">
        <f t="shared" si="0"/>
        <v>13552.187833511203</v>
      </c>
      <c r="G8" s="109">
        <f t="shared" si="0"/>
        <v>12178.655282817503</v>
      </c>
      <c r="H8" s="109">
        <f t="shared" si="0"/>
        <v>12178.655282817503</v>
      </c>
      <c r="I8" s="109">
        <f t="shared" si="0"/>
        <v>13552.187833511205</v>
      </c>
      <c r="J8" s="151">
        <f>J9+1%</f>
        <v>0.88140263745232783</v>
      </c>
      <c r="K8" s="109">
        <f t="shared" si="1"/>
        <v>18815.616218444415</v>
      </c>
      <c r="L8" s="151">
        <f>L9+1%</f>
        <v>0.91930000000000001</v>
      </c>
      <c r="M8" s="109">
        <f t="shared" si="2"/>
        <v>16379.839531903748</v>
      </c>
      <c r="N8" s="151">
        <f>N9+1%</f>
        <v>0.88300000000000001</v>
      </c>
      <c r="O8" s="109">
        <f>G8/N8</f>
        <v>13792.361588694794</v>
      </c>
      <c r="P8" s="151">
        <f>P9+1%</f>
        <v>0.90880000000000005</v>
      </c>
      <c r="Q8" s="109">
        <f t="shared" si="4"/>
        <v>14889.787855557393</v>
      </c>
      <c r="R8" s="151">
        <f>R9+1%</f>
        <v>0.85436654203297835</v>
      </c>
      <c r="S8" s="109">
        <f t="shared" si="5"/>
        <v>17624.738026197057</v>
      </c>
      <c r="T8" s="151">
        <f>T9+1%</f>
        <v>0.93743291411661844</v>
      </c>
      <c r="U8" s="109">
        <f t="shared" si="6"/>
        <v>20301.76161431957</v>
      </c>
      <c r="V8" s="151">
        <f>V9+1%</f>
        <v>0.95030000000000003</v>
      </c>
      <c r="W8" s="109">
        <f t="shared" si="7"/>
        <v>17426.051073650331</v>
      </c>
      <c r="X8" s="151">
        <f>X9+1%</f>
        <v>0.89600000000000002</v>
      </c>
      <c r="Y8" s="109">
        <f t="shared" si="8"/>
        <v>17299.540791107429</v>
      </c>
      <c r="Z8" s="151">
        <f>Z9+1%</f>
        <v>0.92300000000000004</v>
      </c>
      <c r="AA8" s="109">
        <f t="shared" si="9"/>
        <v>16311.431014954522</v>
      </c>
      <c r="AB8" s="151">
        <f>AB9+1%</f>
        <v>0.93119999999999992</v>
      </c>
      <c r="AC8" s="109">
        <f t="shared" si="10"/>
        <v>19151.064524675796</v>
      </c>
      <c r="AD8" s="109"/>
      <c r="AE8" s="109"/>
      <c r="AF8" s="109"/>
      <c r="AG8" s="109"/>
      <c r="AH8" s="109"/>
      <c r="AJ8" s="109">
        <f>'H_Tỷ lệ HH&amp;PS (-PS)'!AF5</f>
        <v>0</v>
      </c>
      <c r="AK8" s="109"/>
      <c r="AL8" s="109">
        <f>'H_Tỷ lệ HH&amp;PS (-PS)'!AF41</f>
        <v>0</v>
      </c>
      <c r="AM8" s="109"/>
      <c r="AN8" s="109">
        <f>'H_Tỷ lệ HH&amp;PS (-PS)'!AF69</f>
        <v>0</v>
      </c>
      <c r="AO8" s="109"/>
      <c r="AP8" s="109">
        <f>'H_Tỷ lệ HH&amp;PS (-PS)'!AF94</f>
        <v>0</v>
      </c>
      <c r="AQ8" s="109"/>
      <c r="AR8" s="109">
        <f>'H_Tỷ lệ HH&amp;PS (-PS)'!AF123</f>
        <v>0</v>
      </c>
      <c r="AS8" s="109"/>
    </row>
    <row r="9" spans="2:50" s="181" customFormat="1" x14ac:dyDescent="0.35">
      <c r="B9" s="183"/>
      <c r="C9" s="183"/>
      <c r="D9" s="668">
        <v>0.1</v>
      </c>
      <c r="E9" s="147">
        <v>16584.133760227702</v>
      </c>
      <c r="F9" s="147">
        <v>15057.986481679116</v>
      </c>
      <c r="G9" s="147">
        <v>13531.839203130559</v>
      </c>
      <c r="H9" s="147">
        <v>13531.839203130559</v>
      </c>
      <c r="I9" s="147">
        <v>15057.98648167912</v>
      </c>
      <c r="J9" s="669">
        <f>'H_Tỷ lệ HH&amp;PS (-PS)'!Z6</f>
        <v>0.87140263745232782</v>
      </c>
      <c r="K9" s="147">
        <f>$E$9/J9</f>
        <v>19031.539551812497</v>
      </c>
      <c r="L9" s="669">
        <f>'H_Tỷ lệ HH&amp;PS (-PS)'!Z42</f>
        <v>0.9093</v>
      </c>
      <c r="M9" s="147">
        <f>$F$9/L9</f>
        <v>16559.97633528991</v>
      </c>
      <c r="N9" s="669">
        <f>'H_Tỷ lệ HH&amp;PS (-PS)'!Z71</f>
        <v>0.873</v>
      </c>
      <c r="O9" s="147">
        <f>G9/N9</f>
        <v>15500.388548832256</v>
      </c>
      <c r="P9" s="669">
        <f>'H_Tỷ lệ HH&amp;PS (-PS)'!Z95</f>
        <v>0.89880000000000004</v>
      </c>
      <c r="Q9" s="147">
        <f>$H$9/P9</f>
        <v>15055.450826803024</v>
      </c>
      <c r="R9" s="669">
        <f>'H_Tỷ lệ HH&amp;PS (-PS)'!Z124</f>
        <v>0.84436654203297834</v>
      </c>
      <c r="S9" s="147">
        <f>$I$9/R9</f>
        <v>17833.471285378098</v>
      </c>
      <c r="T9" s="669">
        <f>'H_Tỷ lệ HH&amp;PS (-PS)'!AH6</f>
        <v>0.92743291411661843</v>
      </c>
      <c r="U9" s="182">
        <f>$K$9/T9</f>
        <v>20520.664365184919</v>
      </c>
      <c r="V9" s="669">
        <f>'H_Tỷ lệ HH&amp;PS (-PS)'!AH42</f>
        <v>0.94030000000000002</v>
      </c>
      <c r="W9" s="147">
        <f>$M$9/V9</f>
        <v>17611.375449633</v>
      </c>
      <c r="X9" s="669">
        <f>'H_Tỷ lệ HH&amp;PS (-PS)'!AH71</f>
        <v>0.88600000000000001</v>
      </c>
      <c r="Y9" s="147">
        <f>$O$9/X9</f>
        <v>17494.795201842277</v>
      </c>
      <c r="Z9" s="669">
        <f>'H_Tỷ lệ HH&amp;PS (-PS)'!AH95</f>
        <v>0.91300000000000003</v>
      </c>
      <c r="AA9" s="147">
        <f>$Q$9/Z9</f>
        <v>16490.088528809447</v>
      </c>
      <c r="AB9" s="669">
        <f>'H_Tỷ lệ HH&amp;PS (-PS)'!AH124</f>
        <v>0.92119999999999991</v>
      </c>
      <c r="AC9" s="182">
        <f>$S$9/AB9</f>
        <v>19358.957105273665</v>
      </c>
      <c r="AD9" s="157">
        <v>1</v>
      </c>
      <c r="AE9" s="147"/>
      <c r="AF9" s="147"/>
      <c r="AG9" s="147"/>
      <c r="AH9" s="147"/>
      <c r="AI9" s="669">
        <f>'H_Tỷ lệ HH&amp;PS (-PS)'!BA6</f>
        <v>0.96300000000000008</v>
      </c>
      <c r="AJ9" s="147">
        <f>'H_Tỷ lệ HH&amp;PS (-PS)'!AZ7</f>
        <v>21887.285298430081</v>
      </c>
      <c r="AK9" s="669">
        <f>'H_Tỷ lệ HH&amp;PS (-PS)'!BA46</f>
        <v>0.95235331388965472</v>
      </c>
      <c r="AL9" s="147">
        <f>'H_Tỷ lệ HH&amp;PS (-PS)'!AZ46</f>
        <v>20954.97682336708</v>
      </c>
      <c r="AM9" s="669">
        <f>'H_Tỷ lệ HH&amp;PS (-PS)'!BA104</f>
        <v>0.95300000000000007</v>
      </c>
      <c r="AN9" s="147">
        <f>'H_Tỷ lệ HH&amp;PS (-PS)'!AZ104</f>
        <v>21532.70132758121</v>
      </c>
      <c r="AO9" s="669">
        <f>'H_Tỷ lệ HH&amp;PS (-PS)'!BA210</f>
        <v>0.95058803508799916</v>
      </c>
      <c r="AP9" s="147">
        <f>'H_Tỷ lệ HH&amp;PS (-PS)'!AZ210</f>
        <v>20456.108552955662</v>
      </c>
      <c r="AQ9" s="669">
        <f>'H_Tỷ lệ HH&amp;PS (-PS)'!BA274</f>
        <v>0.91399999999999992</v>
      </c>
      <c r="AR9" s="147">
        <f>'H_Tỷ lệ HH&amp;PS (-PS)'!AZ274</f>
        <v>21274.980344530566</v>
      </c>
      <c r="AS9" s="669">
        <f>'H_Tỷ lệ HH&amp;PS (-PS)'!BA305</f>
        <v>0.95058803508799916</v>
      </c>
      <c r="AT9" s="147">
        <f>'H_Tỷ lệ HH&amp;PS (-PS)'!AZ305</f>
        <v>21220.709121742857</v>
      </c>
      <c r="AU9" s="669">
        <f>'H_Tỷ lệ HH&amp;PS (-PS)'!BA305</f>
        <v>0.95058803508799916</v>
      </c>
      <c r="AV9" s="147">
        <f>'H_Tỷ lệ HH&amp;PS (-PS)'!AZ305</f>
        <v>21220.709121742857</v>
      </c>
      <c r="AW9" s="669">
        <f>'H_Tỷ lệ HH&amp;PS (-PS)'!BA337</f>
        <v>0.89300000000000002</v>
      </c>
      <c r="AX9" s="147">
        <f>'H_Tỷ lệ HH&amp;PS (-PS)'!AZ337</f>
        <v>21775.287833035763</v>
      </c>
    </row>
    <row r="10" spans="2:50" x14ac:dyDescent="0.35">
      <c r="B10" s="130"/>
      <c r="C10" s="130"/>
      <c r="D10" s="69">
        <f t="shared" si="11"/>
        <v>0.11</v>
      </c>
      <c r="E10" s="109">
        <f>E$9/$D$9*$D10</f>
        <v>18242.547136250469</v>
      </c>
      <c r="F10" s="109">
        <f>F$9/$D$9*$D10</f>
        <v>16563.785129847027</v>
      </c>
      <c r="G10" s="109">
        <f t="shared" ref="G10:I12" si="12">G$9/$D$9*$D10</f>
        <v>14885.023123443614</v>
      </c>
      <c r="H10" s="109">
        <f t="shared" si="12"/>
        <v>14885.023123443614</v>
      </c>
      <c r="I10" s="109">
        <f t="shared" si="12"/>
        <v>16563.78512984703</v>
      </c>
      <c r="J10" s="151">
        <f>J9-1%</f>
        <v>0.86140263745232781</v>
      </c>
      <c r="K10" s="109">
        <f t="shared" ref="K10:K12" si="13">$E$9/J10</f>
        <v>19252.476181494752</v>
      </c>
      <c r="L10" s="151">
        <f>L9-1%</f>
        <v>0.89929999999999999</v>
      </c>
      <c r="M10" s="109">
        <f t="shared" ref="M10:M12" si="14">$F$9/L10</f>
        <v>16744.119294650412</v>
      </c>
      <c r="N10" s="151">
        <f>N9-1%</f>
        <v>0.86299999999999999</v>
      </c>
      <c r="O10" s="109">
        <f t="shared" ref="O10:O12" si="15">G10/N10</f>
        <v>17247.998984291557</v>
      </c>
      <c r="P10" s="151">
        <f>P9-1%</f>
        <v>0.88880000000000003</v>
      </c>
      <c r="Q10" s="109">
        <f t="shared" ref="Q10:Q12" si="16">$H$9/P10</f>
        <v>15224.841587680647</v>
      </c>
      <c r="R10" s="151">
        <f>R9-1%</f>
        <v>0.83436654203297833</v>
      </c>
      <c r="S10" s="109">
        <f t="shared" ref="S10:S12" si="17">$I$9/R10</f>
        <v>18047.207939318298</v>
      </c>
      <c r="T10" s="151">
        <f>T9-1%</f>
        <v>0.91743291411661843</v>
      </c>
      <c r="U10" s="109">
        <f t="shared" ref="U10:U12" si="18">$K$9/T10</f>
        <v>20744.339187064881</v>
      </c>
      <c r="V10" s="151">
        <f>V9-1%</f>
        <v>0.93030000000000002</v>
      </c>
      <c r="W10" s="109">
        <f t="shared" ref="W10:W12" si="19">$M$9/V10</f>
        <v>17800.684010845867</v>
      </c>
      <c r="X10" s="151">
        <f>X9-1%</f>
        <v>0.876</v>
      </c>
      <c r="Y10" s="109">
        <f t="shared" ref="Y10:Y12" si="20">$O$9/X10</f>
        <v>17694.507475835908</v>
      </c>
      <c r="Z10" s="151">
        <f>Z9-1%</f>
        <v>0.90300000000000002</v>
      </c>
      <c r="AA10" s="109">
        <f t="shared" ref="AA10:AA12" si="21">$Q$9/Z10</f>
        <v>16672.70301971542</v>
      </c>
      <c r="AB10" s="151">
        <f>AB9-1%</f>
        <v>0.9111999999999999</v>
      </c>
      <c r="AC10" s="109">
        <f t="shared" ref="AC10:AC12" si="22">$S$9/AB10</f>
        <v>19571.412736367536</v>
      </c>
      <c r="AD10" s="109"/>
      <c r="AE10" s="109"/>
      <c r="AF10" s="109"/>
      <c r="AG10" s="109"/>
      <c r="AH10" s="109"/>
      <c r="AJ10" s="109">
        <f>'H_Tỷ lệ HH&amp;PS (-PS)'!AF5</f>
        <v>0</v>
      </c>
      <c r="AK10" s="109"/>
      <c r="AL10" s="109">
        <f>'H_Tỷ lệ HH&amp;PS (-PS)'!AF41</f>
        <v>0</v>
      </c>
      <c r="AM10" s="109"/>
      <c r="AN10" s="109">
        <f>'H_Tỷ lệ HH&amp;PS (-PS)'!AF69</f>
        <v>0</v>
      </c>
      <c r="AO10" s="109"/>
      <c r="AP10" s="109">
        <f>'H_Tỷ lệ HH&amp;PS (-PS)'!AF94</f>
        <v>0</v>
      </c>
      <c r="AQ10" s="109"/>
      <c r="AR10" s="109">
        <f>'H_Tỷ lệ HH&amp;PS (-PS)'!AF123</f>
        <v>0</v>
      </c>
      <c r="AS10" s="109"/>
    </row>
    <row r="11" spans="2:50" x14ac:dyDescent="0.35">
      <c r="B11" s="130"/>
      <c r="C11" s="130"/>
      <c r="D11" s="69">
        <f t="shared" si="11"/>
        <v>0.12</v>
      </c>
      <c r="E11" s="109">
        <f t="shared" ref="E11:F12" si="23">E$9/$D$9*$D11</f>
        <v>19900.960512273239</v>
      </c>
      <c r="F11" s="109">
        <f t="shared" si="23"/>
        <v>18069.583778014938</v>
      </c>
      <c r="G11" s="109">
        <f t="shared" si="12"/>
        <v>16238.207043756669</v>
      </c>
      <c r="H11" s="109">
        <f t="shared" si="12"/>
        <v>16238.207043756669</v>
      </c>
      <c r="I11" s="109">
        <f t="shared" si="12"/>
        <v>18069.583778014941</v>
      </c>
      <c r="J11" s="151">
        <f t="shared" ref="J11:J12" si="24">J10-1%</f>
        <v>0.8514026374523278</v>
      </c>
      <c r="K11" s="109">
        <f t="shared" si="13"/>
        <v>19478.602755862721</v>
      </c>
      <c r="L11" s="151">
        <f t="shared" ref="L11:L12" si="25">L10-1%</f>
        <v>0.88929999999999998</v>
      </c>
      <c r="M11" s="109">
        <f t="shared" si="14"/>
        <v>16932.403555244706</v>
      </c>
      <c r="N11" s="151">
        <f t="shared" ref="N11:N12" si="26">N10-1%</f>
        <v>0.85299999999999998</v>
      </c>
      <c r="O11" s="109">
        <f t="shared" si="15"/>
        <v>19036.585045435721</v>
      </c>
      <c r="P11" s="151">
        <f t="shared" ref="P11:P12" si="27">P10-1%</f>
        <v>0.87880000000000003</v>
      </c>
      <c r="Q11" s="109">
        <f t="shared" si="16"/>
        <v>15398.087395460354</v>
      </c>
      <c r="R11" s="151">
        <f t="shared" ref="R11:R12" si="28">R10-1%</f>
        <v>0.82436654203297832</v>
      </c>
      <c r="S11" s="109">
        <f t="shared" si="17"/>
        <v>18266.130069452447</v>
      </c>
      <c r="T11" s="151">
        <f t="shared" ref="T11:T12" si="29">T10-1%</f>
        <v>0.90743291411661842</v>
      </c>
      <c r="U11" s="109">
        <f t="shared" si="18"/>
        <v>20972.943846035836</v>
      </c>
      <c r="V11" s="151">
        <f t="shared" ref="V11:V12" si="30">V10-1%</f>
        <v>0.92030000000000001</v>
      </c>
      <c r="W11" s="109">
        <f t="shared" si="19"/>
        <v>17994.106634021417</v>
      </c>
      <c r="X11" s="151">
        <f t="shared" ref="X11:X12" si="31">X10-1%</f>
        <v>0.86599999999999999</v>
      </c>
      <c r="Y11" s="109">
        <f t="shared" si="20"/>
        <v>17898.832042531474</v>
      </c>
      <c r="Z11" s="151">
        <f t="shared" ref="Z11:Z12" si="32">Z10-1%</f>
        <v>0.89300000000000002</v>
      </c>
      <c r="AA11" s="109">
        <f t="shared" si="21"/>
        <v>16859.407420832053</v>
      </c>
      <c r="AB11" s="151">
        <f t="shared" ref="AB11:AB12" si="33">AB10-1%</f>
        <v>0.90119999999999989</v>
      </c>
      <c r="AC11" s="109">
        <f t="shared" si="22"/>
        <v>19788.583317108412</v>
      </c>
    </row>
    <row r="12" spans="2:50" x14ac:dyDescent="0.35">
      <c r="D12" s="69">
        <f t="shared" si="11"/>
        <v>0.13</v>
      </c>
      <c r="E12" s="109">
        <f t="shared" si="23"/>
        <v>21559.37388829601</v>
      </c>
      <c r="F12" s="109">
        <f t="shared" si="23"/>
        <v>19575.382426182849</v>
      </c>
      <c r="G12" s="109">
        <f t="shared" si="12"/>
        <v>17591.390964069727</v>
      </c>
      <c r="H12" s="109">
        <f t="shared" si="12"/>
        <v>17591.390964069727</v>
      </c>
      <c r="I12" s="109">
        <f t="shared" si="12"/>
        <v>19575.382426182852</v>
      </c>
      <c r="J12" s="151">
        <f t="shared" si="24"/>
        <v>0.8414026374523278</v>
      </c>
      <c r="K12" s="109">
        <f t="shared" si="13"/>
        <v>19710.10432109244</v>
      </c>
      <c r="L12" s="151">
        <f t="shared" si="25"/>
        <v>0.87929999999999997</v>
      </c>
      <c r="M12" s="109">
        <f t="shared" si="14"/>
        <v>17124.970410188918</v>
      </c>
      <c r="N12" s="151">
        <f t="shared" si="26"/>
        <v>0.84299999999999997</v>
      </c>
      <c r="O12" s="109">
        <f t="shared" si="15"/>
        <v>20867.604939584493</v>
      </c>
      <c r="P12" s="151">
        <f t="shared" si="27"/>
        <v>0.86880000000000002</v>
      </c>
      <c r="Q12" s="109">
        <f t="shared" si="16"/>
        <v>15575.321366402577</v>
      </c>
      <c r="R12" s="151">
        <f t="shared" si="28"/>
        <v>0.81436654203297831</v>
      </c>
      <c r="S12" s="109">
        <f t="shared" si="17"/>
        <v>18490.428700678785</v>
      </c>
      <c r="T12" s="151">
        <f t="shared" si="29"/>
        <v>0.89743291411661841</v>
      </c>
      <c r="U12" s="109">
        <f t="shared" si="18"/>
        <v>21206.643140056942</v>
      </c>
      <c r="V12" s="151">
        <f t="shared" si="30"/>
        <v>0.9103</v>
      </c>
      <c r="W12" s="109">
        <f t="shared" si="19"/>
        <v>18191.778902878072</v>
      </c>
      <c r="X12" s="151">
        <f t="shared" si="31"/>
        <v>0.85599999999999998</v>
      </c>
      <c r="Y12" s="109">
        <f t="shared" si="20"/>
        <v>18107.930547701235</v>
      </c>
      <c r="Z12" s="151">
        <f t="shared" si="32"/>
        <v>0.88300000000000001</v>
      </c>
      <c r="AA12" s="109">
        <f t="shared" si="21"/>
        <v>17050.340687206142</v>
      </c>
      <c r="AB12" s="151">
        <f t="shared" si="33"/>
        <v>0.89119999999999988</v>
      </c>
      <c r="AC12" s="109">
        <f t="shared" si="22"/>
        <v>20010.627564382969</v>
      </c>
    </row>
    <row r="13" spans="2:50" x14ac:dyDescent="0.35">
      <c r="D13" s="69"/>
      <c r="E13" s="130">
        <f>E6-E7</f>
        <v>-1658.4133760227705</v>
      </c>
      <c r="F13" s="130">
        <f>F6-F7</f>
        <v>-1505.7986481679109</v>
      </c>
      <c r="G13" s="130">
        <f>G6-G7</f>
        <v>-1353.1839203130567</v>
      </c>
      <c r="H13" s="130">
        <f>H6-H7</f>
        <v>-1353.1839203130567</v>
      </c>
      <c r="I13" s="130">
        <f>I6-I7</f>
        <v>-1505.7986481679109</v>
      </c>
      <c r="K13" s="130">
        <f>K6-K7</f>
        <v>-206.3954185042312</v>
      </c>
      <c r="M13" s="130">
        <f>M6-M7</f>
        <v>-172.50696855435308</v>
      </c>
      <c r="O13" s="130">
        <f>O6-O7</f>
        <v>-1632.7904799909265</v>
      </c>
      <c r="Q13" s="130">
        <f>Q6-Q7</f>
        <v>-158.56730143006826</v>
      </c>
      <c r="S13" s="130">
        <f t="shared" ref="S13:AC13" si="34">S6-S7</f>
        <v>-199.23949132313282</v>
      </c>
      <c r="T13" s="130">
        <f t="shared" si="34"/>
        <v>1.0000000000000009E-2</v>
      </c>
      <c r="U13" s="130">
        <f t="shared" si="34"/>
        <v>-209.80561178750577</v>
      </c>
      <c r="V13" s="130">
        <f t="shared" si="34"/>
        <v>1.0000000000000009E-2</v>
      </c>
      <c r="W13" s="130">
        <f t="shared" si="34"/>
        <v>-177.72427513145885</v>
      </c>
      <c r="X13" s="130">
        <f t="shared" si="34"/>
        <v>1.0000000000000009E-2</v>
      </c>
      <c r="Y13" s="130">
        <f t="shared" si="34"/>
        <v>-186.77507240464183</v>
      </c>
      <c r="Z13" s="130">
        <f t="shared" si="34"/>
        <v>1.0000000000000009E-2</v>
      </c>
      <c r="AA13" s="130">
        <f t="shared" si="34"/>
        <v>-171.1198647313031</v>
      </c>
      <c r="AB13" s="130">
        <f t="shared" si="34"/>
        <v>1.0000000000000009E-2</v>
      </c>
      <c r="AC13" s="130">
        <f t="shared" si="34"/>
        <v>-199.19669418603371</v>
      </c>
    </row>
    <row r="14" spans="2:50" x14ac:dyDescent="0.35">
      <c r="D14" s="69"/>
      <c r="E14" s="130">
        <f t="shared" ref="E14:I14" si="35">E7-E8</f>
        <v>-1658.4133760227687</v>
      </c>
      <c r="F14" s="130">
        <f t="shared" si="35"/>
        <v>-1505.7986481679109</v>
      </c>
      <c r="G14" s="130">
        <f t="shared" si="35"/>
        <v>-1353.1839203130548</v>
      </c>
      <c r="H14" s="130">
        <f t="shared" si="35"/>
        <v>-1353.1839203130548</v>
      </c>
      <c r="I14" s="130">
        <f t="shared" si="35"/>
        <v>-1505.7986481679109</v>
      </c>
      <c r="K14" s="130">
        <f t="shared" ref="K14:K18" si="36">K7-K8</f>
        <v>-211.07875866533504</v>
      </c>
      <c r="M14" s="130">
        <f t="shared" ref="M14:M18" si="37">M7-M8</f>
        <v>-176.25997559349707</v>
      </c>
      <c r="O14" s="130">
        <f t="shared" ref="O14:O18" si="38">O7-O8</f>
        <v>-1669.7732768197129</v>
      </c>
      <c r="Q14" s="130">
        <f t="shared" ref="Q14:Q18" si="39">Q7-Q8</f>
        <v>-162.05689873266783</v>
      </c>
      <c r="S14" s="130">
        <f t="shared" ref="S14:AC14" si="40">S7-S8</f>
        <v>-203.9035197353187</v>
      </c>
      <c r="T14" s="130">
        <f t="shared" si="40"/>
        <v>1.0000000000000009E-2</v>
      </c>
      <c r="U14" s="130">
        <f t="shared" si="40"/>
        <v>-214.28178514622414</v>
      </c>
      <c r="V14" s="130">
        <f t="shared" si="40"/>
        <v>1.0000000000000009E-2</v>
      </c>
      <c r="W14" s="130">
        <f t="shared" si="40"/>
        <v>-181.46465764501045</v>
      </c>
      <c r="X14" s="130">
        <f t="shared" si="40"/>
        <v>1.0000000000000009E-2</v>
      </c>
      <c r="Y14" s="130">
        <f t="shared" si="40"/>
        <v>-190.94415884224509</v>
      </c>
      <c r="Z14" s="130">
        <f t="shared" si="40"/>
        <v>1.0000000000000009E-2</v>
      </c>
      <c r="AA14" s="130">
        <f t="shared" si="40"/>
        <v>-174.82777079265361</v>
      </c>
      <c r="AB14" s="130">
        <f t="shared" si="40"/>
        <v>1.0000000000000009E-2</v>
      </c>
      <c r="AC14" s="130">
        <f t="shared" si="40"/>
        <v>-203.47497370034034</v>
      </c>
    </row>
    <row r="15" spans="2:50" x14ac:dyDescent="0.35">
      <c r="E15" s="130">
        <f t="shared" ref="E15:I15" si="41">E8-E9</f>
        <v>-1658.4133760227724</v>
      </c>
      <c r="F15" s="130">
        <f t="shared" si="41"/>
        <v>-1505.7986481679127</v>
      </c>
      <c r="G15" s="130">
        <f t="shared" si="41"/>
        <v>-1353.1839203130567</v>
      </c>
      <c r="H15" s="130">
        <f t="shared" si="41"/>
        <v>-1353.1839203130567</v>
      </c>
      <c r="I15" s="130">
        <f t="shared" si="41"/>
        <v>-1505.7986481679145</v>
      </c>
      <c r="K15" s="130">
        <f t="shared" si="36"/>
        <v>-215.92333336808224</v>
      </c>
      <c r="M15" s="130">
        <f t="shared" si="37"/>
        <v>-180.13680338616177</v>
      </c>
      <c r="O15" s="130">
        <f t="shared" si="38"/>
        <v>-1708.0269601374621</v>
      </c>
      <c r="Q15" s="130">
        <f t="shared" si="39"/>
        <v>-165.66297124563062</v>
      </c>
      <c r="S15" s="130">
        <f t="shared" ref="S15:AC15" si="42">S8-S9</f>
        <v>-208.73325918104092</v>
      </c>
      <c r="T15" s="130">
        <f t="shared" si="42"/>
        <v>1.0000000000000009E-2</v>
      </c>
      <c r="U15" s="130">
        <f t="shared" si="42"/>
        <v>-218.90275086534893</v>
      </c>
      <c r="V15" s="130">
        <f t="shared" si="42"/>
        <v>1.0000000000000009E-2</v>
      </c>
      <c r="W15" s="130">
        <f t="shared" si="42"/>
        <v>-185.32437598266915</v>
      </c>
      <c r="X15" s="130">
        <f t="shared" si="42"/>
        <v>1.0000000000000009E-2</v>
      </c>
      <c r="Y15" s="130">
        <f t="shared" si="42"/>
        <v>-195.25441073484762</v>
      </c>
      <c r="Z15" s="130">
        <f t="shared" si="42"/>
        <v>1.0000000000000009E-2</v>
      </c>
      <c r="AA15" s="130">
        <f t="shared" si="42"/>
        <v>-178.65751385492513</v>
      </c>
      <c r="AB15" s="130">
        <f t="shared" si="42"/>
        <v>1.0000000000000009E-2</v>
      </c>
      <c r="AC15" s="130">
        <f t="shared" si="42"/>
        <v>-207.8925805978688</v>
      </c>
    </row>
    <row r="16" spans="2:50" x14ac:dyDescent="0.35">
      <c r="E16" s="130">
        <f t="shared" ref="E16:I16" si="43">E9-E10</f>
        <v>-1658.4133760227669</v>
      </c>
      <c r="F16" s="130">
        <f t="shared" si="43"/>
        <v>-1505.7986481679109</v>
      </c>
      <c r="G16" s="130">
        <f t="shared" si="43"/>
        <v>-1353.1839203130548</v>
      </c>
      <c r="H16" s="130">
        <f>H9-H10</f>
        <v>-1353.1839203130548</v>
      </c>
      <c r="I16" s="130">
        <f t="shared" si="43"/>
        <v>-1505.7986481679109</v>
      </c>
      <c r="K16" s="130">
        <f t="shared" si="36"/>
        <v>-220.93662968225544</v>
      </c>
      <c r="M16" s="130">
        <f t="shared" si="37"/>
        <v>-184.14295936050257</v>
      </c>
      <c r="O16" s="130">
        <f t="shared" si="38"/>
        <v>-1747.6104354593008</v>
      </c>
      <c r="Q16" s="130">
        <f t="shared" si="39"/>
        <v>-169.3907608776226</v>
      </c>
      <c r="S16" s="130">
        <f t="shared" ref="S16:AC16" si="44">S9-S10</f>
        <v>-213.73665394019918</v>
      </c>
      <c r="T16" s="130">
        <f t="shared" si="44"/>
        <v>1.0000000000000009E-2</v>
      </c>
      <c r="U16" s="130">
        <f t="shared" si="44"/>
        <v>-223.67482187996211</v>
      </c>
      <c r="V16" s="130">
        <f t="shared" si="44"/>
        <v>1.0000000000000009E-2</v>
      </c>
      <c r="W16" s="130">
        <f t="shared" si="44"/>
        <v>-189.30856121286706</v>
      </c>
      <c r="X16" s="130">
        <f t="shared" si="44"/>
        <v>1.0000000000000009E-2</v>
      </c>
      <c r="Y16" s="130">
        <f t="shared" si="44"/>
        <v>-199.71227399363124</v>
      </c>
      <c r="Z16" s="130">
        <f t="shared" si="44"/>
        <v>1.0000000000000009E-2</v>
      </c>
      <c r="AA16" s="130">
        <f t="shared" si="44"/>
        <v>-182.61449090597307</v>
      </c>
      <c r="AB16" s="130">
        <f t="shared" si="44"/>
        <v>1.0000000000000009E-2</v>
      </c>
      <c r="AC16" s="130">
        <f t="shared" si="44"/>
        <v>-212.45563109387149</v>
      </c>
    </row>
    <row r="17" spans="5:31" x14ac:dyDescent="0.35">
      <c r="E17" s="130">
        <f t="shared" ref="E17:I17" si="45">E10-E11</f>
        <v>-1658.4133760227705</v>
      </c>
      <c r="F17" s="130">
        <f t="shared" si="45"/>
        <v>-1505.7986481679109</v>
      </c>
      <c r="G17" s="130">
        <f t="shared" si="45"/>
        <v>-1353.1839203130548</v>
      </c>
      <c r="H17" s="130">
        <f t="shared" si="45"/>
        <v>-1353.1839203130548</v>
      </c>
      <c r="I17" s="130">
        <f t="shared" si="45"/>
        <v>-1505.7986481679109</v>
      </c>
      <c r="K17" s="130">
        <f t="shared" si="36"/>
        <v>-226.12657436796871</v>
      </c>
      <c r="M17" s="130">
        <f t="shared" si="37"/>
        <v>-188.2842605942933</v>
      </c>
      <c r="O17" s="130">
        <f t="shared" si="38"/>
        <v>-1788.586061144164</v>
      </c>
      <c r="Q17" s="130">
        <f t="shared" si="39"/>
        <v>-173.24580777970732</v>
      </c>
      <c r="S17" s="130">
        <f t="shared" ref="S17:AC17" si="46">S10-S11</f>
        <v>-218.92213013414948</v>
      </c>
      <c r="T17" s="130">
        <f t="shared" si="46"/>
        <v>1.0000000000000009E-2</v>
      </c>
      <c r="U17" s="130">
        <f t="shared" si="46"/>
        <v>-228.60465897095492</v>
      </c>
      <c r="V17" s="130">
        <f t="shared" si="46"/>
        <v>1.0000000000000009E-2</v>
      </c>
      <c r="W17" s="130">
        <f t="shared" si="46"/>
        <v>-193.42262317554923</v>
      </c>
      <c r="X17" s="130">
        <f t="shared" si="46"/>
        <v>1.0000000000000009E-2</v>
      </c>
      <c r="Y17" s="130">
        <f t="shared" si="46"/>
        <v>-204.32456669556632</v>
      </c>
      <c r="Z17" s="130">
        <f t="shared" si="46"/>
        <v>1.0000000000000009E-2</v>
      </c>
      <c r="AA17" s="130">
        <f t="shared" si="46"/>
        <v>-186.70440111663265</v>
      </c>
      <c r="AB17" s="130">
        <f t="shared" si="46"/>
        <v>1.0000000000000009E-2</v>
      </c>
      <c r="AC17" s="130">
        <f t="shared" si="46"/>
        <v>-217.17058074087618</v>
      </c>
    </row>
    <row r="18" spans="5:31" x14ac:dyDescent="0.35">
      <c r="E18" s="130">
        <f t="shared" ref="E18:I18" si="47">E11-E12</f>
        <v>-1658.4133760227705</v>
      </c>
      <c r="F18" s="130">
        <f t="shared" si="47"/>
        <v>-1505.7986481679109</v>
      </c>
      <c r="G18" s="130">
        <f t="shared" si="47"/>
        <v>-1353.1839203130585</v>
      </c>
      <c r="H18" s="130">
        <f t="shared" si="47"/>
        <v>-1353.1839203130585</v>
      </c>
      <c r="I18" s="130">
        <f t="shared" si="47"/>
        <v>-1505.7986481679109</v>
      </c>
      <c r="K18" s="130">
        <f t="shared" si="36"/>
        <v>-231.50156522971884</v>
      </c>
      <c r="M18" s="130">
        <f t="shared" si="37"/>
        <v>-192.56685494421254</v>
      </c>
      <c r="O18" s="130">
        <f t="shared" si="38"/>
        <v>-1831.0198941487724</v>
      </c>
      <c r="Q18" s="130">
        <f t="shared" si="39"/>
        <v>-177.2339709422231</v>
      </c>
      <c r="S18" s="130">
        <f t="shared" ref="S18:AC18" si="48">S11-S12</f>
        <v>-224.29863122633833</v>
      </c>
      <c r="T18" s="130">
        <f t="shared" si="48"/>
        <v>1.0000000000000009E-2</v>
      </c>
      <c r="U18" s="130">
        <f t="shared" si="48"/>
        <v>-233.69929402110574</v>
      </c>
      <c r="V18" s="130">
        <f t="shared" si="48"/>
        <v>1.0000000000000009E-2</v>
      </c>
      <c r="W18" s="130">
        <f t="shared" si="48"/>
        <v>-197.67226885665514</v>
      </c>
      <c r="X18" s="130">
        <f t="shared" si="48"/>
        <v>1.0000000000000009E-2</v>
      </c>
      <c r="Y18" s="130">
        <f t="shared" si="48"/>
        <v>-209.09850516976076</v>
      </c>
      <c r="Z18" s="130">
        <f t="shared" si="48"/>
        <v>1.0000000000000009E-2</v>
      </c>
      <c r="AA18" s="130">
        <f t="shared" si="48"/>
        <v>-190.93326637408973</v>
      </c>
      <c r="AB18" s="130">
        <f t="shared" si="48"/>
        <v>1.0000000000000009E-2</v>
      </c>
      <c r="AC18" s="130">
        <f t="shared" si="48"/>
        <v>-222.04424727455626</v>
      </c>
    </row>
    <row r="19" spans="5:31" x14ac:dyDescent="0.35">
      <c r="E19" s="130"/>
      <c r="F19" s="130"/>
      <c r="G19" s="130"/>
      <c r="H19" s="130"/>
      <c r="I19" s="130"/>
      <c r="K19" s="130"/>
      <c r="M19" s="130"/>
      <c r="O19" s="130"/>
      <c r="Q19" s="130"/>
      <c r="S19" s="130"/>
      <c r="T19" s="130"/>
      <c r="U19" s="130"/>
      <c r="V19" s="130"/>
      <c r="W19" s="130"/>
      <c r="X19" s="130"/>
      <c r="Y19" s="130"/>
      <c r="Z19" s="130"/>
      <c r="AA19" s="130"/>
      <c r="AB19" s="130"/>
      <c r="AC19" s="130"/>
    </row>
    <row r="20" spans="5:31" x14ac:dyDescent="0.35">
      <c r="E20" s="130"/>
      <c r="K20" s="130"/>
      <c r="M20" s="130"/>
      <c r="O20" s="130"/>
      <c r="Q20" s="130"/>
      <c r="S20" s="130"/>
      <c r="T20" s="130"/>
      <c r="U20" s="130"/>
      <c r="V20" s="130"/>
      <c r="W20" s="130"/>
      <c r="X20" s="130"/>
      <c r="Y20" s="130"/>
      <c r="Z20" s="130"/>
      <c r="AA20" s="130"/>
      <c r="AB20" s="130"/>
      <c r="AC20" s="130"/>
    </row>
    <row r="22" spans="5:31" x14ac:dyDescent="0.35">
      <c r="AC22" s="130">
        <f>U9-AC9</f>
        <v>1161.7072599112544</v>
      </c>
    </row>
    <row r="23" spans="5:31" x14ac:dyDescent="0.35">
      <c r="AC23" s="153">
        <f>AC22/U9</f>
        <v>5.6611581342473058E-2</v>
      </c>
      <c r="AD23" s="69">
        <v>0.9</v>
      </c>
      <c r="AE23" s="110">
        <f>AC23*AD23</f>
        <v>5.0950423208225751E-2</v>
      </c>
    </row>
  </sheetData>
  <mergeCells count="23">
    <mergeCell ref="D3:I3"/>
    <mergeCell ref="J3:S3"/>
    <mergeCell ref="T3:AC3"/>
    <mergeCell ref="AD3:AR3"/>
    <mergeCell ref="AD4:AH4"/>
    <mergeCell ref="V4:W4"/>
    <mergeCell ref="R4:S4"/>
    <mergeCell ref="AB4:AC4"/>
    <mergeCell ref="Z4:AA4"/>
    <mergeCell ref="X4:Y4"/>
    <mergeCell ref="P4:Q4"/>
    <mergeCell ref="N4:O4"/>
    <mergeCell ref="L4:M4"/>
    <mergeCell ref="J4:K4"/>
    <mergeCell ref="T4:U4"/>
    <mergeCell ref="AI4:AJ4"/>
    <mergeCell ref="AU4:AV4"/>
    <mergeCell ref="AW4:AX4"/>
    <mergeCell ref="AK4:AL4"/>
    <mergeCell ref="AM4:AN4"/>
    <mergeCell ref="AO4:AP4"/>
    <mergeCell ref="AQ4:AR4"/>
    <mergeCell ref="AS4:AT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3A65-E031-4E23-9121-E8D9FFE97FEA}">
  <sheetPr>
    <tabColor rgb="FFFF0000"/>
  </sheetPr>
  <dimension ref="A1:CK254"/>
  <sheetViews>
    <sheetView topLeftCell="BU1" zoomScale="115" zoomScaleNormal="115" workbookViewId="0">
      <selection activeCell="BX10" sqref="BX10"/>
    </sheetView>
  </sheetViews>
  <sheetFormatPr defaultColWidth="9.1796875" defaultRowHeight="15" x14ac:dyDescent="0.3"/>
  <cols>
    <col min="1" max="1" width="9.1796875" style="340" hidden="1" customWidth="1"/>
    <col min="2" max="2" width="3.36328125" style="340" customWidth="1"/>
    <col min="3" max="3" width="6.1796875" style="340" customWidth="1"/>
    <col min="4" max="4" width="4.54296875" style="340" customWidth="1"/>
    <col min="5" max="5" width="9.1796875" style="340"/>
    <col min="6" max="6" width="4.90625" style="340" customWidth="1"/>
    <col min="7" max="7" width="9.453125" style="340" bestFit="1" customWidth="1"/>
    <col min="8" max="8" width="8.453125" style="340" customWidth="1"/>
    <col min="9" max="9" width="6.7265625" style="340" customWidth="1"/>
    <col min="10" max="10" width="7.6328125" style="340" customWidth="1"/>
    <col min="11" max="11" width="11.90625" style="340" customWidth="1"/>
    <col min="12" max="12" width="6.54296875" style="340" bestFit="1" customWidth="1"/>
    <col min="13" max="13" width="11.7265625" style="340" customWidth="1"/>
    <col min="14" max="14" width="11" style="340" bestFit="1" customWidth="1"/>
    <col min="15" max="15" width="9.08984375" style="340" bestFit="1" customWidth="1"/>
    <col min="16" max="16" width="7.90625" style="340" bestFit="1" customWidth="1"/>
    <col min="17" max="17" width="3.90625" style="340" customWidth="1"/>
    <col min="18" max="18" width="8.54296875" style="340" customWidth="1"/>
    <col min="19" max="20" width="9.1796875" style="340"/>
    <col min="21" max="21" width="3.6328125" style="340" customWidth="1"/>
    <col min="22" max="22" width="5.90625" style="340" bestFit="1" customWidth="1"/>
    <col min="23" max="23" width="8.54296875" style="340" customWidth="1"/>
    <col min="24" max="24" width="8.81640625" style="340" customWidth="1"/>
    <col min="25" max="25" width="6.54296875" style="340" customWidth="1"/>
    <col min="26" max="26" width="9.453125" style="340" customWidth="1"/>
    <col min="27" max="27" width="7.36328125" style="340" customWidth="1"/>
    <col min="28" max="28" width="9.1796875" style="340"/>
    <col min="29" max="29" width="16.1796875" style="340" customWidth="1"/>
    <col min="30" max="30" width="8.36328125" style="340" customWidth="1"/>
    <col min="31" max="31" width="7.7265625" style="340" customWidth="1"/>
    <col min="32" max="32" width="7.90625" style="340" customWidth="1"/>
    <col min="33" max="33" width="7.36328125" style="340" customWidth="1"/>
    <col min="34" max="34" width="9.08984375" style="340" bestFit="1" customWidth="1"/>
    <col min="35" max="35" width="7.54296875" style="340" customWidth="1"/>
    <col min="36" max="36" width="9.1796875" style="340" customWidth="1"/>
    <col min="37" max="37" width="18" style="340" customWidth="1"/>
    <col min="38" max="38" width="10.1796875" style="340" bestFit="1" customWidth="1"/>
    <col min="39" max="39" width="9" style="340" customWidth="1"/>
    <col min="40" max="40" width="7.7265625" style="340" customWidth="1"/>
    <col min="41" max="41" width="7.6328125" style="340" customWidth="1"/>
    <col min="42" max="42" width="7.7265625" style="340" customWidth="1"/>
    <col min="43" max="43" width="8.54296875" style="340" customWidth="1"/>
    <col min="44" max="45" width="9.1796875" style="340"/>
    <col min="46" max="46" width="10.1796875" style="340" bestFit="1" customWidth="1"/>
    <col min="47" max="47" width="12.26953125" style="340" customWidth="1"/>
    <col min="48" max="48" width="6.08984375" style="340" customWidth="1"/>
    <col min="49" max="49" width="5.6328125" style="340" customWidth="1"/>
    <col min="50" max="50" width="18.81640625" style="340" customWidth="1"/>
    <col min="51" max="51" width="24.90625" style="340" customWidth="1"/>
    <col min="52" max="52" width="11" style="340" bestFit="1" customWidth="1"/>
    <col min="53" max="53" width="10.1796875" style="340" customWidth="1"/>
    <col min="54" max="54" width="10.08984375" style="340" bestFit="1" customWidth="1"/>
    <col min="55" max="55" width="20.90625" style="419" customWidth="1"/>
    <col min="56" max="56" width="16" style="419" customWidth="1"/>
    <col min="57" max="57" width="12.6328125" style="340" bestFit="1" customWidth="1"/>
    <col min="58" max="59" width="10.81640625" style="340" customWidth="1"/>
    <col min="60" max="61" width="9.1796875" style="340"/>
    <col min="62" max="62" width="14.36328125" style="340" customWidth="1"/>
    <col min="63" max="63" width="14.6328125" style="340" customWidth="1"/>
    <col min="64" max="64" width="13.7265625" style="340" customWidth="1"/>
    <col min="65" max="65" width="14.453125" style="340" bestFit="1" customWidth="1"/>
    <col min="66" max="66" width="9.90625" style="340" bestFit="1" customWidth="1"/>
    <col min="67" max="67" width="9.1796875" style="340" customWidth="1"/>
    <col min="68" max="68" width="10.1796875" style="340" customWidth="1"/>
    <col min="69" max="69" width="9.08984375" style="340" bestFit="1" customWidth="1"/>
    <col min="70" max="70" width="7.453125" style="411" customWidth="1"/>
    <col min="71" max="71" width="11.54296875" style="340" customWidth="1"/>
    <col min="72" max="72" width="44.1796875" style="384" customWidth="1"/>
    <col min="73" max="73" width="27" style="340" customWidth="1"/>
    <col min="74" max="74" width="10.81640625" style="340" customWidth="1"/>
    <col min="75" max="75" width="8.54296875" style="340" bestFit="1" customWidth="1"/>
    <col min="76" max="76" width="8.81640625" style="340" customWidth="1"/>
    <col min="77" max="77" width="9.08984375" style="340" customWidth="1"/>
    <col min="78" max="79" width="9.26953125" style="340" customWidth="1"/>
    <col min="80" max="80" width="6.1796875" style="340" bestFit="1" customWidth="1"/>
    <col min="81" max="81" width="8.54296875" style="340" customWidth="1"/>
    <col min="82" max="82" width="5.1796875" style="340" customWidth="1"/>
    <col min="83" max="83" width="7.453125" style="340" bestFit="1" customWidth="1"/>
    <col min="84" max="84" width="6.90625" style="340" bestFit="1" customWidth="1"/>
    <col min="85" max="85" width="7.1796875" style="340" bestFit="1" customWidth="1"/>
    <col min="86" max="86" width="8.26953125" style="453" customWidth="1"/>
    <col min="87" max="87" width="8.08984375" style="453" customWidth="1"/>
    <col min="88" max="88" width="7.90625" style="411" customWidth="1"/>
    <col min="89" max="16384" width="9.1796875" style="340"/>
  </cols>
  <sheetData>
    <row r="1" spans="2:88" x14ac:dyDescent="0.3">
      <c r="B1" s="340" t="s">
        <v>547</v>
      </c>
      <c r="BA1" s="340" t="s">
        <v>689</v>
      </c>
      <c r="BD1" s="419" t="s">
        <v>688</v>
      </c>
      <c r="BN1" s="463">
        <f>BN6</f>
        <v>1864.9499828812825</v>
      </c>
      <c r="BO1" s="463">
        <f>BO6</f>
        <v>1273.8558498087386</v>
      </c>
      <c r="BP1" s="463">
        <f>SUM(BN1:BO1)</f>
        <v>3138.8058326900209</v>
      </c>
      <c r="BQ1" s="520">
        <f>BP1/BQ2</f>
        <v>118.44550312037815</v>
      </c>
      <c r="BV1" s="453">
        <f>BV6/CC1</f>
        <v>889.97605878191621</v>
      </c>
      <c r="BW1" s="456">
        <f>BW6/CC1</f>
        <v>70.375471052123871</v>
      </c>
      <c r="BX1" s="456">
        <f>BX6/CC1</f>
        <v>48.070032068254285</v>
      </c>
      <c r="BY1" s="456">
        <f>BY6/CC1</f>
        <v>75.507147348300833</v>
      </c>
      <c r="BZ1" s="456">
        <f>BZ6/CC1</f>
        <v>51.926880835744555</v>
      </c>
      <c r="CA1" s="486">
        <f>SUM(BV1:BZ1)</f>
        <v>1135.8555900863398</v>
      </c>
      <c r="CB1" s="521">
        <f>SUM(BW1:BZ1)</f>
        <v>245.87953130442355</v>
      </c>
      <c r="CC1" s="343">
        <v>26.5</v>
      </c>
      <c r="CE1" s="456">
        <f>CE6/($CC$1)</f>
        <v>6.1272061033862739</v>
      </c>
      <c r="CF1" s="456">
        <f t="shared" ref="CF1:CG1" si="0">CF6/($CC$1)</f>
        <v>32.792446281392955</v>
      </c>
      <c r="CG1" s="456">
        <f t="shared" si="0"/>
        <v>26.087474961057026</v>
      </c>
      <c r="CH1" s="456">
        <f>SUM(CE1:CG1)</f>
        <v>65.007127345836253</v>
      </c>
      <c r="CJ1" s="523">
        <v>140</v>
      </c>
    </row>
    <row r="2" spans="2:88" s="532" customFormat="1" ht="30" x14ac:dyDescent="0.35">
      <c r="M2" s="532" t="s">
        <v>47</v>
      </c>
      <c r="N2" s="534">
        <f>$E$5*$L$7</f>
        <v>6945.620775524726</v>
      </c>
      <c r="W2" s="535"/>
      <c r="X2" s="535"/>
      <c r="Y2" s="535"/>
      <c r="Z2" s="535"/>
      <c r="AA2" s="535"/>
      <c r="AB2" s="535"/>
      <c r="AC2" s="535"/>
      <c r="AD2" s="535"/>
      <c r="AE2" s="535"/>
      <c r="AF2" s="535"/>
      <c r="AG2" s="535"/>
      <c r="AH2" s="535"/>
      <c r="AI2" s="535"/>
      <c r="AJ2" s="535"/>
      <c r="AK2" s="533" t="s">
        <v>639</v>
      </c>
      <c r="BC2" s="383"/>
      <c r="BD2" s="536" t="s">
        <v>639</v>
      </c>
      <c r="BH2" s="532" t="s">
        <v>548</v>
      </c>
      <c r="BI2" s="532" t="s">
        <v>847</v>
      </c>
      <c r="BJ2" s="532" t="s">
        <v>397</v>
      </c>
      <c r="BK2" s="532" t="s">
        <v>848</v>
      </c>
      <c r="BL2" s="532" t="s">
        <v>658</v>
      </c>
      <c r="BM2" s="532" t="s">
        <v>662</v>
      </c>
      <c r="BN2" s="537" t="s">
        <v>659</v>
      </c>
      <c r="BO2" s="537" t="s">
        <v>660</v>
      </c>
      <c r="BP2" s="538" t="s">
        <v>661</v>
      </c>
      <c r="BQ2" s="532">
        <v>26.5</v>
      </c>
      <c r="BR2" s="533">
        <f>140/2</f>
        <v>70</v>
      </c>
      <c r="BS2" s="532" t="s">
        <v>664</v>
      </c>
      <c r="BV2" s="539" t="s">
        <v>663</v>
      </c>
      <c r="BW2" s="538" t="s">
        <v>659</v>
      </c>
      <c r="BX2" s="538" t="s">
        <v>660</v>
      </c>
      <c r="BY2" s="537" t="s">
        <v>665</v>
      </c>
      <c r="BZ2" s="537" t="s">
        <v>666</v>
      </c>
      <c r="CA2" s="538" t="s">
        <v>667</v>
      </c>
      <c r="CC2" s="538" t="s">
        <v>392</v>
      </c>
      <c r="CE2" s="537" t="s">
        <v>669</v>
      </c>
      <c r="CF2" s="537" t="s">
        <v>670</v>
      </c>
      <c r="CG2" s="537" t="s">
        <v>671</v>
      </c>
      <c r="CH2" s="540" t="s">
        <v>672</v>
      </c>
      <c r="CI2" s="533" t="s">
        <v>673</v>
      </c>
      <c r="CJ2" s="533" t="s">
        <v>673</v>
      </c>
    </row>
    <row r="3" spans="2:88" x14ac:dyDescent="0.3">
      <c r="M3" s="340" t="s">
        <v>653</v>
      </c>
      <c r="N3" s="453">
        <f>(($E$5+$H$5)*$G$5/(1-$G$5)+$H$5)*$L$7</f>
        <v>2930.3240479816454</v>
      </c>
      <c r="W3" s="341"/>
      <c r="X3" s="341"/>
      <c r="Y3" s="341"/>
      <c r="Z3" s="410">
        <f>$V$7*Z6+$V$43*Z42+$V$71*Z71+$V$125*Z124</f>
        <v>0.77807836045962731</v>
      </c>
      <c r="AA3" s="341"/>
      <c r="AB3" s="341"/>
      <c r="AC3" s="341"/>
      <c r="AD3" s="341"/>
      <c r="AE3" s="341"/>
      <c r="AF3" s="341"/>
      <c r="AG3" s="341"/>
      <c r="AH3" s="341"/>
      <c r="AI3" s="341"/>
      <c r="AJ3" s="341"/>
      <c r="AK3" s="410">
        <f>$V$7*AK6+$V$43*AK42+$V$71*AK70+$V$125*AK124</f>
        <v>0.71989820538953331</v>
      </c>
      <c r="BA3" s="519">
        <f>($BC$5*$BA$6+$BC$24*$BA$25+$BC$67*$BA$68+$BC$192*$BA$193)/0.53</f>
        <v>0.91425997557720051</v>
      </c>
      <c r="BD3" s="420">
        <f>AVERAGE(BD6,BD25,BD46,BD68,BD128,)</f>
        <v>0.62668676422292868</v>
      </c>
      <c r="BN3" s="343"/>
      <c r="BO3" s="343"/>
      <c r="BP3" s="343"/>
      <c r="BQ3" s="493" t="s">
        <v>392</v>
      </c>
      <c r="BR3" s="495" t="s">
        <v>392</v>
      </c>
      <c r="BZ3" s="453" t="s">
        <v>668</v>
      </c>
    </row>
    <row r="4" spans="2:88" ht="17.5" x14ac:dyDescent="0.35">
      <c r="E4" s="340" t="s">
        <v>649</v>
      </c>
      <c r="G4" s="340" t="s">
        <v>651</v>
      </c>
      <c r="H4" s="340" t="s">
        <v>650</v>
      </c>
      <c r="J4" s="340" t="s">
        <v>361</v>
      </c>
      <c r="K4" s="340" t="s">
        <v>652</v>
      </c>
      <c r="L4" s="394" t="s">
        <v>712</v>
      </c>
      <c r="M4" s="340" t="s">
        <v>655</v>
      </c>
      <c r="N4" s="455">
        <f>N2+N3</f>
        <v>9875.9448235063719</v>
      </c>
      <c r="Z4" s="342"/>
      <c r="AB4" s="342"/>
      <c r="AD4" s="342"/>
      <c r="AF4" s="342"/>
      <c r="AH4" s="342"/>
      <c r="AK4" s="340" t="s">
        <v>629</v>
      </c>
      <c r="BA4" s="343"/>
      <c r="BB4" s="343"/>
      <c r="BN4" s="343"/>
      <c r="BO4" s="343">
        <f>'H_Tỷ lệ HH&amp;PS (-PS)'!CD6+'H_Tỷ lệ HH&amp;PS (-PS)'!CQ6</f>
        <v>-1013.0466612852859</v>
      </c>
      <c r="BP4" s="484">
        <f>BP6-BP5</f>
        <v>867.12345377774909</v>
      </c>
      <c r="BQ4" s="463">
        <f>BP4+BO4</f>
        <v>-145.92320750753686</v>
      </c>
      <c r="BV4" s="453">
        <f>BL6/BV5</f>
        <v>21962.839413201909</v>
      </c>
      <c r="BW4" s="453"/>
      <c r="BX4" s="453"/>
      <c r="BY4" s="453"/>
      <c r="BZ4" s="453"/>
      <c r="CA4" s="453"/>
      <c r="CC4" s="453"/>
    </row>
    <row r="5" spans="2:88" ht="17.5" x14ac:dyDescent="0.35">
      <c r="E5" s="455">
        <v>11300</v>
      </c>
      <c r="G5" s="458">
        <v>0.11</v>
      </c>
      <c r="H5" s="456">
        <v>3000</v>
      </c>
      <c r="M5" s="340" t="s">
        <v>654</v>
      </c>
      <c r="N5" s="455">
        <f>N4/($J$7/(1-$G$5))*1000</f>
        <v>16584.13376022768</v>
      </c>
      <c r="O5" s="453">
        <f>$E$5/(1-$G$5)</f>
        <v>12696.629213483146</v>
      </c>
      <c r="P5" s="463">
        <f>N5-O5</f>
        <v>3887.5045467445343</v>
      </c>
      <c r="Z5" s="465">
        <f>N5/Z6</f>
        <v>19031.539551812471</v>
      </c>
      <c r="AA5" s="465"/>
      <c r="AH5" s="465">
        <f>Z5/AH6</f>
        <v>20520.66436518489</v>
      </c>
      <c r="AI5" s="394" t="s">
        <v>712</v>
      </c>
      <c r="AJ5" s="342">
        <f>V7</f>
        <v>0.53</v>
      </c>
      <c r="AK5" s="454">
        <f>N5/AK6</f>
        <v>20520.66436518489</v>
      </c>
      <c r="AZ5" s="463">
        <f>AZ7-AZ6</f>
        <v>1621.5261445188698</v>
      </c>
      <c r="BA5" s="343"/>
      <c r="BB5" s="580" t="s">
        <v>712</v>
      </c>
      <c r="BC5" s="518">
        <f>'Hảo_R&amp;D (Vảy sạch)'!BR2</f>
        <v>6.6666666666666666E-2</v>
      </c>
      <c r="BD5" s="419" t="s">
        <v>630</v>
      </c>
      <c r="BE5" s="340" t="s">
        <v>656</v>
      </c>
      <c r="BI5" s="342"/>
      <c r="BM5" s="387">
        <f>$AK6</f>
        <v>0.8081674874213195</v>
      </c>
      <c r="BN5" s="343"/>
      <c r="BO5" s="343"/>
      <c r="BP5" s="343">
        <f>'H_Tỷ lệ HH&amp;PS (-PS)'!CT6</f>
        <v>22792.346744097165</v>
      </c>
      <c r="BS5" s="411" t="str">
        <f>AT11</f>
        <v>Tạo hạt iSS01084G</v>
      </c>
      <c r="BT5" s="481"/>
      <c r="BV5" s="342">
        <f>BD6</f>
        <v>0.75509971403146181</v>
      </c>
      <c r="BW5" s="342"/>
      <c r="BX5" s="342"/>
      <c r="BY5" s="342"/>
      <c r="BZ5" s="342"/>
      <c r="CA5" s="342"/>
      <c r="CC5" s="342"/>
    </row>
    <row r="6" spans="2:88" ht="15.5" x14ac:dyDescent="0.35">
      <c r="N6" s="460"/>
      <c r="V6" s="343"/>
      <c r="Z6" s="389">
        <f>SUM(Z7:Z9)</f>
        <v>0.87140263745232782</v>
      </c>
      <c r="AH6" s="389">
        <f>SUM(AH7:AH16)</f>
        <v>0.92743291411661843</v>
      </c>
      <c r="AK6" s="393">
        <f>Z6*AH6</f>
        <v>0.8081674874213195</v>
      </c>
      <c r="AZ6" s="466">
        <f>AH5/BA6</f>
        <v>21962.839413201909</v>
      </c>
      <c r="BA6" s="388">
        <f>SUM(BA7:BA13)</f>
        <v>0.93433567395889061</v>
      </c>
      <c r="BB6" s="583">
        <f>SUM(BA7*BB7,BA9*BB9,BA11*BB11,BA13*BB13)</f>
        <v>1.0679423359805886</v>
      </c>
      <c r="BC6" s="466"/>
      <c r="BD6" s="421">
        <f>AK6*BA6</f>
        <v>0.75509971403146181</v>
      </c>
      <c r="BE6" s="468">
        <f>N5/BD6</f>
        <v>21962.839413201909</v>
      </c>
      <c r="BF6" s="463">
        <f>BE6-AZ6</f>
        <v>0</v>
      </c>
      <c r="BG6" s="463"/>
      <c r="BH6" s="470">
        <f>$E$5</f>
        <v>11300</v>
      </c>
      <c r="BI6" s="342">
        <f>G5</f>
        <v>0.11</v>
      </c>
      <c r="BJ6" s="463">
        <f>H5</f>
        <v>3000</v>
      </c>
      <c r="BK6" s="481" t="str">
        <f>N7</f>
        <v>Chai B1</v>
      </c>
      <c r="BL6" s="482">
        <f>N5</f>
        <v>16584.13376022768</v>
      </c>
      <c r="BM6" s="482">
        <f>AK5</f>
        <v>20520.66436518489</v>
      </c>
      <c r="BN6" s="456">
        <f>[6]TH!$O$6</f>
        <v>1864.9499828812825</v>
      </c>
      <c r="BO6" s="456">
        <f>[6]TH!$O$7</f>
        <v>1273.8558498087386</v>
      </c>
      <c r="BP6" s="486">
        <f>SUM(BM6:BO6)</f>
        <v>23659.470197874914</v>
      </c>
      <c r="BQ6" s="453">
        <f>BP6/$BQ$2</f>
        <v>892.81019614622323</v>
      </c>
      <c r="BR6" s="494">
        <f>$BR$2+BQ6</f>
        <v>962.81019614622323</v>
      </c>
      <c r="BT6" s="481" t="str">
        <f>AX11</f>
        <v>100%B1.A1,A2</v>
      </c>
      <c r="BU6" s="411" t="str">
        <f>BC7</f>
        <v>Hạt rPET iSS01084G</v>
      </c>
      <c r="BV6" s="476">
        <f>AZ7</f>
        <v>23584.365557720779</v>
      </c>
      <c r="BW6" s="476">
        <f>BN6</f>
        <v>1864.9499828812825</v>
      </c>
      <c r="BX6" s="476">
        <f>BO6</f>
        <v>1273.8558498087386</v>
      </c>
      <c r="BY6" s="476">
        <f>[6]TH!$O$10</f>
        <v>2000.939404729972</v>
      </c>
      <c r="BZ6" s="476">
        <f>[6]TH!$O$11</f>
        <v>1376.0623421472308</v>
      </c>
      <c r="CA6" s="476">
        <f>SUM(BV6:BZ6)</f>
        <v>30100.173137288006</v>
      </c>
      <c r="CC6" s="476">
        <f>CA6/$CC$1</f>
        <v>1135.8555900863398</v>
      </c>
      <c r="CE6" s="476">
        <f>'[7]Chụp hình'!$L$38*1000</f>
        <v>162.37096173973626</v>
      </c>
      <c r="CF6" s="482">
        <f>'[7]Chụp hình'!$L$39*10^3</f>
        <v>868.9998264569133</v>
      </c>
      <c r="CG6" s="482">
        <f>'[7]Chụp hình'!$L$37*10^3</f>
        <v>691.31808646801119</v>
      </c>
      <c r="CH6" s="476">
        <f>SUM(CE6:CG6)</f>
        <v>1722.6888746646607</v>
      </c>
      <c r="CI6" s="476">
        <f>CC6+$CH$1</f>
        <v>1200.8627174321762</v>
      </c>
      <c r="CJ6" s="482">
        <f>CC6+$CJ$1</f>
        <v>1275.8555900863398</v>
      </c>
    </row>
    <row r="7" spans="2:88" ht="15.75" customHeight="1" x14ac:dyDescent="0.35">
      <c r="D7" s="878"/>
      <c r="E7" s="841" t="s">
        <v>548</v>
      </c>
      <c r="F7" s="842"/>
      <c r="G7" s="346"/>
      <c r="H7" s="862" t="s">
        <v>549</v>
      </c>
      <c r="I7" s="863"/>
      <c r="J7" s="346">
        <v>530</v>
      </c>
      <c r="K7" s="459">
        <v>0.53</v>
      </c>
      <c r="L7" s="575">
        <f>'Giá mua Chai-Vảy (Giá giảm)'!H14</f>
        <v>0.61465670579864828</v>
      </c>
      <c r="M7" s="866"/>
      <c r="N7" s="868" t="s">
        <v>14</v>
      </c>
      <c r="O7" s="869"/>
      <c r="P7" s="346"/>
      <c r="Q7" s="346"/>
      <c r="R7" s="845"/>
      <c r="S7" s="873" t="s">
        <v>550</v>
      </c>
      <c r="T7" s="873"/>
      <c r="U7" s="347"/>
      <c r="V7" s="408">
        <v>0.53</v>
      </c>
      <c r="W7" s="862" t="s">
        <v>551</v>
      </c>
      <c r="X7" s="863"/>
      <c r="Y7" s="346"/>
      <c r="Z7" s="348">
        <v>0.43017945530235618</v>
      </c>
      <c r="AA7" s="835"/>
      <c r="AB7" s="841" t="s">
        <v>552</v>
      </c>
      <c r="AC7" s="842"/>
      <c r="AH7" s="348">
        <v>0.46161476898244669</v>
      </c>
      <c r="AI7" s="835" t="s">
        <v>700</v>
      </c>
      <c r="AJ7" s="841" t="s">
        <v>553</v>
      </c>
      <c r="AK7" s="842"/>
      <c r="AL7" s="522">
        <f>AI7/$AI$7</f>
        <v>1</v>
      </c>
      <c r="AM7" s="862" t="s">
        <v>554</v>
      </c>
      <c r="AN7" s="863"/>
      <c r="AO7" s="346"/>
      <c r="AP7" s="346"/>
      <c r="AQ7" s="346"/>
      <c r="AR7" s="880" t="s">
        <v>555</v>
      </c>
      <c r="AS7" s="881"/>
      <c r="AT7" s="349"/>
      <c r="AU7" s="349"/>
      <c r="AV7" s="349"/>
      <c r="AW7" s="349"/>
      <c r="AX7" s="349"/>
      <c r="AY7" s="349"/>
      <c r="AZ7" s="467">
        <f>$AZ$6/$BB$6*BB7</f>
        <v>23584.365557720779</v>
      </c>
      <c r="BA7" s="350">
        <v>0.89417193958728181</v>
      </c>
      <c r="BB7" s="449">
        <f>'Hảo_R&amp;D (Vảy sạch)'!$BH$2</f>
        <v>1.1467889908256881</v>
      </c>
      <c r="BC7" s="422" t="s">
        <v>556</v>
      </c>
      <c r="BD7" s="423"/>
      <c r="BE7" s="349"/>
      <c r="BF7" s="349"/>
      <c r="BG7" s="349"/>
      <c r="BH7" s="344"/>
      <c r="BI7" s="344"/>
      <c r="BJ7" s="349"/>
      <c r="BK7" s="349"/>
      <c r="BL7" s="349"/>
      <c r="BM7" s="387">
        <f>$AK42</f>
        <v>0.85501479000000002</v>
      </c>
      <c r="BN7" s="356"/>
      <c r="BO7" s="356"/>
      <c r="BP7" s="356"/>
      <c r="BV7" s="463">
        <f>BV6-BV8</f>
        <v>1132.0495467706023</v>
      </c>
    </row>
    <row r="8" spans="2:88" ht="15.5" x14ac:dyDescent="0.35">
      <c r="D8" s="879"/>
      <c r="E8" s="843"/>
      <c r="F8" s="844"/>
      <c r="H8" s="864"/>
      <c r="I8" s="865"/>
      <c r="K8" s="353"/>
      <c r="M8" s="867"/>
      <c r="N8" s="870"/>
      <c r="O8" s="871"/>
      <c r="R8" s="845"/>
      <c r="S8" s="873"/>
      <c r="T8" s="873"/>
      <c r="U8" s="354"/>
      <c r="V8" s="343"/>
      <c r="W8" s="864"/>
      <c r="X8" s="865"/>
      <c r="Z8" s="355"/>
      <c r="AA8" s="836"/>
      <c r="AB8" s="843"/>
      <c r="AC8" s="844"/>
      <c r="AD8" s="346"/>
      <c r="AE8" s="862" t="s">
        <v>557</v>
      </c>
      <c r="AF8" s="863"/>
      <c r="AG8" s="346"/>
      <c r="AH8" s="353"/>
      <c r="AI8" s="836"/>
      <c r="AJ8" s="843"/>
      <c r="AK8" s="844"/>
      <c r="AL8" s="546"/>
      <c r="AM8" s="864"/>
      <c r="AN8" s="865"/>
      <c r="AR8" s="882"/>
      <c r="AS8" s="883"/>
      <c r="AT8" s="349"/>
      <c r="AU8" s="349"/>
      <c r="AV8" s="349"/>
      <c r="AW8" s="349"/>
      <c r="AX8" s="349"/>
      <c r="AY8" s="349"/>
      <c r="AZ8" s="469">
        <f>AZ7-AZ9</f>
        <v>1132.0495467706023</v>
      </c>
      <c r="BA8" s="356"/>
      <c r="BB8" s="356"/>
      <c r="BC8" s="424"/>
      <c r="BD8" s="425"/>
      <c r="BE8" s="349"/>
      <c r="BF8" s="349"/>
      <c r="BG8" s="349"/>
      <c r="BH8" s="344"/>
      <c r="BI8" s="344"/>
      <c r="BJ8" s="349"/>
      <c r="BK8" s="437" t="str">
        <f>N43</f>
        <v xml:space="preserve">Chai B2.2 </v>
      </c>
      <c r="BL8" s="463">
        <f>N41</f>
        <v>15057.98648167912</v>
      </c>
      <c r="BM8" s="463">
        <f>AK41</f>
        <v>17611.375449633004</v>
      </c>
      <c r="BN8" s="485">
        <f>BN6</f>
        <v>1864.9499828812825</v>
      </c>
      <c r="BO8" s="485">
        <f>BO6</f>
        <v>1273.8558498087386</v>
      </c>
      <c r="BP8" s="486">
        <f>SUM(BM8:BO8)</f>
        <v>20750.181282323028</v>
      </c>
      <c r="BQ8" s="453">
        <f>BP8/$BQ$2</f>
        <v>783.02570876690675</v>
      </c>
      <c r="BR8" s="494">
        <f>$BR$2+BQ8</f>
        <v>853.02570876690675</v>
      </c>
      <c r="BT8" s="489"/>
      <c r="BU8" s="472" t="str">
        <f t="shared" ref="BU8:BU12" si="1">BC9</f>
        <v>Hạt rPET iSS01G</v>
      </c>
      <c r="BV8" s="477">
        <f>AZ9</f>
        <v>22452.316010950177</v>
      </c>
      <c r="BW8" s="477">
        <f>BW6</f>
        <v>1864.9499828812825</v>
      </c>
      <c r="BX8" s="477">
        <f>BX6</f>
        <v>1273.8558498087386</v>
      </c>
      <c r="BY8" s="477">
        <f>BY6</f>
        <v>2000.939404729972</v>
      </c>
      <c r="BZ8" s="477">
        <f>BZ6</f>
        <v>1376.0623421472308</v>
      </c>
      <c r="CA8" s="477">
        <f>SUM(BV8:BZ8)</f>
        <v>28968.1235905174</v>
      </c>
      <c r="CC8" s="477">
        <f>CA8/$CC$1</f>
        <v>1093.1367392648076</v>
      </c>
      <c r="CE8" s="478">
        <f>CE6</f>
        <v>162.37096173973626</v>
      </c>
      <c r="CF8" s="478">
        <f t="shared" ref="CF8:CG8" si="2">CF6</f>
        <v>868.9998264569133</v>
      </c>
      <c r="CG8" s="478">
        <f t="shared" si="2"/>
        <v>691.31808646801119</v>
      </c>
      <c r="CH8" s="477">
        <f>SUM(CE8:CG8)</f>
        <v>1722.6888746646607</v>
      </c>
      <c r="CI8" s="477">
        <f>CC8+$CH$1</f>
        <v>1158.143866610644</v>
      </c>
      <c r="CJ8" s="478">
        <f>CC8+$CJ$1</f>
        <v>1233.1367392648076</v>
      </c>
    </row>
    <row r="9" spans="2:88" ht="15.5" x14ac:dyDescent="0.35">
      <c r="K9" s="353"/>
      <c r="V9" s="343"/>
      <c r="Z9" s="357">
        <v>0.44122318214997169</v>
      </c>
      <c r="AA9" s="835"/>
      <c r="AB9" s="841" t="s">
        <v>558</v>
      </c>
      <c r="AC9" s="842"/>
      <c r="AE9" s="864"/>
      <c r="AF9" s="865"/>
      <c r="AH9" s="357">
        <v>9.5080368552020983E-2</v>
      </c>
      <c r="AI9" s="835" t="s">
        <v>701</v>
      </c>
      <c r="AJ9" s="841" t="s">
        <v>559</v>
      </c>
      <c r="AK9" s="842"/>
      <c r="AL9" s="522">
        <f>AI9/$AI$7</f>
        <v>0.8</v>
      </c>
      <c r="AS9" s="353"/>
      <c r="AZ9" s="467">
        <f>$AZ$6/$BB$6*BB9</f>
        <v>22452.316010950177</v>
      </c>
      <c r="BA9" s="350">
        <v>1.5953364913694541E-2</v>
      </c>
      <c r="BB9" s="449">
        <f>'Hảo_R&amp;D (Vảy sạch)'!BH3</f>
        <v>1.0917431192660549</v>
      </c>
      <c r="BC9" s="422" t="s">
        <v>560</v>
      </c>
      <c r="BD9" s="423"/>
      <c r="BH9" s="344"/>
      <c r="BI9" s="344"/>
      <c r="BM9" s="387">
        <f>$AK70</f>
        <v>0.773478</v>
      </c>
      <c r="BN9" s="343"/>
      <c r="BO9" s="343"/>
      <c r="BP9" s="343"/>
      <c r="BV9" s="463">
        <f>BV6-BV10</f>
        <v>1698.0743201558944</v>
      </c>
    </row>
    <row r="10" spans="2:88" ht="15.5" x14ac:dyDescent="0.35">
      <c r="K10" s="353"/>
      <c r="V10" s="343"/>
      <c r="Z10" s="353"/>
      <c r="AA10" s="836"/>
      <c r="AB10" s="843"/>
      <c r="AC10" s="844"/>
      <c r="AH10" s="353"/>
      <c r="AI10" s="836"/>
      <c r="AJ10" s="843"/>
      <c r="AK10" s="844"/>
      <c r="AS10" s="353"/>
      <c r="AZ10" s="469">
        <f>AZ7-AZ11</f>
        <v>1698.0743201558944</v>
      </c>
      <c r="BA10" s="343"/>
      <c r="BB10" s="343"/>
      <c r="BC10" s="424"/>
      <c r="BD10" s="425"/>
      <c r="BH10" s="344"/>
      <c r="BI10" s="344"/>
      <c r="BK10" s="340" t="str">
        <f>N71</f>
        <v>Chai B4</v>
      </c>
      <c r="BL10" s="463">
        <f>N69</f>
        <v>13531.839203130559</v>
      </c>
      <c r="BM10" s="463">
        <f>AK69</f>
        <v>17494.795201842277</v>
      </c>
      <c r="BN10" s="484">
        <f>BN6</f>
        <v>1864.9499828812825</v>
      </c>
      <c r="BO10" s="484">
        <f>BO6</f>
        <v>1273.8558498087386</v>
      </c>
      <c r="BP10" s="486">
        <f>SUM(BM10:BO10)</f>
        <v>20633.601034532301</v>
      </c>
      <c r="BQ10" s="453">
        <f>BP10/$BQ$2</f>
        <v>778.62645413329437</v>
      </c>
      <c r="BR10" s="494">
        <f>$BR$2+BQ10</f>
        <v>848.62645413329437</v>
      </c>
      <c r="BT10" s="489"/>
      <c r="BU10" s="473" t="str">
        <f t="shared" si="1"/>
        <v>Hạt rPET WSS01G</v>
      </c>
      <c r="BV10" s="480">
        <f>AZ11</f>
        <v>21886.291237564885</v>
      </c>
      <c r="BW10" s="480">
        <f>BW6</f>
        <v>1864.9499828812825</v>
      </c>
      <c r="BX10" s="480">
        <f t="shared" ref="BX10:BZ10" si="3">BX6</f>
        <v>1273.8558498087386</v>
      </c>
      <c r="BY10" s="480">
        <f t="shared" si="3"/>
        <v>2000.939404729972</v>
      </c>
      <c r="BZ10" s="480">
        <f t="shared" si="3"/>
        <v>1376.0623421472308</v>
      </c>
      <c r="CA10" s="480">
        <f>SUM(BV10:BZ10)</f>
        <v>28402.098817132111</v>
      </c>
      <c r="CC10" s="480">
        <f>CA10/$CC$1</f>
        <v>1071.7773138540419</v>
      </c>
      <c r="CE10" s="479">
        <f>CE6</f>
        <v>162.37096173973626</v>
      </c>
      <c r="CF10" s="479">
        <f t="shared" ref="CF10:CG10" si="4">CF6</f>
        <v>868.9998264569133</v>
      </c>
      <c r="CG10" s="479">
        <f t="shared" si="4"/>
        <v>691.31808646801119</v>
      </c>
      <c r="CH10" s="480">
        <f>SUM(CE10:CG10)</f>
        <v>1722.6888746646607</v>
      </c>
      <c r="CI10" s="480">
        <f>CC10+$CH$1</f>
        <v>1136.7844411998783</v>
      </c>
      <c r="CJ10" s="479">
        <f>CC10+$CJ$1</f>
        <v>1211.7773138540419</v>
      </c>
    </row>
    <row r="11" spans="2:88" ht="15.75" customHeight="1" x14ac:dyDescent="0.35">
      <c r="K11" s="353"/>
      <c r="V11" s="343"/>
      <c r="X11" s="342"/>
      <c r="Z11" s="353"/>
      <c r="AH11" s="357">
        <v>0.29600174860447914</v>
      </c>
      <c r="AI11" s="845" t="s">
        <v>702</v>
      </c>
      <c r="AJ11" s="841" t="s">
        <v>561</v>
      </c>
      <c r="AK11" s="842"/>
      <c r="AL11" s="522">
        <f>AI11/$AI$7</f>
        <v>0.6</v>
      </c>
      <c r="AS11" s="358"/>
      <c r="AT11" s="862" t="s">
        <v>562</v>
      </c>
      <c r="AU11" s="863"/>
      <c r="AV11" s="359"/>
      <c r="AW11" s="359"/>
      <c r="AX11" s="874" t="s">
        <v>563</v>
      </c>
      <c r="AY11" s="875"/>
      <c r="AZ11" s="467">
        <f>$AZ$6/$BB$6*BB11</f>
        <v>21886.291237564885</v>
      </c>
      <c r="BA11" s="348">
        <v>0</v>
      </c>
      <c r="BB11" s="449">
        <f>'Hảo_R&amp;D (Vảy sạch)'!BH4</f>
        <v>1.0642201834862386</v>
      </c>
      <c r="BC11" s="422" t="s">
        <v>564</v>
      </c>
      <c r="BD11" s="423"/>
      <c r="BH11" s="344"/>
      <c r="BI11" s="344"/>
      <c r="BM11" s="387">
        <f>$AK124</f>
        <v>0.77783045852077959</v>
      </c>
      <c r="BN11" s="343"/>
      <c r="BO11" s="343"/>
      <c r="BP11" s="343"/>
      <c r="BV11" s="463">
        <f>BV6-BV12</f>
        <v>2264.0990935411974</v>
      </c>
    </row>
    <row r="12" spans="2:88" ht="15.5" x14ac:dyDescent="0.35">
      <c r="K12" s="353"/>
      <c r="V12" s="343"/>
      <c r="Z12" s="390">
        <f>SUM(Z13:Z29)</f>
        <v>0.12863516154342916</v>
      </c>
      <c r="AA12" s="554"/>
      <c r="AH12" s="360"/>
      <c r="AI12" s="845"/>
      <c r="AJ12" s="843"/>
      <c r="AK12" s="844"/>
      <c r="AS12" s="353"/>
      <c r="AT12" s="864"/>
      <c r="AU12" s="865"/>
      <c r="AV12" s="349"/>
      <c r="AW12" s="349"/>
      <c r="AX12" s="876"/>
      <c r="AY12" s="877"/>
      <c r="AZ12" s="463">
        <f>AZ7-AZ13</f>
        <v>2264.0990935411974</v>
      </c>
      <c r="BA12" s="361"/>
      <c r="BB12" s="361"/>
      <c r="BC12" s="424"/>
      <c r="BD12" s="425"/>
      <c r="BH12" s="344"/>
      <c r="BI12" s="344"/>
      <c r="BK12" s="483" t="str">
        <f>N125</f>
        <v>Chai B6.2</v>
      </c>
      <c r="BL12" s="474">
        <f>N123</f>
        <v>15057.98648167912</v>
      </c>
      <c r="BM12" s="474">
        <f>AK123</f>
        <v>19358.957105273665</v>
      </c>
      <c r="BN12" s="484">
        <f>BN6</f>
        <v>1864.9499828812825</v>
      </c>
      <c r="BO12" s="484">
        <f>BO6</f>
        <v>1273.8558498087386</v>
      </c>
      <c r="BP12" s="486">
        <f>SUM(BM12:BO12)</f>
        <v>22497.762937963686</v>
      </c>
      <c r="BQ12" s="453">
        <f>BP12/$BQ$2</f>
        <v>848.9721863382523</v>
      </c>
      <c r="BR12" s="494">
        <f>$BR$2+BQ12</f>
        <v>918.9721863382523</v>
      </c>
      <c r="BT12" s="489"/>
      <c r="BU12" s="471" t="str">
        <f t="shared" si="1"/>
        <v>Hạt rPET WSS03G</v>
      </c>
      <c r="BV12" s="475">
        <f>AZ13</f>
        <v>21320.266464179582</v>
      </c>
      <c r="BW12" s="475">
        <f>BW6</f>
        <v>1864.9499828812825</v>
      </c>
      <c r="BX12" s="475">
        <f t="shared" ref="BX12:BZ12" si="5">BX6</f>
        <v>1273.8558498087386</v>
      </c>
      <c r="BY12" s="475">
        <f t="shared" si="5"/>
        <v>2000.939404729972</v>
      </c>
      <c r="BZ12" s="475">
        <f t="shared" si="5"/>
        <v>1376.0623421472308</v>
      </c>
      <c r="CA12" s="475">
        <f>SUM(BV12:BZ12)</f>
        <v>27836.074043746808</v>
      </c>
      <c r="CC12" s="475">
        <f>CA12/$CC$1</f>
        <v>1050.4178884432758</v>
      </c>
      <c r="CE12" s="474">
        <f>CE6</f>
        <v>162.37096173973626</v>
      </c>
      <c r="CF12" s="474">
        <f t="shared" ref="CF12:CG12" si="6">CF6</f>
        <v>868.9998264569133</v>
      </c>
      <c r="CG12" s="474">
        <f t="shared" si="6"/>
        <v>691.31808646801119</v>
      </c>
      <c r="CH12" s="475">
        <f>SUM(CE12:CG12)</f>
        <v>1722.6888746646607</v>
      </c>
      <c r="CI12" s="475">
        <f>CC12+$CH$1</f>
        <v>1115.4250157891122</v>
      </c>
      <c r="CJ12" s="474">
        <f>CC12+$CJ$1</f>
        <v>1190.4178884432758</v>
      </c>
    </row>
    <row r="13" spans="2:88" ht="19" customHeight="1" x14ac:dyDescent="0.3">
      <c r="K13" s="353"/>
      <c r="V13" s="343"/>
      <c r="X13" s="342"/>
      <c r="Z13" s="362">
        <v>4.6699187812774122E-2</v>
      </c>
      <c r="AA13" s="845"/>
      <c r="AB13" s="851" t="s">
        <v>565</v>
      </c>
      <c r="AC13" s="842"/>
      <c r="AH13" s="357">
        <v>6.3639114937117491E-2</v>
      </c>
      <c r="AI13" s="845" t="s">
        <v>703</v>
      </c>
      <c r="AJ13" s="841" t="s">
        <v>566</v>
      </c>
      <c r="AK13" s="842"/>
      <c r="AL13" s="522">
        <f>AI13/$AI$7</f>
        <v>0.5</v>
      </c>
      <c r="AS13" s="353"/>
      <c r="AZ13" s="467">
        <f>$AZ$6/$BB$6*BB13</f>
        <v>21320.266464179582</v>
      </c>
      <c r="BA13" s="357">
        <v>2.4210369457914212E-2</v>
      </c>
      <c r="BB13" s="449">
        <f>'Hảo_R&amp;D (Vảy sạch)'!BH5</f>
        <v>1.036697247706422</v>
      </c>
      <c r="BC13" s="422" t="s">
        <v>567</v>
      </c>
      <c r="BD13" s="423"/>
      <c r="BN13" s="343"/>
      <c r="BO13" s="343"/>
      <c r="BP13" s="343"/>
      <c r="BV13" s="453">
        <f>BL6/BV14</f>
        <v>22020.878098204714</v>
      </c>
      <c r="BW13" s="453"/>
      <c r="BX13" s="453"/>
      <c r="BY13" s="453"/>
      <c r="BZ13" s="453"/>
      <c r="CA13" s="453"/>
      <c r="CC13" s="453"/>
    </row>
    <row r="14" spans="2:88" x14ac:dyDescent="0.3">
      <c r="K14" s="353"/>
      <c r="V14" s="343"/>
      <c r="X14" s="342"/>
      <c r="Z14" s="341"/>
      <c r="AA14" s="845"/>
      <c r="AB14" s="852"/>
      <c r="AC14" s="844"/>
      <c r="AH14" s="363"/>
      <c r="AI14" s="845"/>
      <c r="AJ14" s="843"/>
      <c r="AK14" s="844"/>
      <c r="AS14" s="353"/>
      <c r="BA14" s="361"/>
      <c r="BB14" s="361"/>
      <c r="BC14" s="424"/>
      <c r="BD14" s="425"/>
      <c r="BH14" s="341"/>
      <c r="BI14" s="341"/>
      <c r="BS14" s="472" t="str">
        <f>AT28</f>
        <v xml:space="preserve">Tạo hạt iSS01G </v>
      </c>
      <c r="BT14" s="490"/>
      <c r="BV14" s="342">
        <f>BD25</f>
        <v>0.75310955749669795</v>
      </c>
      <c r="BW14" s="342"/>
      <c r="BX14" s="342"/>
      <c r="BY14" s="342"/>
      <c r="BZ14" s="342"/>
      <c r="CA14" s="342"/>
      <c r="CC14" s="342"/>
    </row>
    <row r="15" spans="2:88" ht="30" x14ac:dyDescent="0.3">
      <c r="K15" s="353"/>
      <c r="V15" s="343"/>
      <c r="X15" s="342"/>
      <c r="Z15" s="350">
        <v>6.7787447174173249E-3</v>
      </c>
      <c r="AA15" s="845"/>
      <c r="AB15" s="851" t="s">
        <v>568</v>
      </c>
      <c r="AC15" s="842"/>
      <c r="AF15" s="343"/>
      <c r="AH15" s="364">
        <v>1.1096913040554173E-2</v>
      </c>
      <c r="AI15" s="885"/>
      <c r="AJ15" s="841" t="s">
        <v>569</v>
      </c>
      <c r="AK15" s="842"/>
      <c r="AL15" s="340" t="s">
        <v>704</v>
      </c>
      <c r="AS15" s="353"/>
      <c r="AZ15" s="467">
        <f>$BC$6*BA15*BB15</f>
        <v>0</v>
      </c>
      <c r="BA15" s="357">
        <v>1.0793244686151528E-2</v>
      </c>
      <c r="BB15" s="449"/>
      <c r="BC15" s="426" t="s">
        <v>570</v>
      </c>
      <c r="BD15" s="427"/>
      <c r="BH15" s="341"/>
      <c r="BI15" s="341"/>
      <c r="BT15" s="490" t="str">
        <f>AX28</f>
        <v>70% B1-A3 DT/MN + 25% B6.2-A3.1/Nạp Star + 5% Hạt WSS03G PL</v>
      </c>
      <c r="BU15" s="472" t="str">
        <f>BC26</f>
        <v>Hạt nhựa rPET iSS01G 2</v>
      </c>
      <c r="BV15" s="478">
        <f>AZ26</f>
        <v>22871.05753606886</v>
      </c>
      <c r="BW15" s="478">
        <f>BW6</f>
        <v>1864.9499828812825</v>
      </c>
      <c r="BX15" s="478">
        <f t="shared" ref="BX15:BZ15" si="7">BX6</f>
        <v>1273.8558498087386</v>
      </c>
      <c r="BY15" s="478">
        <f t="shared" si="7"/>
        <v>2000.939404729972</v>
      </c>
      <c r="BZ15" s="478">
        <f t="shared" si="7"/>
        <v>1376.0623421472308</v>
      </c>
      <c r="CA15" s="478">
        <f>SUM(BV15:BZ15)</f>
        <v>29386.865115636083</v>
      </c>
      <c r="CC15" s="478">
        <f>CA15/$CC$1</f>
        <v>1108.9383062504182</v>
      </c>
      <c r="CE15" s="478">
        <f>CE6</f>
        <v>162.37096173973626</v>
      </c>
      <c r="CF15" s="478">
        <f t="shared" ref="CF15:CG15" si="8">CF6</f>
        <v>868.9998264569133</v>
      </c>
      <c r="CG15" s="478">
        <f t="shared" si="8"/>
        <v>691.31808646801119</v>
      </c>
      <c r="CH15" s="477">
        <f>SUM(CE15:CG15)</f>
        <v>1722.6888746646607</v>
      </c>
      <c r="CI15" s="477">
        <f>CC15+$CH$1</f>
        <v>1173.9454335962546</v>
      </c>
      <c r="CJ15" s="478">
        <f>CC15+$CJ$1</f>
        <v>1248.9383062504182</v>
      </c>
    </row>
    <row r="16" spans="2:88" x14ac:dyDescent="0.3">
      <c r="K16" s="353"/>
      <c r="V16" s="343"/>
      <c r="X16" s="342"/>
      <c r="Z16" s="341"/>
      <c r="AA16" s="845"/>
      <c r="AB16" s="852"/>
      <c r="AC16" s="844"/>
      <c r="AH16" s="353"/>
      <c r="AI16" s="845"/>
      <c r="AJ16" s="843"/>
      <c r="AK16" s="844"/>
      <c r="AS16" s="353"/>
      <c r="BA16" s="361"/>
      <c r="BB16" s="361"/>
      <c r="BC16" s="428"/>
      <c r="BD16" s="429"/>
      <c r="BH16" s="341"/>
      <c r="BI16" s="341"/>
      <c r="BV16" s="463">
        <f>BV15-BV17</f>
        <v>576.58128242189923</v>
      </c>
    </row>
    <row r="17" spans="11:89" ht="30" x14ac:dyDescent="0.3">
      <c r="K17" s="353"/>
      <c r="V17" s="343"/>
      <c r="X17" s="342"/>
      <c r="Z17" s="350">
        <v>5.1852927008328017E-4</v>
      </c>
      <c r="AA17" s="845"/>
      <c r="AB17" s="851" t="s">
        <v>571</v>
      </c>
      <c r="AC17" s="842"/>
      <c r="AH17" s="353"/>
      <c r="AS17" s="353"/>
      <c r="BA17" s="361"/>
      <c r="BB17" s="343"/>
      <c r="BH17" s="341"/>
      <c r="BI17" s="341"/>
      <c r="BT17" s="491" t="str">
        <f>AX49</f>
        <v>85.5% B1-A1/A2 MN + 9.5% B2.2-A1/A2 + 5% Hạt WSS03G PL</v>
      </c>
      <c r="BU17" s="473" t="str">
        <f>BC30</f>
        <v>Hạt nhựa rPET WSS01G 2</v>
      </c>
      <c r="BV17" s="479">
        <f>AZ30</f>
        <v>22294.476253646961</v>
      </c>
      <c r="BW17" s="479">
        <f>BW6</f>
        <v>1864.9499828812825</v>
      </c>
      <c r="BX17" s="479">
        <f t="shared" ref="BX17:BZ17" si="9">BX6</f>
        <v>1273.8558498087386</v>
      </c>
      <c r="BY17" s="479">
        <f t="shared" si="9"/>
        <v>2000.939404729972</v>
      </c>
      <c r="BZ17" s="479">
        <f t="shared" si="9"/>
        <v>1376.0623421472308</v>
      </c>
      <c r="CA17" s="479">
        <f>SUM(BV17:BZ17)</f>
        <v>28810.283833214187</v>
      </c>
      <c r="CC17" s="479">
        <f>CA17/$CC$1</f>
        <v>1087.1805220080826</v>
      </c>
      <c r="CE17" s="479">
        <f>CE6</f>
        <v>162.37096173973626</v>
      </c>
      <c r="CF17" s="479">
        <f t="shared" ref="CF17:CG17" si="10">CF6</f>
        <v>868.9998264569133</v>
      </c>
      <c r="CG17" s="479">
        <f t="shared" si="10"/>
        <v>691.31808646801119</v>
      </c>
      <c r="CH17" s="480">
        <f>SUM(CE17:CG17)</f>
        <v>1722.6888746646607</v>
      </c>
      <c r="CI17" s="480">
        <f>CC17+$CH$1</f>
        <v>1152.1876493539189</v>
      </c>
      <c r="CJ17" s="479">
        <f>CC17+$CJ$1</f>
        <v>1227.1805220080826</v>
      </c>
      <c r="CK17" s="473"/>
    </row>
    <row r="18" spans="11:89" ht="15" customHeight="1" x14ac:dyDescent="0.3">
      <c r="K18" s="353"/>
      <c r="V18" s="343"/>
      <c r="X18" s="342"/>
      <c r="Z18" s="341"/>
      <c r="AA18" s="845"/>
      <c r="AB18" s="852"/>
      <c r="AC18" s="844"/>
      <c r="AH18" s="360"/>
      <c r="AS18" s="353"/>
      <c r="BA18" s="361"/>
      <c r="BB18" s="343"/>
      <c r="BH18" s="341"/>
      <c r="BI18" s="341"/>
      <c r="BV18" s="463">
        <f>BV15-BV19</f>
        <v>1153.1625648438057</v>
      </c>
    </row>
    <row r="19" spans="11:89" ht="15.75" customHeight="1" x14ac:dyDescent="0.3">
      <c r="K19" s="353"/>
      <c r="V19" s="343"/>
      <c r="X19" s="342"/>
      <c r="Z19" s="350">
        <v>2.6484960547600567E-2</v>
      </c>
      <c r="AA19" s="845"/>
      <c r="AB19" s="851" t="s">
        <v>572</v>
      </c>
      <c r="AC19" s="842"/>
      <c r="AH19" s="353"/>
      <c r="AS19" s="353"/>
      <c r="BA19" s="362">
        <v>8.1900547305315697E-3</v>
      </c>
      <c r="BB19" s="362"/>
      <c r="BC19" s="431" t="s">
        <v>573</v>
      </c>
      <c r="BD19" s="430"/>
      <c r="BH19" s="341"/>
      <c r="BI19" s="341"/>
      <c r="BT19" s="489"/>
      <c r="BU19" s="471" t="str">
        <f>BC32</f>
        <v>Hạt nhựa rPET WSS03G</v>
      </c>
      <c r="BV19" s="474">
        <f>AZ32</f>
        <v>21717.894971225054</v>
      </c>
      <c r="BW19" s="474">
        <f>BW6</f>
        <v>1864.9499828812825</v>
      </c>
      <c r="BX19" s="474">
        <f>BX6</f>
        <v>1273.8558498087386</v>
      </c>
      <c r="BY19" s="474">
        <f>BY6</f>
        <v>2000.939404729972</v>
      </c>
      <c r="BZ19" s="474">
        <f>BZ6</f>
        <v>1376.0623421472308</v>
      </c>
      <c r="CA19" s="474">
        <f>SUM(BV19:BZ19)</f>
        <v>28233.702550792277</v>
      </c>
      <c r="CC19" s="474">
        <f>CA19/$CC$1</f>
        <v>1065.4227377657462</v>
      </c>
      <c r="CE19" s="474">
        <f>CE6</f>
        <v>162.37096173973626</v>
      </c>
      <c r="CF19" s="474">
        <f t="shared" ref="CF19:CG19" si="11">CF6</f>
        <v>868.9998264569133</v>
      </c>
      <c r="CG19" s="474">
        <f t="shared" si="11"/>
        <v>691.31808646801119</v>
      </c>
      <c r="CH19" s="475">
        <f>SUM(CE19:CG19)</f>
        <v>1722.6888746646607</v>
      </c>
      <c r="CI19" s="475">
        <f>CC19+$CH$1</f>
        <v>1130.4298651115826</v>
      </c>
      <c r="CJ19" s="474">
        <f>CC19+$CJ$1</f>
        <v>1205.4227377657462</v>
      </c>
    </row>
    <row r="20" spans="11:89" x14ac:dyDescent="0.3">
      <c r="K20" s="353"/>
      <c r="V20" s="343"/>
      <c r="X20" s="342"/>
      <c r="Z20" s="341"/>
      <c r="AA20" s="845"/>
      <c r="AB20" s="852"/>
      <c r="AC20" s="844"/>
      <c r="AH20" s="390">
        <f>SUM(AH21:AH36)</f>
        <v>7.2553487120855478E-2</v>
      </c>
      <c r="AS20" s="353"/>
      <c r="BA20" s="343"/>
      <c r="BB20" s="343"/>
      <c r="BC20" s="430"/>
      <c r="BD20" s="430"/>
      <c r="BH20" s="341"/>
      <c r="BI20" s="341"/>
    </row>
    <row r="21" spans="11:89" ht="15" customHeight="1" x14ac:dyDescent="0.3">
      <c r="K21" s="353"/>
      <c r="V21" s="343"/>
      <c r="Z21" s="350">
        <v>1.0507317257874176E-3</v>
      </c>
      <c r="AA21" s="884"/>
      <c r="AB21" s="841" t="s">
        <v>574</v>
      </c>
      <c r="AC21" s="842"/>
      <c r="AH21" s="362">
        <v>2.2100000000000002E-2</v>
      </c>
      <c r="AI21" s="835"/>
      <c r="AJ21" s="841" t="s">
        <v>575</v>
      </c>
      <c r="AK21" s="842"/>
      <c r="AS21" s="353"/>
      <c r="BA21" s="350">
        <v>2.3911112101929609E-2</v>
      </c>
      <c r="BB21" s="350"/>
      <c r="BC21" s="431" t="s">
        <v>576</v>
      </c>
      <c r="BD21" s="432"/>
      <c r="BH21" s="341"/>
      <c r="BI21" s="341"/>
      <c r="BS21" s="473" t="str">
        <f>AT71</f>
        <v xml:space="preserve">Tạo hạt WSS01G </v>
      </c>
      <c r="BT21" s="491"/>
      <c r="BV21" s="453">
        <f>BL6/BV22</f>
        <v>23438.521069791597</v>
      </c>
      <c r="BW21" s="453"/>
      <c r="BX21" s="453"/>
      <c r="BY21" s="453"/>
      <c r="BZ21" s="453"/>
      <c r="CA21" s="453"/>
      <c r="CC21" s="453"/>
    </row>
    <row r="22" spans="11:89" x14ac:dyDescent="0.3">
      <c r="K22" s="353"/>
      <c r="V22" s="343"/>
      <c r="W22" s="343"/>
      <c r="Z22" s="341"/>
      <c r="AA22" s="836"/>
      <c r="AB22" s="843"/>
      <c r="AC22" s="844"/>
      <c r="AI22" s="836"/>
      <c r="AJ22" s="843"/>
      <c r="AK22" s="844"/>
      <c r="AS22" s="353"/>
      <c r="BA22" s="343"/>
      <c r="BB22" s="343"/>
      <c r="BC22" s="424"/>
      <c r="BD22" s="425"/>
      <c r="BU22" s="343" t="str">
        <f>AX71</f>
        <v>100% B1.2_A2 DT (STAR 1)</v>
      </c>
      <c r="BV22" s="387">
        <f>BD68</f>
        <v>0.70755888184437987</v>
      </c>
      <c r="BW22" s="387"/>
      <c r="BX22" s="387"/>
      <c r="BY22" s="387"/>
      <c r="BZ22" s="387"/>
      <c r="CA22" s="387"/>
      <c r="CC22" s="387"/>
    </row>
    <row r="23" spans="11:89" ht="15" customHeight="1" x14ac:dyDescent="0.3">
      <c r="K23" s="353"/>
      <c r="V23" s="343"/>
      <c r="Z23" s="350">
        <v>1.7996015844066785E-3</v>
      </c>
      <c r="AA23" s="835"/>
      <c r="AB23" s="841" t="s">
        <v>577</v>
      </c>
      <c r="AC23" s="842"/>
      <c r="AH23" s="365">
        <v>3.4888022059318042E-3</v>
      </c>
      <c r="AI23" s="835"/>
      <c r="AJ23" s="841" t="s">
        <v>578</v>
      </c>
      <c r="AK23" s="842"/>
      <c r="AS23" s="353"/>
      <c r="BA23" s="350">
        <v>1.6976414213182352E-2</v>
      </c>
      <c r="BB23" s="350"/>
      <c r="BC23" s="422" t="s">
        <v>579</v>
      </c>
      <c r="BD23" s="423"/>
      <c r="BT23" s="492" t="str">
        <f>AX71</f>
        <v>100% B1.2_A2 DT (STAR 1)</v>
      </c>
      <c r="BU23" s="473" t="str">
        <f>BC69</f>
        <v>Hạt nhựa rPET WSS01G 1</v>
      </c>
      <c r="BV23" s="479">
        <f>AZ69</f>
        <v>26789.035764552369</v>
      </c>
      <c r="BW23" s="479">
        <f>BW6</f>
        <v>1864.9499828812825</v>
      </c>
      <c r="BX23" s="479">
        <f t="shared" ref="BX23:BZ23" si="12">BX6</f>
        <v>1273.8558498087386</v>
      </c>
      <c r="BY23" s="479">
        <f t="shared" si="12"/>
        <v>2000.939404729972</v>
      </c>
      <c r="BZ23" s="479">
        <f t="shared" si="12"/>
        <v>1376.0623421472308</v>
      </c>
      <c r="CA23" s="487">
        <f>SUM(BV23:BZ23)</f>
        <v>33304.843344119596</v>
      </c>
      <c r="CC23" s="487">
        <f>CA23/$CC$1</f>
        <v>1256.7865412875319</v>
      </c>
      <c r="CE23" s="479">
        <f>CE6</f>
        <v>162.37096173973626</v>
      </c>
      <c r="CF23" s="479">
        <f t="shared" ref="CF23:CG23" si="13">CF6</f>
        <v>868.9998264569133</v>
      </c>
      <c r="CG23" s="479">
        <f t="shared" si="13"/>
        <v>691.31808646801119</v>
      </c>
      <c r="CH23" s="480">
        <f>SUM(CE23:CG23)</f>
        <v>1722.6888746646607</v>
      </c>
      <c r="CI23" s="480">
        <f>CC23+$CH$1</f>
        <v>1321.7936686333683</v>
      </c>
      <c r="CJ23" s="479">
        <f>CC23+$CJ$1</f>
        <v>1396.7865412875319</v>
      </c>
    </row>
    <row r="24" spans="11:89" ht="15.75" customHeight="1" x14ac:dyDescent="0.3">
      <c r="K24" s="353"/>
      <c r="V24" s="343"/>
      <c r="Z24" s="341"/>
      <c r="AA24" s="884"/>
      <c r="AB24" s="886"/>
      <c r="AC24" s="887"/>
      <c r="AH24" s="341"/>
      <c r="AI24" s="836"/>
      <c r="AJ24" s="843"/>
      <c r="AK24" s="844"/>
      <c r="AN24" s="888"/>
      <c r="AO24" s="888"/>
      <c r="AP24" s="349"/>
      <c r="AQ24" s="349"/>
      <c r="AS24" s="353"/>
      <c r="AZ24" s="463">
        <f>AZ26-AZ25</f>
        <v>1365.5690392614852</v>
      </c>
      <c r="BA24" s="343"/>
      <c r="BB24" s="580" t="s">
        <v>712</v>
      </c>
      <c r="BC24" s="518">
        <f>'Hảo_R&amp;D (Vảy sạch)'!BR3</f>
        <v>0.13333333333333333</v>
      </c>
      <c r="BD24" s="425"/>
      <c r="BM24" s="387">
        <f>$AK25</f>
        <v>0</v>
      </c>
    </row>
    <row r="25" spans="11:89" ht="15" customHeight="1" x14ac:dyDescent="0.3">
      <c r="K25" s="353"/>
      <c r="V25" s="343"/>
      <c r="Z25" s="350">
        <v>4.2999999999999997E-2</v>
      </c>
      <c r="AA25" s="366"/>
      <c r="AB25" s="846" t="s">
        <v>580</v>
      </c>
      <c r="AC25" s="847"/>
      <c r="AH25" s="350">
        <v>4.0949290470105593E-3</v>
      </c>
      <c r="AI25" s="835"/>
      <c r="AJ25" s="841" t="s">
        <v>581</v>
      </c>
      <c r="AK25" s="842"/>
      <c r="AN25" s="888"/>
      <c r="AO25" s="888"/>
      <c r="AP25" s="349"/>
      <c r="AQ25" s="349"/>
      <c r="AS25" s="353"/>
      <c r="AZ25" s="466">
        <f>($AH$5*0.7+$AH$123*0.25+$AH$5*0.05)/BA25</f>
        <v>21505.488496807375</v>
      </c>
      <c r="BA25" s="388">
        <f>SUM(BA26,BA30:BA32)</f>
        <v>0.94070114023266149</v>
      </c>
      <c r="BB25" s="581">
        <f>SUM(BA26*BB26,BA30*BB30,BA32*BB32)</f>
        <v>1.026558087916047</v>
      </c>
      <c r="BC25" s="368"/>
      <c r="BD25" s="421">
        <f>(AK6*0.7+AK124*0.25+AK6*0.05)*BA25</f>
        <v>0.75310955749669795</v>
      </c>
      <c r="BE25" s="468">
        <f>($N$5/BD25)*0.75+($N$123/BD25)*0.25</f>
        <v>21514.262804534359</v>
      </c>
      <c r="BF25" s="463">
        <f>BE25-AZ25</f>
        <v>8.7743077269842615</v>
      </c>
      <c r="BG25" s="463"/>
      <c r="BL25" s="463">
        <f>N24</f>
        <v>0</v>
      </c>
      <c r="BM25" s="463">
        <f>AK24</f>
        <v>0</v>
      </c>
      <c r="BT25" s="489"/>
      <c r="BU25" s="471" t="str">
        <f>BC71</f>
        <v>Hạt nhựa rPET WSS03G</v>
      </c>
      <c r="BV25" s="474">
        <f>AZ71</f>
        <v>26096.215874089808</v>
      </c>
      <c r="BW25" s="474">
        <f>BW6</f>
        <v>1864.9499828812825</v>
      </c>
      <c r="BX25" s="474">
        <f t="shared" ref="BX25:BZ25" si="14">BX6</f>
        <v>1273.8558498087386</v>
      </c>
      <c r="BY25" s="474">
        <f t="shared" si="14"/>
        <v>2000.939404729972</v>
      </c>
      <c r="BZ25" s="474">
        <f t="shared" si="14"/>
        <v>1376.0623421472308</v>
      </c>
      <c r="CA25" s="488">
        <f>SUM(BV25:BZ25)</f>
        <v>32612.023453657031</v>
      </c>
      <c r="CC25" s="488">
        <f>CA25/$CC$1</f>
        <v>1230.6423944776238</v>
      </c>
      <c r="CE25" s="474">
        <f>CE6</f>
        <v>162.37096173973626</v>
      </c>
      <c r="CF25" s="474">
        <f t="shared" ref="CF25:CG25" si="15">CF6</f>
        <v>868.9998264569133</v>
      </c>
      <c r="CG25" s="474">
        <f t="shared" si="15"/>
        <v>691.31808646801119</v>
      </c>
      <c r="CH25" s="475">
        <f>SUM(CE25:CG25)</f>
        <v>1722.6888746646607</v>
      </c>
      <c r="CI25" s="475">
        <f>CC25+$CH$1</f>
        <v>1295.6495218234602</v>
      </c>
      <c r="CJ25" s="474">
        <f>CC25+$CJ$1</f>
        <v>1370.6423944776238</v>
      </c>
    </row>
    <row r="26" spans="11:89" ht="15.75" customHeight="1" x14ac:dyDescent="0.3">
      <c r="K26" s="353"/>
      <c r="V26" s="343"/>
      <c r="AA26" s="367"/>
      <c r="AB26" s="848"/>
      <c r="AC26" s="849"/>
      <c r="AH26" s="341"/>
      <c r="AI26" s="836"/>
      <c r="AJ26" s="843"/>
      <c r="AK26" s="844"/>
      <c r="AN26" s="888"/>
      <c r="AO26" s="888"/>
      <c r="AP26" s="349"/>
      <c r="AQ26" s="349"/>
      <c r="AS26" s="353"/>
      <c r="AZ26" s="467">
        <f>$AZ$25/$BB$25*BB26</f>
        <v>22871.05753606886</v>
      </c>
      <c r="BA26" s="577">
        <v>0.92720000000000002</v>
      </c>
      <c r="BB26" s="581">
        <f>BB9</f>
        <v>1.0917431192660549</v>
      </c>
      <c r="BC26" s="426" t="s">
        <v>582</v>
      </c>
      <c r="BD26" s="423"/>
      <c r="BE26" s="368"/>
      <c r="BF26" s="368"/>
      <c r="BG26" s="368"/>
      <c r="BH26" s="368"/>
      <c r="BI26" s="368"/>
      <c r="BJ26" s="368"/>
      <c r="BK26" s="368"/>
      <c r="BL26" s="368"/>
      <c r="BV26" s="453">
        <f>BL6/BV27</f>
        <v>21525.172411033105</v>
      </c>
      <c r="BW26" s="453"/>
      <c r="BX26" s="453"/>
      <c r="BY26" s="453"/>
      <c r="BZ26" s="453"/>
      <c r="CA26" s="453"/>
      <c r="CC26" s="453"/>
    </row>
    <row r="27" spans="11:89" ht="15.75" customHeight="1" x14ac:dyDescent="0.3">
      <c r="K27" s="353"/>
      <c r="V27" s="343"/>
      <c r="Z27" s="560">
        <v>2.9975830014956364E-4</v>
      </c>
      <c r="AB27" s="889" t="s">
        <v>719</v>
      </c>
      <c r="AC27" s="889"/>
      <c r="AH27" s="350">
        <v>2.8650211850158049E-3</v>
      </c>
      <c r="AI27" s="835"/>
      <c r="AJ27" s="841" t="s">
        <v>583</v>
      </c>
      <c r="AK27" s="842"/>
      <c r="AN27" s="888"/>
      <c r="AO27" s="888"/>
      <c r="AP27" s="349"/>
      <c r="AQ27" s="349"/>
      <c r="AS27" s="353"/>
      <c r="AZ27" s="349"/>
      <c r="BA27" s="356"/>
      <c r="BB27" s="356"/>
      <c r="BC27" s="424"/>
      <c r="BD27" s="425"/>
      <c r="BE27" s="368"/>
      <c r="BF27" s="368"/>
      <c r="BG27" s="368"/>
      <c r="BH27" s="368"/>
      <c r="BI27" s="368"/>
      <c r="BJ27" s="368"/>
      <c r="BK27" s="368"/>
      <c r="BL27" s="368"/>
      <c r="BU27" s="343" t="str">
        <f>AX131</f>
        <v>100% B1.2_A2 DT (STAR 2)</v>
      </c>
      <c r="BV27" s="387">
        <f>BD128</f>
        <v>0.77045300467499123</v>
      </c>
      <c r="BW27" s="387"/>
      <c r="BX27" s="387"/>
      <c r="BY27" s="387"/>
      <c r="BZ27" s="387"/>
      <c r="CA27" s="387"/>
      <c r="CC27" s="387"/>
    </row>
    <row r="28" spans="11:89" x14ac:dyDescent="0.3">
      <c r="K28" s="353"/>
      <c r="V28" s="343"/>
      <c r="Z28" s="560">
        <v>1.9121424199014269E-3</v>
      </c>
      <c r="AB28" s="889" t="s">
        <v>720</v>
      </c>
      <c r="AC28" s="889"/>
      <c r="AH28" s="341"/>
      <c r="AI28" s="836"/>
      <c r="AJ28" s="843"/>
      <c r="AK28" s="844"/>
      <c r="AN28" s="888"/>
      <c r="AO28" s="888"/>
      <c r="AP28" s="349"/>
      <c r="AQ28" s="349"/>
      <c r="AS28" s="358"/>
      <c r="AT28" s="862" t="s">
        <v>584</v>
      </c>
      <c r="AU28" s="863"/>
      <c r="AV28" s="359"/>
      <c r="AW28" s="359"/>
      <c r="AX28" s="894" t="s">
        <v>585</v>
      </c>
      <c r="AY28" s="895"/>
      <c r="AZ28" s="346"/>
      <c r="BA28" s="348">
        <v>1.89E-2</v>
      </c>
      <c r="BB28" s="350"/>
      <c r="BC28" s="426" t="s">
        <v>586</v>
      </c>
      <c r="BD28" s="423"/>
      <c r="BT28" s="490" t="str">
        <f>AX131</f>
        <v>100% B1.2_A2 DT (STAR 2)</v>
      </c>
      <c r="BU28" s="472" t="str">
        <f>BC133</f>
        <v>Hạt nhựa rPET iSS01G 2</v>
      </c>
      <c r="BV28" s="478">
        <f>AZ133</f>
        <v>23172.007643319674</v>
      </c>
      <c r="BW28" s="478">
        <f>BW6</f>
        <v>1864.9499828812825</v>
      </c>
      <c r="BX28" s="478">
        <f t="shared" ref="BX28:BZ28" si="16">BX6</f>
        <v>1273.8558498087386</v>
      </c>
      <c r="BY28" s="478">
        <f t="shared" si="16"/>
        <v>2000.939404729972</v>
      </c>
      <c r="BZ28" s="478">
        <f t="shared" si="16"/>
        <v>1376.0623421472308</v>
      </c>
      <c r="CA28" s="478">
        <f>SUM(BV28:BZ28)</f>
        <v>29687.815222886897</v>
      </c>
      <c r="CC28" s="478">
        <f>CA28/$CC$1</f>
        <v>1120.2949140712037</v>
      </c>
      <c r="CE28" s="478">
        <f>CE6</f>
        <v>162.37096173973626</v>
      </c>
      <c r="CF28" s="478">
        <f t="shared" ref="CF28:CG28" si="17">CF6</f>
        <v>868.9998264569133</v>
      </c>
      <c r="CG28" s="478">
        <f t="shared" si="17"/>
        <v>691.31808646801119</v>
      </c>
      <c r="CH28" s="477">
        <f>SUM(CE28:CG28)</f>
        <v>1722.6888746646607</v>
      </c>
      <c r="CI28" s="477">
        <f>CC28+$CH$1</f>
        <v>1185.3020414170401</v>
      </c>
      <c r="CJ28" s="478">
        <f>CC28+$CJ$1</f>
        <v>1260.2949140712037</v>
      </c>
      <c r="CK28" s="472"/>
    </row>
    <row r="29" spans="11:89" x14ac:dyDescent="0.3">
      <c r="K29" s="353"/>
      <c r="V29" s="343"/>
      <c r="Z29" s="560">
        <v>9.1505165308814162E-5</v>
      </c>
      <c r="AB29" s="889" t="s">
        <v>721</v>
      </c>
      <c r="AC29" s="889"/>
      <c r="AH29" s="350">
        <v>2.1016880758625328E-3</v>
      </c>
      <c r="AI29" s="845"/>
      <c r="AJ29" s="841" t="s">
        <v>587</v>
      </c>
      <c r="AK29" s="842"/>
      <c r="AN29" s="888"/>
      <c r="AO29" s="888"/>
      <c r="AP29" s="349"/>
      <c r="AQ29" s="349"/>
      <c r="AS29" s="353"/>
      <c r="AT29" s="864"/>
      <c r="AU29" s="865"/>
      <c r="AV29" s="349"/>
      <c r="AW29" s="369"/>
      <c r="AX29" s="896"/>
      <c r="AY29" s="897"/>
      <c r="BA29" s="361"/>
      <c r="BB29" s="361"/>
      <c r="BC29" s="431"/>
      <c r="BD29" s="432"/>
    </row>
    <row r="30" spans="11:89" x14ac:dyDescent="0.3">
      <c r="K30" s="353"/>
      <c r="V30" s="343"/>
      <c r="AH30" s="341"/>
      <c r="AI30" s="845"/>
      <c r="AJ30" s="843"/>
      <c r="AK30" s="844"/>
      <c r="AN30" s="888"/>
      <c r="AO30" s="888"/>
      <c r="AP30" s="349"/>
      <c r="AQ30" s="349"/>
      <c r="AS30" s="353"/>
      <c r="AW30" s="353"/>
      <c r="AZ30" s="467">
        <f>$AZ$25/$BB$25*BB30</f>
        <v>22294.476253646961</v>
      </c>
      <c r="BA30" s="357">
        <v>1.0800912186129174E-2</v>
      </c>
      <c r="BB30" s="450">
        <f>BB11</f>
        <v>1.0642201834862386</v>
      </c>
      <c r="BC30" s="434" t="s">
        <v>588</v>
      </c>
      <c r="BD30" s="434"/>
      <c r="BT30" s="491" t="str">
        <f>AX149</f>
        <v>95% B1-A1/A2.1 MN + 5% Hạt WSS03G PL</v>
      </c>
      <c r="BU30" s="473" t="str">
        <f>BC129</f>
        <v>Hạt nhựa rPET WSS01G 2</v>
      </c>
      <c r="BV30" s="479">
        <f>AZ129</f>
        <v>22587.839383404054</v>
      </c>
      <c r="BW30" s="479">
        <f>BW6</f>
        <v>1864.9499828812825</v>
      </c>
      <c r="BX30" s="479">
        <f t="shared" ref="BX30:BZ30" si="18">BX6</f>
        <v>1273.8558498087386</v>
      </c>
      <c r="BY30" s="479">
        <f t="shared" si="18"/>
        <v>2000.939404729972</v>
      </c>
      <c r="BZ30" s="479">
        <f t="shared" si="18"/>
        <v>1376.0623421472308</v>
      </c>
      <c r="CA30" s="479">
        <f>SUM(BV30:BZ30)</f>
        <v>29103.646962971277</v>
      </c>
      <c r="CC30" s="479">
        <f>CA30/$CC$1</f>
        <v>1098.250828791369</v>
      </c>
      <c r="CE30" s="479">
        <f>CE6</f>
        <v>162.37096173973626</v>
      </c>
      <c r="CF30" s="479">
        <f t="shared" ref="CF30:CG30" si="19">CF6</f>
        <v>868.9998264569133</v>
      </c>
      <c r="CG30" s="479">
        <f t="shared" si="19"/>
        <v>691.31808646801119</v>
      </c>
      <c r="CH30" s="480">
        <f>SUM(CE30:CG30)</f>
        <v>1722.6888746646607</v>
      </c>
      <c r="CI30" s="480">
        <f>CC30+$CH$1</f>
        <v>1163.2579561372054</v>
      </c>
      <c r="CJ30" s="479">
        <f>CC30+$CJ$1</f>
        <v>1238.250828791369</v>
      </c>
    </row>
    <row r="31" spans="11:89" x14ac:dyDescent="0.3">
      <c r="K31" s="353"/>
      <c r="V31" s="343"/>
      <c r="AH31" s="350">
        <v>1.3030466070347703E-3</v>
      </c>
      <c r="AI31" s="845"/>
      <c r="AJ31" s="841" t="s">
        <v>589</v>
      </c>
      <c r="AK31" s="842"/>
      <c r="AN31" s="888"/>
      <c r="AO31" s="888"/>
      <c r="AP31" s="349"/>
      <c r="AQ31" s="349"/>
      <c r="AS31" s="353"/>
      <c r="AW31" s="353"/>
      <c r="BA31" s="361"/>
      <c r="BB31" s="361"/>
      <c r="BC31" s="435"/>
      <c r="BD31" s="435"/>
    </row>
    <row r="32" spans="11:89" ht="30" x14ac:dyDescent="0.3">
      <c r="K32" s="353"/>
      <c r="V32" s="343"/>
      <c r="AI32" s="845"/>
      <c r="AJ32" s="843"/>
      <c r="AK32" s="844"/>
      <c r="AS32" s="353"/>
      <c r="AW32" s="353"/>
      <c r="AZ32" s="467">
        <f>$AZ$25/$BB$25*BB32</f>
        <v>21717.894971225054</v>
      </c>
      <c r="BA32" s="357">
        <v>2.7002280465322935E-3</v>
      </c>
      <c r="BB32" s="450">
        <f>BB13</f>
        <v>1.036697247706422</v>
      </c>
      <c r="BC32" s="434" t="s">
        <v>590</v>
      </c>
      <c r="BD32" s="434"/>
      <c r="BT32" s="489" t="str">
        <f>AX172</f>
        <v>85.5% B1-A2.2 DT/MN + 9.5% B6.2-A1/A2 + 5% Hạt WSS03G PL</v>
      </c>
      <c r="BU32" s="471" t="str">
        <f>BC131</f>
        <v>Hạt nhựa rPET WSS03G</v>
      </c>
      <c r="BV32" s="474">
        <f>AZ131</f>
        <v>22003.671123488431</v>
      </c>
      <c r="BW32" s="474">
        <f>BW6</f>
        <v>1864.9499828812825</v>
      </c>
      <c r="BX32" s="474">
        <f t="shared" ref="BX32:BZ32" si="20">BX6</f>
        <v>1273.8558498087386</v>
      </c>
      <c r="BY32" s="474">
        <f t="shared" si="20"/>
        <v>2000.939404729972</v>
      </c>
      <c r="BZ32" s="474">
        <f t="shared" si="20"/>
        <v>1376.0623421472308</v>
      </c>
      <c r="CA32" s="474">
        <f>SUM(BV32:BZ32)</f>
        <v>28519.478703055658</v>
      </c>
      <c r="CC32" s="474">
        <f>CA32/$CC$1</f>
        <v>1076.2067435115343</v>
      </c>
      <c r="CE32" s="474">
        <f>CE6</f>
        <v>162.37096173973626</v>
      </c>
      <c r="CF32" s="474">
        <f t="shared" ref="CF32:CG32" si="21">CF6</f>
        <v>868.9998264569133</v>
      </c>
      <c r="CG32" s="474">
        <f t="shared" si="21"/>
        <v>691.31808646801119</v>
      </c>
      <c r="CH32" s="475">
        <f>SUM(CE32:CG32)</f>
        <v>1722.6888746646607</v>
      </c>
      <c r="CI32" s="475">
        <f>CC32+$CH$1</f>
        <v>1141.2138708573707</v>
      </c>
      <c r="CJ32" s="474">
        <f>CC32+$CJ$1</f>
        <v>1216.2067435115343</v>
      </c>
    </row>
    <row r="33" spans="10:88" ht="17.25" customHeight="1" x14ac:dyDescent="0.3">
      <c r="K33" s="353"/>
      <c r="V33" s="343"/>
      <c r="AH33" s="350">
        <v>9.2999999999999992E-3</v>
      </c>
      <c r="AI33" s="845"/>
      <c r="AJ33" s="858" t="s">
        <v>591</v>
      </c>
      <c r="AK33" s="859"/>
      <c r="AS33" s="353"/>
      <c r="AW33" s="353"/>
      <c r="BA33" s="361"/>
      <c r="BB33" s="361"/>
      <c r="BC33" s="434"/>
      <c r="BD33" s="434"/>
    </row>
    <row r="34" spans="10:88" ht="17.25" customHeight="1" x14ac:dyDescent="0.3">
      <c r="K34" s="353"/>
      <c r="V34" s="343"/>
      <c r="AI34" s="845"/>
      <c r="AJ34" s="860"/>
      <c r="AK34" s="861"/>
      <c r="AS34" s="353"/>
      <c r="AW34" s="353"/>
      <c r="BA34" s="357"/>
      <c r="BB34" s="350"/>
      <c r="BC34" s="436"/>
      <c r="BD34" s="436"/>
      <c r="BS34" s="471" t="str">
        <f>AT196</f>
        <v xml:space="preserve">Tạo hạt WSS03G </v>
      </c>
      <c r="BT34" s="489"/>
      <c r="BV34" s="387">
        <f>BD193</f>
        <v>0.75905330750481881</v>
      </c>
      <c r="BW34" s="387"/>
      <c r="BX34" s="387"/>
      <c r="BY34" s="387"/>
      <c r="BZ34" s="387"/>
      <c r="CA34" s="387"/>
      <c r="CC34" s="387"/>
    </row>
    <row r="35" spans="10:88" ht="45" x14ac:dyDescent="0.3">
      <c r="K35" s="353"/>
      <c r="V35" s="343"/>
      <c r="AH35" s="388">
        <v>2.7300000000000001E-2</v>
      </c>
      <c r="AI35" s="845"/>
      <c r="AJ35" s="890" t="s">
        <v>482</v>
      </c>
      <c r="AK35" s="891"/>
      <c r="AS35" s="353"/>
      <c r="AW35" s="353"/>
      <c r="BA35" s="361"/>
      <c r="BB35" s="343"/>
      <c r="BC35" s="436"/>
      <c r="BD35" s="436"/>
      <c r="BT35" s="489" t="str">
        <f>AX196</f>
        <v>30%  B1-A3/A2.2 MN + 15% B2.2-A3/A2 + 55% B6.2 Nạp Star/A2 + 5% Hạt WSS03G PL</v>
      </c>
      <c r="BU35" s="471" t="str">
        <f>BC194</f>
        <v>Hạt nhựa rPET WSS03G</v>
      </c>
      <c r="BV35" s="475">
        <f>AZ193</f>
        <v>20456.108552955662</v>
      </c>
      <c r="BW35" s="475">
        <f>BW6</f>
        <v>1864.9499828812825</v>
      </c>
      <c r="BX35" s="475">
        <f t="shared" ref="BX35:BZ35" si="22">BX6</f>
        <v>1273.8558498087386</v>
      </c>
      <c r="BY35" s="475">
        <f t="shared" si="22"/>
        <v>2000.939404729972</v>
      </c>
      <c r="BZ35" s="475">
        <f t="shared" si="22"/>
        <v>1376.0623421472308</v>
      </c>
      <c r="CA35" s="475">
        <f>SUM(BV35:BZ35)</f>
        <v>26971.916132522889</v>
      </c>
      <c r="CC35" s="475">
        <f>CA35/$CC$1</f>
        <v>1017.80815594426</v>
      </c>
      <c r="CE35" s="474">
        <f>CE6</f>
        <v>162.37096173973626</v>
      </c>
      <c r="CF35" s="474">
        <f t="shared" ref="CF35:CG35" si="23">CF6</f>
        <v>868.9998264569133</v>
      </c>
      <c r="CG35" s="474">
        <f t="shared" si="23"/>
        <v>691.31808646801119</v>
      </c>
      <c r="CH35" s="475">
        <f>SUM(CE35:CG35)</f>
        <v>1722.6888746646607</v>
      </c>
      <c r="CI35" s="475">
        <f>CC35+$CH$1</f>
        <v>1082.8152832900962</v>
      </c>
      <c r="CJ35" s="474">
        <f>CC35+$CJ$1</f>
        <v>1157.8081559442599</v>
      </c>
    </row>
    <row r="36" spans="10:88" x14ac:dyDescent="0.3">
      <c r="K36" s="353"/>
      <c r="V36" s="343"/>
      <c r="AI36" s="845"/>
      <c r="AJ36" s="892"/>
      <c r="AK36" s="893"/>
      <c r="AS36" s="353"/>
      <c r="AW36" s="353"/>
      <c r="BA36" s="361"/>
      <c r="BB36" s="343"/>
      <c r="BV36" s="387">
        <f>BD215</f>
        <v>0.68603513010398487</v>
      </c>
      <c r="BW36" s="387"/>
      <c r="BX36" s="387"/>
      <c r="BY36" s="387"/>
      <c r="BZ36" s="387"/>
      <c r="CA36" s="387"/>
      <c r="CC36" s="387"/>
      <c r="CE36" s="471"/>
      <c r="CF36" s="471"/>
      <c r="CG36" s="471"/>
      <c r="CH36" s="475"/>
      <c r="CI36" s="475"/>
      <c r="CJ36" s="471"/>
    </row>
    <row r="37" spans="10:88" ht="20.5" customHeight="1" x14ac:dyDescent="0.3">
      <c r="K37" s="353"/>
      <c r="V37" s="343"/>
      <c r="AS37" s="353"/>
      <c r="AW37" s="353"/>
      <c r="BA37" s="361"/>
      <c r="BB37" s="343"/>
      <c r="BT37" s="489" t="str">
        <f>AX218</f>
        <v>30% Vảy PET Mix  B2-B3-B7 + 70% Vảy PET B6.2_A3.1</v>
      </c>
      <c r="BU37" s="471" t="str">
        <f>BC216</f>
        <v>Hạt nhựa rPET WSS03G</v>
      </c>
      <c r="BV37" s="475">
        <f>AZ215</f>
        <v>21990.583081320605</v>
      </c>
      <c r="BW37" s="475">
        <f>BW6</f>
        <v>1864.9499828812825</v>
      </c>
      <c r="BX37" s="475">
        <f t="shared" ref="BX37:BZ37" si="24">BX6</f>
        <v>1273.8558498087386</v>
      </c>
      <c r="BY37" s="475">
        <f t="shared" si="24"/>
        <v>2000.939404729972</v>
      </c>
      <c r="BZ37" s="475">
        <f t="shared" si="24"/>
        <v>1376.0623421472308</v>
      </c>
      <c r="CA37" s="475">
        <f>SUM(BV37:BZ37)</f>
        <v>28506.390660887828</v>
      </c>
      <c r="CC37" s="475">
        <f>CA37/$CC$1</f>
        <v>1075.7128551278427</v>
      </c>
      <c r="CE37" s="474">
        <f>CE6</f>
        <v>162.37096173973626</v>
      </c>
      <c r="CF37" s="474">
        <f t="shared" ref="CF37:CG37" si="25">CF6</f>
        <v>868.9998264569133</v>
      </c>
      <c r="CG37" s="474">
        <f t="shared" si="25"/>
        <v>691.31808646801119</v>
      </c>
      <c r="CH37" s="475">
        <f>SUM(CE37:CG37)</f>
        <v>1722.6888746646607</v>
      </c>
      <c r="CI37" s="475">
        <f>CC37+$CH$1</f>
        <v>1140.719982473679</v>
      </c>
      <c r="CJ37" s="474">
        <f>CC37+$CJ$1</f>
        <v>1215.7128551278427</v>
      </c>
    </row>
    <row r="38" spans="10:88" ht="19.5" customHeight="1" x14ac:dyDescent="0.3">
      <c r="K38" s="353"/>
      <c r="M38" s="340" t="s">
        <v>47</v>
      </c>
      <c r="N38" s="453">
        <f>$E$5*$L$43</f>
        <v>356.96905016008543</v>
      </c>
      <c r="V38" s="343"/>
      <c r="AH38" s="341"/>
      <c r="AS38" s="353"/>
      <c r="AW38" s="353"/>
      <c r="BA38" s="362">
        <v>3.007072142729145E-2</v>
      </c>
      <c r="BB38" s="362"/>
      <c r="BC38" s="434" t="s">
        <v>573</v>
      </c>
      <c r="BD38" s="430"/>
    </row>
    <row r="39" spans="10:88" x14ac:dyDescent="0.3">
      <c r="K39" s="353"/>
      <c r="M39" s="340" t="s">
        <v>653</v>
      </c>
      <c r="N39" s="453">
        <f>(($E$5+$H$5)*$G$5/(1-$G$5)+$H$5)*$L$43</f>
        <v>150.60352787404221</v>
      </c>
      <c r="V39" s="343"/>
      <c r="AS39" s="353"/>
      <c r="AW39" s="353"/>
      <c r="BA39" s="343"/>
      <c r="BB39" s="343"/>
      <c r="BC39" s="430"/>
      <c r="BD39" s="430"/>
      <c r="BT39" s="501" t="s">
        <v>715</v>
      </c>
      <c r="BU39" s="500" t="s">
        <v>545</v>
      </c>
      <c r="BV39" s="502">
        <f>BM12*0.89+BM10*0.11</f>
        <v>19153.899295896212</v>
      </c>
      <c r="BW39" s="503">
        <f>BW6</f>
        <v>1864.9499828812825</v>
      </c>
      <c r="BX39" s="503">
        <f t="shared" ref="BX39:BZ39" si="26">BX6</f>
        <v>1273.8558498087386</v>
      </c>
      <c r="BY39" s="503">
        <f t="shared" si="26"/>
        <v>2000.939404729972</v>
      </c>
      <c r="BZ39" s="503">
        <f t="shared" si="26"/>
        <v>1376.0623421472308</v>
      </c>
      <c r="CA39" s="503">
        <f t="shared" ref="CA39:CA41" si="27">SUM(BV39:BZ39)</f>
        <v>25669.706875463435</v>
      </c>
      <c r="CC39" s="502">
        <f t="shared" ref="CC39:CC41" si="28">CA39/$CC$1</f>
        <v>968.66818397975226</v>
      </c>
      <c r="CE39" s="503">
        <f>CE6</f>
        <v>162.37096173973626</v>
      </c>
      <c r="CF39" s="500">
        <f t="shared" ref="CF39:CG39" si="29">CF6</f>
        <v>868.9998264569133</v>
      </c>
      <c r="CG39" s="500">
        <f t="shared" si="29"/>
        <v>691.31808646801119</v>
      </c>
      <c r="CH39" s="502">
        <f t="shared" ref="CH39:CH41" si="30">SUM(CE39:CG39)</f>
        <v>1722.6888746646607</v>
      </c>
      <c r="CI39" s="502">
        <f t="shared" ref="CI39:CI41" si="31">CC39+$CH$1</f>
        <v>1033.6753113255886</v>
      </c>
      <c r="CJ39" s="503">
        <f t="shared" ref="CJ39:CJ41" si="32">CC39+$CJ$1</f>
        <v>1108.6681839797523</v>
      </c>
    </row>
    <row r="40" spans="10:88" x14ac:dyDescent="0.3">
      <c r="K40" s="353"/>
      <c r="M40" s="340" t="s">
        <v>655</v>
      </c>
      <c r="N40" s="455">
        <f>N38+N39</f>
        <v>507.57257803412767</v>
      </c>
      <c r="V40" s="343"/>
      <c r="AS40" s="353"/>
      <c r="AW40" s="353"/>
      <c r="BA40" s="350">
        <v>4.4406477601608351E-3</v>
      </c>
      <c r="BB40" s="350"/>
      <c r="BC40" s="431" t="s">
        <v>576</v>
      </c>
      <c r="BD40" s="432"/>
      <c r="BT40" s="501" t="s">
        <v>680</v>
      </c>
      <c r="BU40" s="500" t="s">
        <v>546</v>
      </c>
      <c r="BV40" s="502">
        <f>BM12*0.95+BM10*0.05</f>
        <v>19265.749010102096</v>
      </c>
      <c r="BW40" s="503">
        <f>BW6</f>
        <v>1864.9499828812825</v>
      </c>
      <c r="BX40" s="503">
        <f t="shared" ref="BX40:BZ40" si="33">BX6</f>
        <v>1273.8558498087386</v>
      </c>
      <c r="BY40" s="503">
        <f t="shared" si="33"/>
        <v>2000.939404729972</v>
      </c>
      <c r="BZ40" s="503">
        <f t="shared" si="33"/>
        <v>1376.0623421472308</v>
      </c>
      <c r="CA40" s="503">
        <f t="shared" si="27"/>
        <v>25781.556589669319</v>
      </c>
      <c r="CC40" s="502">
        <f t="shared" si="28"/>
        <v>972.88892791204978</v>
      </c>
      <c r="CE40" s="503">
        <f>CE6</f>
        <v>162.37096173973626</v>
      </c>
      <c r="CF40" s="500">
        <f t="shared" ref="CF40:CG40" si="34">CF6</f>
        <v>868.9998264569133</v>
      </c>
      <c r="CG40" s="500">
        <f t="shared" si="34"/>
        <v>691.31808646801119</v>
      </c>
      <c r="CH40" s="502">
        <f t="shared" si="30"/>
        <v>1722.6888746646607</v>
      </c>
      <c r="CI40" s="502">
        <f t="shared" si="31"/>
        <v>1037.896055257886</v>
      </c>
      <c r="CJ40" s="503">
        <f t="shared" si="32"/>
        <v>1112.8889279120499</v>
      </c>
    </row>
    <row r="41" spans="10:88" ht="17.5" x14ac:dyDescent="0.35">
      <c r="K41" s="353"/>
      <c r="M41" s="340" t="s">
        <v>725</v>
      </c>
      <c r="N41" s="455">
        <f>N40/($J$43/(1-$G$5))*1000</f>
        <v>15057.98648167912</v>
      </c>
      <c r="V41" s="343"/>
      <c r="Z41" s="465">
        <f>N41/Z42</f>
        <v>16559.976335289914</v>
      </c>
      <c r="AA41" s="465"/>
      <c r="AH41" s="465">
        <f>Z41/AH42</f>
        <v>17611.375449633004</v>
      </c>
      <c r="AI41" s="394" t="s">
        <v>712</v>
      </c>
      <c r="AJ41" s="342">
        <f>V43</f>
        <v>0.05</v>
      </c>
      <c r="AK41" s="454">
        <f>N41/AK42</f>
        <v>17611.375449633004</v>
      </c>
      <c r="AS41" s="353"/>
      <c r="AW41" s="353"/>
      <c r="BA41" s="343"/>
      <c r="BB41" s="343"/>
      <c r="BC41" s="424"/>
      <c r="BD41" s="425"/>
      <c r="BM41" s="409">
        <f>$AK42</f>
        <v>0.85501479000000002</v>
      </c>
      <c r="BS41" s="340" t="s">
        <v>716</v>
      </c>
      <c r="BT41" s="498" t="s">
        <v>563</v>
      </c>
      <c r="BU41" s="552" t="s">
        <v>683</v>
      </c>
      <c r="BV41" s="530">
        <f>BM6</f>
        <v>20520.66436518489</v>
      </c>
      <c r="BW41" s="531">
        <f>BW6</f>
        <v>1864.9499828812825</v>
      </c>
      <c r="BX41" s="531">
        <f t="shared" ref="BX41:BZ41" si="35">BX6</f>
        <v>1273.8558498087386</v>
      </c>
      <c r="BY41" s="531">
        <f t="shared" si="35"/>
        <v>2000.939404729972</v>
      </c>
      <c r="BZ41" s="531">
        <f t="shared" si="35"/>
        <v>1376.0623421472308</v>
      </c>
      <c r="CA41" s="531">
        <f t="shared" si="27"/>
        <v>27036.471944752117</v>
      </c>
      <c r="CB41" s="552"/>
      <c r="CC41" s="530">
        <f t="shared" si="28"/>
        <v>1020.2442243302686</v>
      </c>
      <c r="CD41" s="552"/>
      <c r="CE41" s="531">
        <f>CE6</f>
        <v>162.37096173973626</v>
      </c>
      <c r="CF41" s="552">
        <f t="shared" ref="CF41:CG41" si="36">CF6</f>
        <v>868.9998264569133</v>
      </c>
      <c r="CG41" s="552">
        <f t="shared" si="36"/>
        <v>691.31808646801119</v>
      </c>
      <c r="CH41" s="530">
        <f t="shared" si="30"/>
        <v>1722.6888746646607</v>
      </c>
      <c r="CI41" s="530">
        <f t="shared" si="31"/>
        <v>1085.2513516761048</v>
      </c>
      <c r="CJ41" s="531">
        <f t="shared" si="32"/>
        <v>1160.2442243302685</v>
      </c>
    </row>
    <row r="42" spans="10:88" x14ac:dyDescent="0.3">
      <c r="K42" s="353"/>
      <c r="V42" s="343"/>
      <c r="Z42" s="417">
        <f>SUM(Z43:Z44)</f>
        <v>0.9093</v>
      </c>
      <c r="AH42" s="416">
        <f>SUM(AH43:AH48)</f>
        <v>0.94030000000000002</v>
      </c>
      <c r="AK42" s="393">
        <f>Z42*AH42</f>
        <v>0.85501479000000002</v>
      </c>
      <c r="AS42" s="353"/>
      <c r="AW42" s="353"/>
      <c r="BA42" s="350">
        <v>5.4004560930645869E-3</v>
      </c>
      <c r="BB42" s="350"/>
      <c r="BC42" s="422" t="s">
        <v>579</v>
      </c>
      <c r="BD42" s="423"/>
      <c r="BL42" s="463">
        <f>N41</f>
        <v>15057.98648167912</v>
      </c>
      <c r="BM42" s="463">
        <f>AK41</f>
        <v>17611.375449633004</v>
      </c>
      <c r="BT42" s="501" t="s">
        <v>680</v>
      </c>
      <c r="BU42" s="500" t="s">
        <v>371</v>
      </c>
      <c r="BV42" s="502">
        <f>BM12*0.95+BM8*0.05</f>
        <v>19271.578022491631</v>
      </c>
      <c r="BW42" s="503">
        <f>BW6</f>
        <v>1864.9499828812825</v>
      </c>
      <c r="BX42" s="503">
        <f>BX6</f>
        <v>1273.8558498087386</v>
      </c>
      <c r="BY42" s="503">
        <f>BY6</f>
        <v>2000.939404729972</v>
      </c>
      <c r="BZ42" s="503">
        <f>BZ6</f>
        <v>1376.0623421472308</v>
      </c>
      <c r="CA42" s="502">
        <f>SUM(BV42:BZ42)</f>
        <v>25787.385602058854</v>
      </c>
      <c r="CC42" s="502">
        <f>CA42/$CC$1</f>
        <v>973.10889064373032</v>
      </c>
      <c r="CD42" s="500"/>
      <c r="CE42" s="503">
        <f>CE6</f>
        <v>162.37096173973626</v>
      </c>
      <c r="CF42" s="503">
        <f t="shared" ref="CF42:CG42" si="37">CF6</f>
        <v>868.9998264569133</v>
      </c>
      <c r="CG42" s="503">
        <f t="shared" si="37"/>
        <v>691.31808646801119</v>
      </c>
      <c r="CH42" s="502">
        <f>SUM(CE42:CG42)</f>
        <v>1722.6888746646607</v>
      </c>
      <c r="CI42" s="502">
        <f>CC42+$CH$1</f>
        <v>1038.1160179895667</v>
      </c>
      <c r="CJ42" s="503">
        <f>CC42+$CJ$1</f>
        <v>1113.1088906437303</v>
      </c>
    </row>
    <row r="43" spans="10:88" x14ac:dyDescent="0.3">
      <c r="J43" s="340">
        <v>30</v>
      </c>
      <c r="K43" s="371">
        <v>0.03</v>
      </c>
      <c r="L43" s="576">
        <f>'Giá mua Chai-Vảy (Giá giảm)'!H15</f>
        <v>3.1590181430096058E-2</v>
      </c>
      <c r="M43" s="866"/>
      <c r="N43" s="868" t="s">
        <v>726</v>
      </c>
      <c r="O43" s="869"/>
      <c r="P43" s="346"/>
      <c r="Q43" s="346"/>
      <c r="R43" s="845"/>
      <c r="S43" s="872" t="s">
        <v>726</v>
      </c>
      <c r="T43" s="873"/>
      <c r="U43" s="347"/>
      <c r="V43" s="408">
        <v>0.05</v>
      </c>
      <c r="W43" s="862" t="s">
        <v>551</v>
      </c>
      <c r="X43" s="863"/>
      <c r="Y43" s="346"/>
      <c r="Z43" s="348">
        <v>0.9093</v>
      </c>
      <c r="AA43" s="845"/>
      <c r="AB43" s="850" t="s">
        <v>730</v>
      </c>
      <c r="AC43" s="850"/>
      <c r="AD43" s="346"/>
      <c r="AE43" s="862" t="s">
        <v>557</v>
      </c>
      <c r="AF43" s="863"/>
      <c r="AG43" s="346"/>
      <c r="AH43" s="372">
        <v>0.34100000000000003</v>
      </c>
      <c r="AI43" s="835" t="s">
        <v>700</v>
      </c>
      <c r="AJ43" s="841" t="s">
        <v>592</v>
      </c>
      <c r="AK43" s="842"/>
      <c r="AL43" s="346"/>
      <c r="AM43" s="862" t="s">
        <v>554</v>
      </c>
      <c r="AN43" s="863"/>
      <c r="AO43" s="346"/>
      <c r="AP43" s="862" t="s">
        <v>555</v>
      </c>
      <c r="AQ43" s="863"/>
      <c r="AR43" s="359"/>
      <c r="AS43" s="373"/>
      <c r="AT43" s="349"/>
      <c r="AU43" s="349"/>
      <c r="AV43" s="349"/>
      <c r="AW43" s="369"/>
      <c r="AX43" s="349"/>
      <c r="AY43" s="349"/>
      <c r="BA43" s="343"/>
      <c r="BB43" s="343"/>
      <c r="BC43" s="424"/>
      <c r="BD43" s="425"/>
      <c r="BE43" s="349"/>
      <c r="BF43" s="349"/>
      <c r="BG43" s="349"/>
      <c r="BH43" s="349"/>
      <c r="BI43" s="349"/>
      <c r="BJ43" s="349"/>
      <c r="BK43" s="349"/>
      <c r="BL43" s="349"/>
      <c r="BM43" s="349"/>
      <c r="BN43" s="349"/>
      <c r="BO43" s="349"/>
      <c r="BP43" s="349"/>
    </row>
    <row r="44" spans="10:88" ht="30" x14ac:dyDescent="0.3">
      <c r="K44" s="353"/>
      <c r="M44" s="867"/>
      <c r="N44" s="870"/>
      <c r="O44" s="871"/>
      <c r="R44" s="845"/>
      <c r="S44" s="872"/>
      <c r="T44" s="873"/>
      <c r="U44" s="354"/>
      <c r="V44" s="343"/>
      <c r="W44" s="864"/>
      <c r="X44" s="865"/>
      <c r="Z44" s="353"/>
      <c r="AA44" s="845"/>
      <c r="AB44" s="850"/>
      <c r="AC44" s="850"/>
      <c r="AE44" s="864"/>
      <c r="AF44" s="865"/>
      <c r="AH44" s="374"/>
      <c r="AI44" s="836"/>
      <c r="AJ44" s="843"/>
      <c r="AK44" s="844"/>
      <c r="AM44" s="864"/>
      <c r="AN44" s="865"/>
      <c r="AP44" s="864"/>
      <c r="AQ44" s="865"/>
      <c r="AR44" s="349"/>
      <c r="AS44" s="373"/>
      <c r="AT44" s="349"/>
      <c r="AU44" s="349"/>
      <c r="AV44" s="349"/>
      <c r="AW44" s="369"/>
      <c r="AX44" s="349"/>
      <c r="AY44" s="349"/>
      <c r="AZ44" s="349"/>
      <c r="BA44" s="356"/>
      <c r="BB44" s="356"/>
      <c r="BC44" s="437"/>
      <c r="BD44" s="437"/>
      <c r="BE44" s="349"/>
      <c r="BF44" s="349"/>
      <c r="BG44" s="349"/>
      <c r="BH44" s="349"/>
      <c r="BI44" s="349"/>
      <c r="BJ44" s="349"/>
      <c r="BK44" s="349"/>
      <c r="BL44" s="349"/>
      <c r="BM44" s="349"/>
      <c r="BN44" s="349"/>
      <c r="BO44" s="349"/>
      <c r="BP44" s="349"/>
      <c r="BS44" s="340" t="s">
        <v>678</v>
      </c>
      <c r="BT44" s="498" t="s">
        <v>679</v>
      </c>
      <c r="BU44" s="340" t="s">
        <v>678</v>
      </c>
      <c r="BV44" s="463">
        <f>BM6*0.15+BM12*0.65+BM8*0.2</f>
        <v>19183.696863132216</v>
      </c>
      <c r="BW44" s="463">
        <f>BW6</f>
        <v>1864.9499828812825</v>
      </c>
      <c r="BX44" s="463">
        <f>BX6</f>
        <v>1273.8558498087386</v>
      </c>
      <c r="BZ44" s="463"/>
      <c r="CA44" s="499">
        <f>BV44+BW44+BX44</f>
        <v>22322.502695822237</v>
      </c>
      <c r="CC44" s="475">
        <f>CA44/$CC$1</f>
        <v>842.35859229517871</v>
      </c>
      <c r="CE44" s="463">
        <f>CE6</f>
        <v>162.37096173973626</v>
      </c>
      <c r="CF44" s="463">
        <f t="shared" ref="CF44:CG44" si="38">CF6</f>
        <v>868.9998264569133</v>
      </c>
      <c r="CG44" s="463">
        <f t="shared" si="38"/>
        <v>691.31808646801119</v>
      </c>
      <c r="CH44" s="453">
        <f>SUM(CE44:CG44)</f>
        <v>1722.6888746646607</v>
      </c>
      <c r="CI44" s="530">
        <f>CC44+$CH$1</f>
        <v>907.36571964101495</v>
      </c>
      <c r="CJ44" s="531">
        <f>CC44+$CJ$1/2</f>
        <v>912.35859229517871</v>
      </c>
    </row>
    <row r="45" spans="10:88" x14ac:dyDescent="0.3">
      <c r="K45" s="353"/>
      <c r="V45" s="343"/>
      <c r="Z45" s="353"/>
      <c r="AA45" s="853"/>
      <c r="AB45" s="898"/>
      <c r="AC45" s="898"/>
      <c r="AH45" s="374">
        <v>0.46600000000000003</v>
      </c>
      <c r="AI45" s="835" t="s">
        <v>701</v>
      </c>
      <c r="AJ45" s="841" t="s">
        <v>593</v>
      </c>
      <c r="AK45" s="842"/>
      <c r="AS45" s="353"/>
      <c r="AW45" s="353"/>
      <c r="AZ45" s="463">
        <f>AZ47-AZ46</f>
        <v>1066.6474427766298</v>
      </c>
      <c r="BA45" s="343"/>
      <c r="BB45" s="580" t="s">
        <v>712</v>
      </c>
      <c r="BC45" s="518">
        <f>'Hảo_R&amp;D (Vảy sạch)'!BR3</f>
        <v>0.13333333333333333</v>
      </c>
    </row>
    <row r="46" spans="10:88" ht="16" x14ac:dyDescent="0.3">
      <c r="K46" s="353"/>
      <c r="U46" s="375"/>
      <c r="V46" s="343"/>
      <c r="Z46" s="353"/>
      <c r="AA46" s="853"/>
      <c r="AB46" s="898"/>
      <c r="AC46" s="898"/>
      <c r="AH46" s="374"/>
      <c r="AI46" s="836"/>
      <c r="AJ46" s="843"/>
      <c r="AK46" s="844"/>
      <c r="AS46" s="353"/>
      <c r="AW46" s="353"/>
      <c r="AZ46" s="466">
        <f>($AH$5*0.855+$AH$41*0.095+$AH$5*0.05)/BA46</f>
        <v>21257.112904374349</v>
      </c>
      <c r="BA46" s="578">
        <f>SUM(BA47:BA49,BA53)</f>
        <v>0.95235331388965472</v>
      </c>
      <c r="BB46" s="343">
        <f>SUM(BA47*BB47,BA49*BB49,BA53*BB53)</f>
        <v>1.0395787442582065</v>
      </c>
      <c r="BD46" s="438">
        <f>(0.855*AK6+AK42*0.095+0.05*AK6)*BA46</f>
        <v>0.77389942729004124</v>
      </c>
      <c r="BE46" s="468">
        <f>($N$5/BD46)*0.905+($N$41/BD46)*0.095</f>
        <v>21241.971746032214</v>
      </c>
      <c r="BF46" s="463">
        <f>BE46-AZ46</f>
        <v>-15.141158342135896</v>
      </c>
      <c r="BG46" s="463"/>
    </row>
    <row r="47" spans="10:88" ht="16" x14ac:dyDescent="0.3">
      <c r="K47" s="353"/>
      <c r="U47" s="375"/>
      <c r="V47" s="343"/>
      <c r="Z47" s="353"/>
      <c r="AH47" s="374">
        <v>0.1333</v>
      </c>
      <c r="AI47" s="845" t="s">
        <v>702</v>
      </c>
      <c r="AJ47" s="841" t="s">
        <v>594</v>
      </c>
      <c r="AK47" s="842"/>
      <c r="AS47" s="353"/>
      <c r="AT47" s="888"/>
      <c r="AU47" s="888"/>
      <c r="AV47" s="349"/>
      <c r="AW47" s="369"/>
      <c r="AX47" s="370"/>
      <c r="AY47" s="370"/>
      <c r="AZ47" s="467">
        <f>$AZ$46/$BB$46*BB47</f>
        <v>22323.760347150979</v>
      </c>
      <c r="BA47" s="577">
        <v>0.94703290431485221</v>
      </c>
      <c r="BB47" s="581">
        <f>BB9</f>
        <v>1.0917431192660549</v>
      </c>
      <c r="BC47" s="426" t="s">
        <v>595</v>
      </c>
      <c r="BD47" s="423"/>
      <c r="BE47" s="376"/>
      <c r="BF47" s="376"/>
      <c r="BG47" s="376"/>
      <c r="BH47" s="376"/>
      <c r="BI47" s="376"/>
      <c r="BS47" s="340" t="s">
        <v>714</v>
      </c>
      <c r="BT47" s="481" t="s">
        <v>713</v>
      </c>
      <c r="BU47" s="411" t="s">
        <v>368</v>
      </c>
      <c r="BV47" s="482">
        <f>BM6*0.9+BM12*0.2</f>
        <v>22340.389349721132</v>
      </c>
      <c r="BW47" s="482">
        <f>BW6</f>
        <v>1864.9499828812825</v>
      </c>
      <c r="BX47" s="482">
        <f>BX6</f>
        <v>1273.8558498087386</v>
      </c>
      <c r="BY47" s="482">
        <f t="shared" ref="BY47:BZ47" si="39">BY6</f>
        <v>2000.939404729972</v>
      </c>
      <c r="BZ47" s="482">
        <f t="shared" si="39"/>
        <v>1376.0623421472308</v>
      </c>
      <c r="CA47" s="476">
        <f>SUM(BV47:BZ47)</f>
        <v>28856.196929288355</v>
      </c>
      <c r="CC47" s="476">
        <f>CA47/$CC$1</f>
        <v>1088.9130916712586</v>
      </c>
      <c r="CD47" s="411"/>
      <c r="CE47" s="482">
        <f>CE6</f>
        <v>162.37096173973626</v>
      </c>
      <c r="CF47" s="482">
        <f t="shared" ref="CF47:CG47" si="40">CF6</f>
        <v>868.9998264569133</v>
      </c>
      <c r="CG47" s="482">
        <f t="shared" si="40"/>
        <v>691.31808646801119</v>
      </c>
      <c r="CH47" s="476">
        <f>SUM(CE47:CG47)</f>
        <v>1722.6888746646607</v>
      </c>
      <c r="CI47" s="476">
        <f>CC47+$CH$1</f>
        <v>1153.920219017095</v>
      </c>
      <c r="CJ47" s="482">
        <f>CC47+$CJ$1</f>
        <v>1228.9130916712586</v>
      </c>
    </row>
    <row r="48" spans="10:88" x14ac:dyDescent="0.3">
      <c r="K48" s="353"/>
      <c r="U48" s="389">
        <f>Z48+AH50</f>
        <v>0.15030831983765647</v>
      </c>
      <c r="V48" s="343"/>
      <c r="Z48" s="390">
        <f>SUM(Z49:Z66)</f>
        <v>9.0660916463949331E-2</v>
      </c>
      <c r="AA48" s="465"/>
      <c r="AH48" s="374"/>
      <c r="AI48" s="845"/>
      <c r="AJ48" s="843"/>
      <c r="AK48" s="844"/>
      <c r="AS48" s="353"/>
      <c r="AT48" s="888"/>
      <c r="AU48" s="888"/>
      <c r="AV48" s="349"/>
      <c r="AW48" s="369"/>
      <c r="AX48" s="377"/>
      <c r="AY48" s="377"/>
      <c r="AZ48" s="469">
        <f>AZ47-AZ49</f>
        <v>562.78387429791837</v>
      </c>
      <c r="BA48" s="356"/>
      <c r="BB48" s="356"/>
      <c r="BC48" s="424"/>
      <c r="BD48" s="425"/>
      <c r="BE48" s="376"/>
      <c r="BF48" s="376"/>
      <c r="BG48" s="376"/>
      <c r="BH48" s="376"/>
      <c r="BI48" s="376"/>
    </row>
    <row r="49" spans="11:73" x14ac:dyDescent="0.3">
      <c r="K49" s="353"/>
      <c r="U49" s="375"/>
      <c r="V49" s="343"/>
      <c r="Z49" s="362">
        <v>4.1730000000000003E-2</v>
      </c>
      <c r="AA49" s="835"/>
      <c r="AB49" s="851" t="s">
        <v>731</v>
      </c>
      <c r="AC49" s="842"/>
      <c r="AH49" s="374"/>
      <c r="AI49" s="853"/>
      <c r="AJ49" s="851"/>
      <c r="AK49" s="851"/>
      <c r="AS49" s="353"/>
      <c r="AT49" s="888"/>
      <c r="AU49" s="888"/>
      <c r="AV49" s="349"/>
      <c r="AW49" s="352"/>
      <c r="AX49" s="894" t="s">
        <v>596</v>
      </c>
      <c r="AY49" s="895"/>
      <c r="AZ49" s="467">
        <f>$AZ$46/$BB$46*BB49</f>
        <v>21760.976472853061</v>
      </c>
      <c r="BA49" s="348">
        <v>5.3204095748025405E-3</v>
      </c>
      <c r="BB49" s="451">
        <f>BB11</f>
        <v>1.0642201834862386</v>
      </c>
      <c r="BC49" s="426" t="s">
        <v>597</v>
      </c>
      <c r="BD49" s="423"/>
      <c r="BE49" s="376"/>
      <c r="BF49" s="376"/>
      <c r="BG49" s="376"/>
      <c r="BH49" s="376"/>
      <c r="BI49" s="376"/>
      <c r="BU49" s="500" t="s">
        <v>682</v>
      </c>
    </row>
    <row r="50" spans="11:73" x14ac:dyDescent="0.3">
      <c r="K50" s="353"/>
      <c r="U50" s="341"/>
      <c r="V50" s="343"/>
      <c r="Z50" s="341"/>
      <c r="AA50" s="836"/>
      <c r="AB50" s="852"/>
      <c r="AC50" s="844"/>
      <c r="AH50" s="391">
        <f>SUM(AH51:AH62)</f>
        <v>5.9647403373707136E-2</v>
      </c>
      <c r="AI50" s="853"/>
      <c r="AJ50" s="852"/>
      <c r="AK50" s="852"/>
      <c r="AS50" s="353"/>
      <c r="AT50" s="888"/>
      <c r="AU50" s="888"/>
      <c r="AV50" s="349"/>
      <c r="AW50" s="349"/>
      <c r="AX50" s="896"/>
      <c r="AY50" s="897"/>
      <c r="BA50" s="361"/>
      <c r="BB50" s="361"/>
      <c r="BC50" s="431"/>
      <c r="BD50" s="432"/>
      <c r="BE50" s="376"/>
      <c r="BF50" s="376"/>
      <c r="BG50" s="376"/>
      <c r="BH50" s="376"/>
      <c r="BI50" s="376"/>
      <c r="BU50" s="500" t="s">
        <v>683</v>
      </c>
    </row>
    <row r="51" spans="11:73" x14ac:dyDescent="0.3">
      <c r="K51" s="353"/>
      <c r="U51" s="341"/>
      <c r="V51" s="343"/>
      <c r="Z51" s="560">
        <v>8.8730000000000007E-3</v>
      </c>
      <c r="AA51" s="835"/>
      <c r="AB51" s="854" t="s">
        <v>598</v>
      </c>
      <c r="AC51" s="855"/>
      <c r="AH51" s="362">
        <v>1.9230707593885918E-3</v>
      </c>
      <c r="AI51" s="345"/>
      <c r="AJ51" s="894" t="s">
        <v>599</v>
      </c>
      <c r="AK51" s="895"/>
      <c r="AM51" s="341"/>
      <c r="AS51" s="353"/>
      <c r="AT51" s="888"/>
      <c r="AU51" s="888"/>
      <c r="AV51" s="349"/>
      <c r="AW51" s="349"/>
      <c r="AX51" s="368"/>
      <c r="AY51" s="368"/>
      <c r="BA51" s="357">
        <v>5.3204095748025405E-3</v>
      </c>
      <c r="BB51" s="357"/>
      <c r="BC51" s="434" t="s">
        <v>600</v>
      </c>
      <c r="BD51" s="434"/>
      <c r="BE51" s="368"/>
      <c r="BF51" s="368"/>
      <c r="BG51" s="368"/>
      <c r="BH51" s="368"/>
      <c r="BI51" s="368"/>
    </row>
    <row r="52" spans="11:73" x14ac:dyDescent="0.3">
      <c r="K52" s="353"/>
      <c r="U52" s="341"/>
      <c r="V52" s="343"/>
      <c r="Z52" s="350"/>
      <c r="AA52" s="836"/>
      <c r="AB52" s="856"/>
      <c r="AC52" s="857"/>
      <c r="AH52" s="343"/>
      <c r="AI52" s="351"/>
      <c r="AJ52" s="896"/>
      <c r="AK52" s="897"/>
      <c r="AM52" s="341"/>
      <c r="AS52" s="353"/>
      <c r="AT52" s="888"/>
      <c r="AU52" s="888"/>
      <c r="AV52" s="349"/>
      <c r="AW52" s="349"/>
      <c r="AX52" s="368"/>
      <c r="AY52" s="368"/>
      <c r="AZ52" s="463">
        <f>AZ49-AZ53</f>
        <v>562.78387429792565</v>
      </c>
      <c r="BA52" s="361"/>
      <c r="BB52" s="361"/>
      <c r="BC52" s="434"/>
      <c r="BD52" s="434"/>
      <c r="BE52" s="368"/>
      <c r="BF52" s="368"/>
      <c r="BG52" s="368"/>
      <c r="BH52" s="368"/>
      <c r="BI52" s="368"/>
    </row>
    <row r="53" spans="11:73" ht="15" customHeight="1" x14ac:dyDescent="0.3">
      <c r="K53" s="353"/>
      <c r="U53" s="341"/>
      <c r="V53" s="343"/>
      <c r="Z53" s="350">
        <v>1.4863671985386871E-2</v>
      </c>
      <c r="AA53" s="835"/>
      <c r="AB53" s="858" t="s">
        <v>568</v>
      </c>
      <c r="AC53" s="859"/>
      <c r="AH53" s="350">
        <v>1.9230707593885918E-3</v>
      </c>
      <c r="AI53" s="345"/>
      <c r="AJ53" s="858" t="s">
        <v>601</v>
      </c>
      <c r="AK53" s="859"/>
      <c r="AM53" s="341"/>
      <c r="AS53" s="353"/>
      <c r="AT53" s="888"/>
      <c r="AU53" s="888"/>
      <c r="AV53" s="349"/>
      <c r="AW53" s="349"/>
      <c r="AX53" s="378"/>
      <c r="AY53" s="378"/>
      <c r="AZ53" s="467">
        <f>$AZ$46/$BB$46*BB53</f>
        <v>21198.192598555135</v>
      </c>
      <c r="BA53" s="357">
        <v>0</v>
      </c>
      <c r="BB53" s="450">
        <f>BB13</f>
        <v>1.036697247706422</v>
      </c>
      <c r="BC53" s="434" t="s">
        <v>590</v>
      </c>
      <c r="BD53" s="434"/>
      <c r="BE53" s="378"/>
      <c r="BF53" s="378"/>
      <c r="BG53" s="378"/>
      <c r="BH53" s="378"/>
      <c r="BI53" s="378"/>
    </row>
    <row r="54" spans="11:73" x14ac:dyDescent="0.3">
      <c r="K54" s="353"/>
      <c r="U54" s="341"/>
      <c r="V54" s="343"/>
      <c r="Z54" s="350"/>
      <c r="AA54" s="836"/>
      <c r="AB54" s="860"/>
      <c r="AC54" s="861"/>
      <c r="AH54" s="343"/>
      <c r="AI54" s="379"/>
      <c r="AJ54" s="860"/>
      <c r="AK54" s="861"/>
      <c r="AM54" s="341"/>
      <c r="AS54" s="353"/>
      <c r="AT54" s="888"/>
      <c r="AU54" s="888"/>
      <c r="AV54" s="349"/>
      <c r="AW54" s="349"/>
      <c r="AX54" s="378"/>
      <c r="AY54" s="378"/>
      <c r="BA54" s="361"/>
      <c r="BB54" s="361"/>
      <c r="BC54" s="434"/>
      <c r="BD54" s="434"/>
      <c r="BE54" s="378"/>
      <c r="BF54" s="378"/>
      <c r="BG54" s="378"/>
      <c r="BH54" s="378"/>
      <c r="BI54" s="378"/>
    </row>
    <row r="55" spans="11:73" ht="15" customHeight="1" x14ac:dyDescent="0.3">
      <c r="K55" s="353"/>
      <c r="U55" s="341"/>
      <c r="V55" s="343"/>
      <c r="Z55" s="350">
        <v>1.6055212918750891E-2</v>
      </c>
      <c r="AA55" s="835"/>
      <c r="AB55" s="851" t="s">
        <v>572</v>
      </c>
      <c r="AC55" s="842"/>
      <c r="AH55" s="350">
        <v>1.9230707593885918E-3</v>
      </c>
      <c r="AI55" s="845"/>
      <c r="AJ55" s="841" t="s">
        <v>575</v>
      </c>
      <c r="AK55" s="842"/>
      <c r="AM55" s="341"/>
      <c r="AS55" s="353"/>
      <c r="AT55" s="888"/>
      <c r="AU55" s="888"/>
      <c r="AV55" s="349"/>
      <c r="AW55" s="349"/>
      <c r="BA55" s="357"/>
      <c r="BB55" s="350"/>
      <c r="BC55" s="368"/>
      <c r="BD55" s="368"/>
    </row>
    <row r="56" spans="11:73" x14ac:dyDescent="0.3">
      <c r="K56" s="353"/>
      <c r="U56" s="341"/>
      <c r="V56" s="343"/>
      <c r="W56" s="341"/>
      <c r="Z56" s="350"/>
      <c r="AA56" s="836"/>
      <c r="AB56" s="852"/>
      <c r="AC56" s="844"/>
      <c r="AH56" s="343"/>
      <c r="AI56" s="845"/>
      <c r="AJ56" s="843"/>
      <c r="AK56" s="844"/>
      <c r="AS56" s="353"/>
      <c r="AT56" s="888"/>
      <c r="AU56" s="888"/>
      <c r="AV56" s="349"/>
      <c r="AW56" s="349"/>
      <c r="BA56" s="361"/>
      <c r="BB56" s="343"/>
      <c r="BC56" s="436"/>
      <c r="BD56" s="436"/>
    </row>
    <row r="57" spans="11:73" ht="17.25" customHeight="1" x14ac:dyDescent="0.3">
      <c r="K57" s="353"/>
      <c r="V57" s="343"/>
      <c r="Z57" s="350">
        <v>2.5637066536927573E-3</v>
      </c>
      <c r="AA57" s="835"/>
      <c r="AB57" s="841" t="s">
        <v>565</v>
      </c>
      <c r="AC57" s="842"/>
      <c r="AH57" s="350">
        <v>1.4423030695414438E-3</v>
      </c>
      <c r="AI57" s="845"/>
      <c r="AJ57" s="841" t="s">
        <v>583</v>
      </c>
      <c r="AK57" s="842"/>
      <c r="AS57" s="353"/>
      <c r="BA57" s="361"/>
      <c r="BB57" s="343"/>
    </row>
    <row r="58" spans="11:73" ht="15.75" customHeight="1" x14ac:dyDescent="0.3">
      <c r="K58" s="353"/>
      <c r="V58" s="343"/>
      <c r="Z58" s="350"/>
      <c r="AA58" s="836"/>
      <c r="AB58" s="843"/>
      <c r="AC58" s="844"/>
      <c r="AH58" s="350"/>
      <c r="AI58" s="845"/>
      <c r="AJ58" s="843"/>
      <c r="AK58" s="844"/>
      <c r="AS58" s="353"/>
      <c r="BA58" s="361"/>
      <c r="BB58" s="343"/>
    </row>
    <row r="59" spans="11:73" x14ac:dyDescent="0.3">
      <c r="K59" s="353"/>
      <c r="V59" s="343"/>
      <c r="Z59" s="350">
        <v>3.4959636186719417E-3</v>
      </c>
      <c r="AA59" s="835"/>
      <c r="AB59" s="841" t="s">
        <v>571</v>
      </c>
      <c r="AC59" s="842"/>
      <c r="AH59" s="350">
        <v>2.9358880259999168E-3</v>
      </c>
      <c r="AI59" s="845"/>
      <c r="AJ59" s="846" t="s">
        <v>602</v>
      </c>
      <c r="AK59" s="847"/>
      <c r="AS59" s="353"/>
      <c r="BA59" s="362">
        <v>3.2406131046524562E-3</v>
      </c>
      <c r="BB59" s="362"/>
      <c r="BC59" s="431" t="s">
        <v>603</v>
      </c>
      <c r="BD59" s="430"/>
    </row>
    <row r="60" spans="11:73" x14ac:dyDescent="0.3">
      <c r="K60" s="353"/>
      <c r="V60" s="343"/>
      <c r="Z60" s="380"/>
      <c r="AA60" s="836"/>
      <c r="AB60" s="843"/>
      <c r="AC60" s="844"/>
      <c r="AH60" s="350"/>
      <c r="AI60" s="845"/>
      <c r="AJ60" s="848"/>
      <c r="AK60" s="849"/>
      <c r="AS60" s="353"/>
      <c r="BA60" s="343"/>
      <c r="BB60" s="343"/>
      <c r="BC60" s="430"/>
      <c r="BD60" s="430"/>
    </row>
    <row r="61" spans="11:73" ht="17.25" customHeight="1" x14ac:dyDescent="0.3">
      <c r="K61" s="353"/>
      <c r="V61" s="343"/>
      <c r="Z61" s="350">
        <v>2.2665497461056422E-3</v>
      </c>
      <c r="AA61" s="835"/>
      <c r="AB61" s="851" t="s">
        <v>574</v>
      </c>
      <c r="AC61" s="842"/>
      <c r="AH61" s="388">
        <v>4.9500000000000002E-2</v>
      </c>
      <c r="AI61" s="845"/>
      <c r="AJ61" s="837" t="s">
        <v>482</v>
      </c>
      <c r="AK61" s="838"/>
      <c r="AS61" s="353"/>
      <c r="BA61" s="577">
        <v>1.6164371635445537E-2</v>
      </c>
      <c r="BB61" s="577"/>
      <c r="BC61" s="431" t="s">
        <v>576</v>
      </c>
      <c r="BD61" s="432"/>
    </row>
    <row r="62" spans="11:73" x14ac:dyDescent="0.3">
      <c r="K62" s="353"/>
      <c r="V62" s="343"/>
      <c r="Z62" s="343"/>
      <c r="AA62" s="884"/>
      <c r="AB62" s="898"/>
      <c r="AC62" s="887"/>
      <c r="AI62" s="845"/>
      <c r="AJ62" s="839"/>
      <c r="AK62" s="840"/>
      <c r="AS62" s="353"/>
      <c r="BA62" s="343"/>
      <c r="BB62" s="343"/>
      <c r="BC62" s="424"/>
      <c r="BD62" s="425"/>
    </row>
    <row r="63" spans="11:73" x14ac:dyDescent="0.3">
      <c r="K63" s="353"/>
      <c r="V63" s="343"/>
      <c r="Z63" s="350">
        <v>8.1281154134122649E-4</v>
      </c>
      <c r="AA63" s="845"/>
      <c r="AB63" s="850" t="s">
        <v>577</v>
      </c>
      <c r="AC63" s="850"/>
      <c r="AH63" s="341"/>
      <c r="AS63" s="353"/>
      <c r="BA63" s="350">
        <v>7.6178591639218191E-3</v>
      </c>
      <c r="BB63" s="350"/>
      <c r="BC63" s="422" t="s">
        <v>579</v>
      </c>
      <c r="BD63" s="423"/>
    </row>
    <row r="64" spans="11:73" x14ac:dyDescent="0.3">
      <c r="K64" s="353"/>
      <c r="V64" s="343"/>
      <c r="AA64" s="845"/>
      <c r="AB64" s="850"/>
      <c r="AC64" s="850"/>
      <c r="AH64" s="341"/>
      <c r="AS64" s="353"/>
      <c r="BA64" s="343"/>
      <c r="BB64" s="343"/>
      <c r="BC64" s="424"/>
      <c r="BD64" s="425"/>
    </row>
    <row r="65" spans="10:68" x14ac:dyDescent="0.3">
      <c r="K65" s="353"/>
      <c r="V65" s="343"/>
      <c r="Z65" s="350"/>
      <c r="AA65" s="853"/>
      <c r="AB65" s="898"/>
      <c r="AC65" s="898"/>
      <c r="AS65" s="353"/>
      <c r="BA65" s="343"/>
      <c r="BB65" s="343"/>
    </row>
    <row r="66" spans="10:68" x14ac:dyDescent="0.3">
      <c r="K66" s="353"/>
      <c r="M66" s="340" t="s">
        <v>47</v>
      </c>
      <c r="N66" s="453">
        <f>$E$5*$L$71</f>
        <v>213.85983635716829</v>
      </c>
      <c r="V66" s="343"/>
      <c r="AA66" s="853"/>
      <c r="AB66" s="898"/>
      <c r="AC66" s="898"/>
      <c r="AS66" s="353"/>
      <c r="BA66" s="343"/>
      <c r="BB66" s="343"/>
      <c r="BE66" s="409">
        <f>BE67/BE6</f>
        <v>6.7189930629035721E-2</v>
      </c>
    </row>
    <row r="67" spans="10:68" x14ac:dyDescent="0.3">
      <c r="K67" s="353"/>
      <c r="M67" s="340" t="s">
        <v>653</v>
      </c>
      <c r="N67" s="453">
        <f>(($E$5+$H$5)*$G$5/(1-$G$5)+$H$5)*$L$71</f>
        <v>90.226437870484745</v>
      </c>
      <c r="V67" s="343"/>
      <c r="AS67" s="353"/>
      <c r="AZ67" s="463">
        <f>AZ69-AZ68</f>
        <v>3350.5146947607755</v>
      </c>
      <c r="BA67" s="343"/>
      <c r="BB67" s="580" t="s">
        <v>712</v>
      </c>
      <c r="BC67" s="518">
        <f>'Hảo_R&amp;D (Vảy sạch)'!BR4</f>
        <v>0.26666666666666666</v>
      </c>
      <c r="BE67" s="463">
        <f>BE68-BE6</f>
        <v>1475.6816565896879</v>
      </c>
    </row>
    <row r="68" spans="10:68" ht="16" x14ac:dyDescent="0.3">
      <c r="K68" s="353"/>
      <c r="L68" s="340" t="s">
        <v>712</v>
      </c>
      <c r="M68" s="340" t="s">
        <v>655</v>
      </c>
      <c r="N68" s="455">
        <f>N66+N67</f>
        <v>304.08627422765301</v>
      </c>
      <c r="V68" s="343"/>
      <c r="AQ68" s="452">
        <v>26.5</v>
      </c>
      <c r="AS68" s="353"/>
      <c r="AZ68" s="466">
        <f>($AH$5)/BA68</f>
        <v>23438.521069791594</v>
      </c>
      <c r="BA68" s="578">
        <f>SUM(BA69:BA71)</f>
        <v>0.87551020408163283</v>
      </c>
      <c r="BB68" s="343">
        <f>SUM(BA69*BB69,BA71*BB71)</f>
        <v>0.93111776820820091</v>
      </c>
      <c r="BD68" s="439">
        <f>AK6*BA68</f>
        <v>0.70755888184437987</v>
      </c>
      <c r="BE68" s="468">
        <f>($N$5/BD68)</f>
        <v>23438.521069791597</v>
      </c>
      <c r="BF68" s="463">
        <f>BE68-AZ68</f>
        <v>0</v>
      </c>
      <c r="BG68" s="463"/>
    </row>
    <row r="69" spans="10:68" ht="17.5" x14ac:dyDescent="0.35">
      <c r="K69" s="353"/>
      <c r="M69" s="340" t="s">
        <v>724</v>
      </c>
      <c r="N69" s="455">
        <f>N68/($J$71/(1-$G$5))*1000</f>
        <v>13531.839203130559</v>
      </c>
      <c r="V69" s="343"/>
      <c r="Z69" s="343"/>
      <c r="AI69" s="394" t="s">
        <v>712</v>
      </c>
      <c r="AJ69" s="342">
        <f>V71</f>
        <v>0.02</v>
      </c>
      <c r="AK69" s="454">
        <f>N69/AK70</f>
        <v>17494.795201842277</v>
      </c>
      <c r="AM69" s="453">
        <v>6000</v>
      </c>
      <c r="AP69" s="511">
        <f>AK69+AM69</f>
        <v>23494.795201842277</v>
      </c>
      <c r="AQ69" s="512">
        <f>AP69/AQ68</f>
        <v>886.59604535253879</v>
      </c>
      <c r="AS69" s="353"/>
      <c r="AZ69" s="467">
        <f>$AZ$68/$BB$68*BB69</f>
        <v>26789.035764552369</v>
      </c>
      <c r="BA69" s="577">
        <v>0.85306122448979604</v>
      </c>
      <c r="BB69" s="581">
        <f>BB11</f>
        <v>1.0642201834862386</v>
      </c>
      <c r="BC69" s="426" t="s">
        <v>597</v>
      </c>
      <c r="BD69" s="423"/>
    </row>
    <row r="70" spans="10:68" x14ac:dyDescent="0.3">
      <c r="K70" s="353"/>
      <c r="N70" s="460"/>
      <c r="V70" s="343"/>
      <c r="Z70" s="465">
        <f>N69/Z71</f>
        <v>15500.388548832256</v>
      </c>
      <c r="AA70" s="465"/>
      <c r="AH70" s="465">
        <f>Z70/AH71</f>
        <v>17494.795201842277</v>
      </c>
      <c r="AK70" s="388">
        <f>AH71*Z71</f>
        <v>0.773478</v>
      </c>
      <c r="AS70" s="353"/>
      <c r="AZ70" s="469">
        <f>AZ69-AZ71</f>
        <v>692.81989046256058</v>
      </c>
      <c r="BA70" s="356"/>
      <c r="BB70" s="356"/>
      <c r="BC70" s="424"/>
      <c r="BD70" s="425"/>
    </row>
    <row r="71" spans="10:68" x14ac:dyDescent="0.3">
      <c r="J71" s="340">
        <v>20</v>
      </c>
      <c r="K71" s="371">
        <v>0.02</v>
      </c>
      <c r="L71" s="576">
        <f>'Giá mua Chai-Vảy (Giá giảm)'!H16</f>
        <v>1.8925649235147637E-2</v>
      </c>
      <c r="M71" s="866"/>
      <c r="N71" s="868" t="s">
        <v>389</v>
      </c>
      <c r="O71" s="869"/>
      <c r="P71" s="346"/>
      <c r="Q71" s="346"/>
      <c r="R71" s="845"/>
      <c r="S71" s="872" t="s">
        <v>389</v>
      </c>
      <c r="T71" s="873"/>
      <c r="U71" s="347"/>
      <c r="V71" s="381">
        <v>0.02</v>
      </c>
      <c r="W71" s="862" t="s">
        <v>551</v>
      </c>
      <c r="X71" s="863"/>
      <c r="Y71" s="346"/>
      <c r="Z71" s="418">
        <v>0.873</v>
      </c>
      <c r="AA71" s="835"/>
      <c r="AB71" s="841" t="s">
        <v>604</v>
      </c>
      <c r="AC71" s="842"/>
      <c r="AD71" s="346"/>
      <c r="AE71" s="862" t="s">
        <v>557</v>
      </c>
      <c r="AF71" s="863"/>
      <c r="AG71" s="346"/>
      <c r="AH71" s="418">
        <f>SUM(AH72:AH73)</f>
        <v>0.88600000000000001</v>
      </c>
      <c r="AI71" s="835"/>
      <c r="AJ71" s="841" t="s">
        <v>723</v>
      </c>
      <c r="AK71" s="842"/>
      <c r="AL71" s="346"/>
      <c r="AM71" s="862" t="s">
        <v>605</v>
      </c>
      <c r="AN71" s="863"/>
      <c r="AO71" s="346"/>
      <c r="AP71" s="862" t="s">
        <v>381</v>
      </c>
      <c r="AQ71" s="863"/>
      <c r="AS71" s="358"/>
      <c r="AT71" s="862" t="s">
        <v>606</v>
      </c>
      <c r="AU71" s="863"/>
      <c r="AV71" s="359"/>
      <c r="AW71" s="359"/>
      <c r="AX71" s="874" t="s">
        <v>607</v>
      </c>
      <c r="AY71" s="875"/>
      <c r="AZ71" s="467">
        <f>$AZ$68/$BB$68*BB71</f>
        <v>26096.215874089808</v>
      </c>
      <c r="BA71" s="348">
        <v>2.2448979591836733E-2</v>
      </c>
      <c r="BB71" s="451">
        <f>BB13</f>
        <v>1.036697247706422</v>
      </c>
      <c r="BC71" s="426" t="s">
        <v>590</v>
      </c>
      <c r="BD71" s="423"/>
      <c r="BE71" s="349"/>
      <c r="BF71" s="349"/>
      <c r="BG71" s="349"/>
      <c r="BH71" s="349"/>
      <c r="BI71" s="349"/>
      <c r="BJ71" s="349"/>
      <c r="BK71" s="349"/>
      <c r="BL71" s="349"/>
      <c r="BM71" s="349"/>
      <c r="BN71" s="349"/>
      <c r="BO71" s="349"/>
      <c r="BP71" s="349"/>
    </row>
    <row r="72" spans="10:68" x14ac:dyDescent="0.3">
      <c r="K72" s="353"/>
      <c r="M72" s="867"/>
      <c r="N72" s="870"/>
      <c r="O72" s="871"/>
      <c r="R72" s="845"/>
      <c r="S72" s="872"/>
      <c r="T72" s="873"/>
      <c r="U72" s="354"/>
      <c r="V72" s="343"/>
      <c r="W72" s="864"/>
      <c r="X72" s="865"/>
      <c r="Z72" s="361"/>
      <c r="AA72" s="836"/>
      <c r="AB72" s="843"/>
      <c r="AC72" s="844"/>
      <c r="AE72" s="864"/>
      <c r="AF72" s="865"/>
      <c r="AH72" s="361"/>
      <c r="AI72" s="836"/>
      <c r="AJ72" s="843"/>
      <c r="AK72" s="844"/>
      <c r="AM72" s="864"/>
      <c r="AN72" s="865"/>
      <c r="AP72" s="864"/>
      <c r="AQ72" s="865"/>
      <c r="AS72" s="353"/>
      <c r="AT72" s="864"/>
      <c r="AU72" s="865"/>
      <c r="AV72" s="349"/>
      <c r="AW72" s="369"/>
      <c r="AX72" s="876"/>
      <c r="AY72" s="877"/>
      <c r="BA72" s="361"/>
      <c r="BB72" s="361"/>
      <c r="BC72" s="431"/>
      <c r="BD72" s="432"/>
      <c r="BE72" s="349"/>
      <c r="BF72" s="349"/>
      <c r="BG72" s="349"/>
      <c r="BH72" s="349"/>
      <c r="BI72" s="349"/>
      <c r="BJ72" s="349"/>
      <c r="BK72" s="349"/>
      <c r="BL72" s="349"/>
      <c r="BM72" s="349"/>
      <c r="BN72" s="349"/>
      <c r="BO72" s="349"/>
      <c r="BP72" s="349"/>
    </row>
    <row r="73" spans="10:68" ht="24" customHeight="1" x14ac:dyDescent="0.3">
      <c r="K73" s="353"/>
      <c r="V73" s="343"/>
      <c r="Z73" s="391">
        <f>SUM(Z74:Z89)</f>
        <v>0.12699999999999997</v>
      </c>
      <c r="AA73" s="465"/>
      <c r="AB73" s="898"/>
      <c r="AC73" s="898"/>
      <c r="AH73" s="561">
        <v>0.88600000000000001</v>
      </c>
      <c r="AI73" s="835" t="s">
        <v>700</v>
      </c>
      <c r="AJ73" s="851" t="s">
        <v>722</v>
      </c>
      <c r="AK73" s="851"/>
      <c r="AS73" s="353"/>
      <c r="AW73" s="353"/>
      <c r="BA73" s="357">
        <v>4.4897959183673466E-2</v>
      </c>
      <c r="BB73" s="357"/>
      <c r="BC73" s="434" t="s">
        <v>608</v>
      </c>
      <c r="BD73" s="434"/>
    </row>
    <row r="74" spans="10:68" x14ac:dyDescent="0.3">
      <c r="K74" s="353"/>
      <c r="V74" s="343"/>
      <c r="Z74" s="350">
        <v>1E-3</v>
      </c>
      <c r="AA74" s="845"/>
      <c r="AB74" s="846" t="s">
        <v>574</v>
      </c>
      <c r="AC74" s="847"/>
      <c r="AH74" s="547">
        <f>SUM(AH75:AH89)</f>
        <v>9.0999999999999998E-2</v>
      </c>
      <c r="AI74" s="836"/>
      <c r="AJ74" s="852"/>
      <c r="AK74" s="852"/>
      <c r="AS74" s="353"/>
      <c r="AW74" s="353"/>
      <c r="BA74" s="361"/>
      <c r="BB74" s="361"/>
      <c r="BC74" s="434"/>
      <c r="BD74" s="434"/>
      <c r="BL74" s="341"/>
      <c r="BM74" s="341"/>
      <c r="BN74" s="341"/>
      <c r="BO74" s="341"/>
      <c r="BP74" s="341"/>
    </row>
    <row r="75" spans="10:68" x14ac:dyDescent="0.3">
      <c r="K75" s="353"/>
      <c r="V75" s="343"/>
      <c r="Z75" s="343"/>
      <c r="AA75" s="845"/>
      <c r="AB75" s="848"/>
      <c r="AC75" s="849"/>
      <c r="AH75" s="386">
        <v>5.0000000000000001E-3</v>
      </c>
      <c r="AI75" s="835"/>
      <c r="AJ75" s="841" t="s">
        <v>575</v>
      </c>
      <c r="AK75" s="842"/>
      <c r="AS75" s="353"/>
      <c r="AW75" s="353"/>
      <c r="BA75" s="357"/>
      <c r="BB75" s="350"/>
      <c r="BC75" s="368"/>
      <c r="BD75" s="368"/>
      <c r="BL75" s="341"/>
      <c r="BM75" s="341"/>
      <c r="BN75" s="341"/>
      <c r="BO75" s="341"/>
      <c r="BP75" s="341"/>
    </row>
    <row r="76" spans="10:68" x14ac:dyDescent="0.3">
      <c r="K76" s="353"/>
      <c r="V76" s="343"/>
      <c r="Z76" s="350">
        <v>5.0000000000000001E-3</v>
      </c>
      <c r="AA76" s="845"/>
      <c r="AB76" s="851" t="s">
        <v>572</v>
      </c>
      <c r="AC76" s="842"/>
      <c r="AH76" s="343"/>
      <c r="AI76" s="836"/>
      <c r="AJ76" s="843"/>
      <c r="AK76" s="844"/>
      <c r="AS76" s="353"/>
      <c r="AW76" s="353"/>
      <c r="BA76" s="361"/>
      <c r="BB76" s="343"/>
      <c r="BC76" s="368"/>
      <c r="BD76" s="368"/>
    </row>
    <row r="77" spans="10:68" x14ac:dyDescent="0.3">
      <c r="K77" s="353"/>
      <c r="V77" s="343"/>
      <c r="Z77" s="341"/>
      <c r="AA77" s="845"/>
      <c r="AB77" s="852"/>
      <c r="AC77" s="844"/>
      <c r="AH77" s="350">
        <v>2.8000000000000001E-2</v>
      </c>
      <c r="AI77" s="835"/>
      <c r="AJ77" s="841" t="s">
        <v>578</v>
      </c>
      <c r="AK77" s="842"/>
      <c r="AS77" s="353"/>
      <c r="AW77" s="353"/>
      <c r="BA77" s="357"/>
      <c r="BB77" s="350"/>
      <c r="BC77" s="436"/>
      <c r="BD77" s="436"/>
    </row>
    <row r="78" spans="10:68" x14ac:dyDescent="0.3">
      <c r="K78" s="353"/>
      <c r="V78" s="343"/>
      <c r="Z78" s="350">
        <v>4.2000000000000003E-2</v>
      </c>
      <c r="AA78" s="835"/>
      <c r="AB78" s="841" t="s">
        <v>697</v>
      </c>
      <c r="AC78" s="842"/>
      <c r="AH78" s="343"/>
      <c r="AI78" s="836"/>
      <c r="AJ78" s="843"/>
      <c r="AK78" s="844"/>
      <c r="AS78" s="353"/>
      <c r="AW78" s="353"/>
      <c r="BA78" s="361"/>
      <c r="BB78" s="343"/>
      <c r="BC78" s="436"/>
      <c r="BD78" s="436"/>
    </row>
    <row r="79" spans="10:68" x14ac:dyDescent="0.3">
      <c r="K79" s="353"/>
      <c r="V79" s="343"/>
      <c r="Z79" s="350"/>
      <c r="AA79" s="836"/>
      <c r="AB79" s="843"/>
      <c r="AC79" s="844"/>
      <c r="AH79" s="350">
        <v>0.01</v>
      </c>
      <c r="AI79" s="835"/>
      <c r="AJ79" s="841" t="s">
        <v>599</v>
      </c>
      <c r="AK79" s="842"/>
      <c r="AS79" s="353"/>
      <c r="AW79" s="353"/>
      <c r="BA79" s="361"/>
      <c r="BB79" s="343"/>
    </row>
    <row r="80" spans="10:68" ht="15" customHeight="1" x14ac:dyDescent="0.3">
      <c r="K80" s="353"/>
      <c r="V80" s="343"/>
      <c r="Z80" s="350">
        <v>2.7E-2</v>
      </c>
      <c r="AA80" s="845"/>
      <c r="AB80" s="846" t="s">
        <v>571</v>
      </c>
      <c r="AC80" s="847"/>
      <c r="AH80" s="343"/>
      <c r="AI80" s="836"/>
      <c r="AJ80" s="843"/>
      <c r="AK80" s="844"/>
      <c r="AS80" s="353"/>
      <c r="AW80" s="353"/>
      <c r="BA80" s="361"/>
      <c r="BB80" s="343"/>
    </row>
    <row r="81" spans="10:56" x14ac:dyDescent="0.3">
      <c r="K81" s="353"/>
      <c r="V81" s="343"/>
      <c r="Z81" s="343"/>
      <c r="AA81" s="845"/>
      <c r="AB81" s="848"/>
      <c r="AC81" s="849"/>
      <c r="AH81" s="350">
        <v>7.0000000000000001E-3</v>
      </c>
      <c r="AI81" s="835"/>
      <c r="AJ81" s="841" t="s">
        <v>581</v>
      </c>
      <c r="AK81" s="842"/>
      <c r="AS81" s="353"/>
      <c r="AW81" s="353"/>
      <c r="BA81" s="361"/>
      <c r="BB81" s="343"/>
    </row>
    <row r="82" spans="10:56" x14ac:dyDescent="0.3">
      <c r="K82" s="353"/>
      <c r="V82" s="343"/>
      <c r="Z82" s="350">
        <v>1.2999999999999999E-2</v>
      </c>
      <c r="AA82" s="835"/>
      <c r="AB82" s="841" t="s">
        <v>568</v>
      </c>
      <c r="AC82" s="842"/>
      <c r="AH82" s="343"/>
      <c r="AI82" s="836"/>
      <c r="AJ82" s="843"/>
      <c r="AK82" s="844"/>
      <c r="AS82" s="353"/>
      <c r="AW82" s="353"/>
      <c r="BA82" s="361"/>
      <c r="BB82" s="343"/>
    </row>
    <row r="83" spans="10:56" x14ac:dyDescent="0.3">
      <c r="K83" s="353"/>
      <c r="V83" s="343"/>
      <c r="Z83" s="343"/>
      <c r="AA83" s="836"/>
      <c r="AB83" s="843"/>
      <c r="AC83" s="844"/>
      <c r="AH83" s="350">
        <v>5.0000000000000001E-3</v>
      </c>
      <c r="AI83" s="835"/>
      <c r="AJ83" s="841" t="s">
        <v>583</v>
      </c>
      <c r="AK83" s="842"/>
      <c r="AS83" s="353"/>
      <c r="AW83" s="353"/>
      <c r="BA83" s="361"/>
      <c r="BB83" s="343"/>
    </row>
    <row r="84" spans="10:56" x14ac:dyDescent="0.3">
      <c r="K84" s="353"/>
      <c r="V84" s="343"/>
      <c r="Z84" s="350">
        <v>0.01</v>
      </c>
      <c r="AA84" s="835"/>
      <c r="AB84" s="923" t="s">
        <v>698</v>
      </c>
      <c r="AC84" s="924"/>
      <c r="AH84" s="343"/>
      <c r="AI84" s="836"/>
      <c r="AJ84" s="843"/>
      <c r="AK84" s="844"/>
      <c r="AS84" s="353"/>
      <c r="AW84" s="353"/>
      <c r="BA84" s="361"/>
      <c r="BB84" s="343"/>
    </row>
    <row r="85" spans="10:56" x14ac:dyDescent="0.3">
      <c r="K85" s="353"/>
      <c r="V85" s="343"/>
      <c r="Z85" s="343"/>
      <c r="AA85" s="836"/>
      <c r="AB85" s="925"/>
      <c r="AC85" s="926"/>
      <c r="AH85" s="350">
        <v>4.0000000000000001E-3</v>
      </c>
      <c r="AI85" s="835"/>
      <c r="AJ85" s="841" t="s">
        <v>705</v>
      </c>
      <c r="AK85" s="842"/>
      <c r="AS85" s="353"/>
      <c r="AW85" s="353"/>
      <c r="BA85" s="361"/>
      <c r="BB85" s="343"/>
    </row>
    <row r="86" spans="10:56" x14ac:dyDescent="0.3">
      <c r="K86" s="353"/>
      <c r="V86" s="343"/>
      <c r="Z86" s="350">
        <v>8.0000000000000002E-3</v>
      </c>
      <c r="AA86" s="845"/>
      <c r="AB86" s="846" t="s">
        <v>699</v>
      </c>
      <c r="AC86" s="847"/>
      <c r="AH86" s="343"/>
      <c r="AI86" s="836"/>
      <c r="AJ86" s="843"/>
      <c r="AK86" s="844"/>
      <c r="AS86" s="353"/>
      <c r="AW86" s="353"/>
      <c r="BA86" s="361"/>
      <c r="BB86" s="343"/>
    </row>
    <row r="87" spans="10:56" x14ac:dyDescent="0.3">
      <c r="K87" s="353"/>
      <c r="V87" s="343"/>
      <c r="Z87" s="343"/>
      <c r="AA87" s="845"/>
      <c r="AB87" s="848"/>
      <c r="AC87" s="849"/>
      <c r="AH87" s="388">
        <v>3.2000000000000001E-2</v>
      </c>
      <c r="AI87" s="835"/>
      <c r="AJ87" s="837" t="s">
        <v>739</v>
      </c>
      <c r="AK87" s="838"/>
      <c r="AS87" s="353"/>
      <c r="AW87" s="353"/>
      <c r="BA87" s="362">
        <v>2.1428571428571429E-2</v>
      </c>
      <c r="BB87" s="362"/>
      <c r="BC87" s="431" t="s">
        <v>576</v>
      </c>
      <c r="BD87" s="430"/>
    </row>
    <row r="88" spans="10:56" ht="15" customHeight="1" x14ac:dyDescent="0.3">
      <c r="K88" s="353"/>
      <c r="V88" s="343"/>
      <c r="Z88" s="350">
        <v>2.1000000000000001E-2</v>
      </c>
      <c r="AA88" s="835"/>
      <c r="AB88" s="846" t="s">
        <v>482</v>
      </c>
      <c r="AC88" s="847"/>
      <c r="AH88" s="343"/>
      <c r="AI88" s="836"/>
      <c r="AJ88" s="839"/>
      <c r="AK88" s="840"/>
      <c r="AS88" s="353"/>
      <c r="AW88" s="353"/>
      <c r="BA88" s="343"/>
      <c r="BB88" s="343"/>
      <c r="BC88" s="430"/>
      <c r="BD88" s="430"/>
    </row>
    <row r="89" spans="10:56" x14ac:dyDescent="0.3">
      <c r="K89" s="353"/>
      <c r="V89" s="343"/>
      <c r="Z89" s="343"/>
      <c r="AA89" s="836"/>
      <c r="AB89" s="848"/>
      <c r="AC89" s="849"/>
      <c r="AH89" s="343"/>
      <c r="AS89" s="353"/>
      <c r="AW89" s="353"/>
      <c r="BA89" s="350">
        <v>2.2448979591836733E-2</v>
      </c>
      <c r="BB89" s="350"/>
      <c r="BC89" s="431" t="s">
        <v>573</v>
      </c>
      <c r="BD89" s="432"/>
    </row>
    <row r="90" spans="10:56" x14ac:dyDescent="0.3">
      <c r="K90" s="353"/>
      <c r="V90" s="343"/>
      <c r="Z90" s="343"/>
      <c r="AA90" s="559"/>
      <c r="AB90" s="562"/>
      <c r="AC90" s="562"/>
      <c r="AH90" s="343"/>
      <c r="AS90" s="353"/>
      <c r="AW90" s="353"/>
      <c r="BA90" s="350"/>
      <c r="BB90" s="350"/>
      <c r="BC90" s="431"/>
      <c r="BD90" s="432"/>
    </row>
    <row r="91" spans="10:56" x14ac:dyDescent="0.3">
      <c r="K91" s="353"/>
      <c r="M91" s="340" t="s">
        <v>47</v>
      </c>
      <c r="N91" s="453">
        <f>$E$5*$L$43</f>
        <v>356.96905016008543</v>
      </c>
      <c r="V91" s="343"/>
      <c r="AH91" s="341"/>
      <c r="AS91" s="353"/>
      <c r="AW91" s="353"/>
      <c r="BA91" s="350"/>
      <c r="BB91" s="350"/>
      <c r="BC91" s="431"/>
      <c r="BD91" s="432"/>
    </row>
    <row r="92" spans="10:56" x14ac:dyDescent="0.3">
      <c r="K92" s="353"/>
      <c r="M92" s="340" t="s">
        <v>653</v>
      </c>
      <c r="N92" s="453">
        <f>(($E$5+$H$5)*$G$5/(1-$G$5)+$H$5)*$L$96</f>
        <v>90.226437870484745</v>
      </c>
      <c r="V92" s="343"/>
      <c r="AS92" s="353"/>
      <c r="AW92" s="353"/>
      <c r="BA92" s="350"/>
      <c r="BB92" s="350"/>
      <c r="BC92" s="431"/>
      <c r="BD92" s="432"/>
    </row>
    <row r="93" spans="10:56" x14ac:dyDescent="0.3">
      <c r="K93" s="353"/>
      <c r="M93" s="340" t="s">
        <v>655</v>
      </c>
      <c r="N93" s="455">
        <f>N91+N92</f>
        <v>447.19548803057017</v>
      </c>
      <c r="V93" s="343"/>
      <c r="AS93" s="353"/>
      <c r="AW93" s="353"/>
      <c r="BA93" s="350"/>
      <c r="BB93" s="350"/>
      <c r="BC93" s="431"/>
      <c r="BD93" s="432"/>
    </row>
    <row r="94" spans="10:56" ht="17.5" x14ac:dyDescent="0.35">
      <c r="K94" s="353"/>
      <c r="M94" s="340" t="s">
        <v>729</v>
      </c>
      <c r="N94" s="455">
        <f>N93/($J$43/(1-$G$5))*1000</f>
        <v>13266.799478240247</v>
      </c>
      <c r="V94" s="343"/>
      <c r="Z94" s="465">
        <f>N94/Z95</f>
        <v>14760.569067913048</v>
      </c>
      <c r="AA94" s="465"/>
      <c r="AH94" s="465">
        <f>Z94/AH95</f>
        <v>16167.107412829186</v>
      </c>
      <c r="AI94" s="394" t="s">
        <v>712</v>
      </c>
      <c r="AJ94" s="342">
        <f>V96</f>
        <v>0.05</v>
      </c>
      <c r="AK94" s="454">
        <f>N94/AK95</f>
        <v>16167.107412829186</v>
      </c>
      <c r="AS94" s="353"/>
      <c r="AW94" s="353"/>
      <c r="BA94" s="350"/>
      <c r="BB94" s="350"/>
      <c r="BC94" s="431"/>
      <c r="BD94" s="432"/>
    </row>
    <row r="95" spans="10:56" x14ac:dyDescent="0.3">
      <c r="K95" s="353"/>
      <c r="V95" s="343"/>
      <c r="Z95" s="417">
        <f>SUM(Z96:Z99)</f>
        <v>0.89880000000000004</v>
      </c>
      <c r="AH95" s="416">
        <f>SUM(AH96:AH101)</f>
        <v>0.91300000000000003</v>
      </c>
      <c r="AK95" s="393">
        <f>Z95*AH95</f>
        <v>0.82060440000000012</v>
      </c>
      <c r="AS95" s="353"/>
      <c r="AW95" s="353"/>
      <c r="BA95" s="350"/>
      <c r="BB95" s="350"/>
      <c r="BC95" s="431"/>
      <c r="BD95" s="432"/>
    </row>
    <row r="96" spans="10:56" x14ac:dyDescent="0.3">
      <c r="J96" s="340">
        <v>20</v>
      </c>
      <c r="K96" s="371">
        <v>0.02</v>
      </c>
      <c r="L96" s="457">
        <f>'Giá mua Chai-Vảy (Giá giảm)'!H17</f>
        <v>1.8925649235147637E-2</v>
      </c>
      <c r="M96" s="866"/>
      <c r="N96" s="868" t="s">
        <v>728</v>
      </c>
      <c r="O96" s="869"/>
      <c r="P96" s="346"/>
      <c r="Q96" s="346"/>
      <c r="R96" s="845"/>
      <c r="S96" s="872" t="s">
        <v>728</v>
      </c>
      <c r="T96" s="873"/>
      <c r="U96" s="347"/>
      <c r="V96" s="408">
        <v>0.05</v>
      </c>
      <c r="W96" s="862" t="s">
        <v>551</v>
      </c>
      <c r="X96" s="863"/>
      <c r="Y96" s="346"/>
      <c r="Z96" s="348">
        <v>0.59130000000000005</v>
      </c>
      <c r="AA96" s="845"/>
      <c r="AB96" s="850" t="s">
        <v>733</v>
      </c>
      <c r="AC96" s="850"/>
      <c r="AD96" s="346"/>
      <c r="AE96" s="862" t="s">
        <v>557</v>
      </c>
      <c r="AF96" s="863"/>
      <c r="AG96" s="346"/>
      <c r="AH96" s="372">
        <v>7.4999999999999997E-2</v>
      </c>
      <c r="AI96" s="835" t="s">
        <v>700</v>
      </c>
      <c r="AJ96" s="841" t="s">
        <v>735</v>
      </c>
      <c r="AK96" s="842"/>
      <c r="AL96" s="346"/>
      <c r="AM96" s="862" t="s">
        <v>554</v>
      </c>
      <c r="AN96" s="863"/>
      <c r="AO96" s="346"/>
      <c r="AP96" s="862" t="s">
        <v>555</v>
      </c>
      <c r="AQ96" s="863"/>
      <c r="AR96" s="359"/>
      <c r="AS96" s="353"/>
      <c r="AW96" s="353"/>
      <c r="BA96" s="350"/>
      <c r="BB96" s="350"/>
      <c r="BC96" s="431"/>
      <c r="BD96" s="432"/>
    </row>
    <row r="97" spans="11:56" x14ac:dyDescent="0.3">
      <c r="K97" s="353"/>
      <c r="M97" s="867"/>
      <c r="N97" s="870"/>
      <c r="O97" s="871"/>
      <c r="R97" s="845"/>
      <c r="S97" s="872"/>
      <c r="T97" s="873"/>
      <c r="U97" s="354"/>
      <c r="V97" s="343"/>
      <c r="W97" s="864"/>
      <c r="X97" s="865"/>
      <c r="Z97" s="353"/>
      <c r="AA97" s="845"/>
      <c r="AB97" s="850"/>
      <c r="AC97" s="850"/>
      <c r="AE97" s="864"/>
      <c r="AF97" s="865"/>
      <c r="AH97" s="374"/>
      <c r="AI97" s="836"/>
      <c r="AJ97" s="843"/>
      <c r="AK97" s="844"/>
      <c r="AM97" s="864"/>
      <c r="AN97" s="865"/>
      <c r="AP97" s="864"/>
      <c r="AQ97" s="865"/>
      <c r="AR97" s="349"/>
      <c r="AS97" s="353"/>
      <c r="AW97" s="353"/>
      <c r="BA97" s="350"/>
      <c r="BB97" s="350"/>
      <c r="BC97" s="431"/>
      <c r="BD97" s="432"/>
    </row>
    <row r="98" spans="11:56" x14ac:dyDescent="0.3">
      <c r="K98" s="353"/>
      <c r="V98" s="343"/>
      <c r="Z98" s="348">
        <v>0.3075</v>
      </c>
      <c r="AA98" s="845"/>
      <c r="AB98" s="850" t="s">
        <v>734</v>
      </c>
      <c r="AC98" s="850"/>
      <c r="AH98" s="374">
        <v>0.76900000000000002</v>
      </c>
      <c r="AI98" s="835" t="s">
        <v>701</v>
      </c>
      <c r="AJ98" s="841" t="s">
        <v>736</v>
      </c>
      <c r="AK98" s="842"/>
      <c r="AS98" s="353"/>
      <c r="AW98" s="353"/>
      <c r="BA98" s="350"/>
      <c r="BB98" s="350"/>
      <c r="BC98" s="431"/>
      <c r="BD98" s="432"/>
    </row>
    <row r="99" spans="11:56" x14ac:dyDescent="0.3">
      <c r="K99" s="353"/>
      <c r="U99" s="375"/>
      <c r="V99" s="343"/>
      <c r="Z99" s="353"/>
      <c r="AA99" s="845"/>
      <c r="AB99" s="850"/>
      <c r="AC99" s="850"/>
      <c r="AH99" s="374"/>
      <c r="AI99" s="836"/>
      <c r="AJ99" s="843"/>
      <c r="AK99" s="844"/>
      <c r="AS99" s="353"/>
      <c r="AW99" s="353"/>
      <c r="BA99" s="350"/>
      <c r="BB99" s="350"/>
      <c r="BC99" s="431"/>
      <c r="BD99" s="432"/>
    </row>
    <row r="100" spans="11:56" x14ac:dyDescent="0.3">
      <c r="K100" s="353"/>
      <c r="U100" s="375"/>
      <c r="V100" s="343"/>
      <c r="Z100" s="353"/>
      <c r="AH100" s="374">
        <v>6.9000000000000006E-2</v>
      </c>
      <c r="AI100" s="845" t="s">
        <v>702</v>
      </c>
      <c r="AJ100" s="841" t="s">
        <v>737</v>
      </c>
      <c r="AK100" s="842"/>
      <c r="AS100" s="353"/>
      <c r="AW100" s="353"/>
      <c r="BA100" s="350"/>
      <c r="BB100" s="350"/>
      <c r="BC100" s="431"/>
      <c r="BD100" s="432"/>
    </row>
    <row r="101" spans="11:56" x14ac:dyDescent="0.3">
      <c r="K101" s="353"/>
      <c r="U101" s="389">
        <f>Z101+AH103</f>
        <v>0.18111281154134123</v>
      </c>
      <c r="V101" s="343"/>
      <c r="Z101" s="390">
        <f>SUM(Z102:Z119)</f>
        <v>0.10111281154134122</v>
      </c>
      <c r="AA101" s="465"/>
      <c r="AH101" s="374"/>
      <c r="AI101" s="845"/>
      <c r="AJ101" s="843"/>
      <c r="AK101" s="844"/>
      <c r="AS101" s="353"/>
      <c r="AW101" s="353"/>
      <c r="BA101" s="350"/>
      <c r="BB101" s="350"/>
      <c r="BC101" s="431"/>
      <c r="BD101" s="432"/>
    </row>
    <row r="102" spans="11:56" x14ac:dyDescent="0.3">
      <c r="K102" s="353"/>
      <c r="U102" s="375"/>
      <c r="V102" s="343"/>
      <c r="Z102" s="362">
        <v>3.6400000000000002E-2</v>
      </c>
      <c r="AA102" s="835"/>
      <c r="AB102" s="851" t="s">
        <v>732</v>
      </c>
      <c r="AC102" s="842"/>
      <c r="AH102" s="374"/>
      <c r="AI102" s="853"/>
      <c r="AJ102" s="851"/>
      <c r="AK102" s="851"/>
      <c r="AS102" s="353"/>
      <c r="AW102" s="353"/>
      <c r="BA102" s="350"/>
      <c r="BB102" s="350"/>
      <c r="BC102" s="431"/>
      <c r="BD102" s="432"/>
    </row>
    <row r="103" spans="11:56" x14ac:dyDescent="0.3">
      <c r="K103" s="353"/>
      <c r="U103" s="341"/>
      <c r="V103" s="343"/>
      <c r="Z103" s="341"/>
      <c r="AA103" s="836"/>
      <c r="AB103" s="852"/>
      <c r="AC103" s="844"/>
      <c r="AH103" s="391">
        <f>SUM(AH104:AH117)</f>
        <v>8.0000000000000016E-2</v>
      </c>
      <c r="AI103" s="853"/>
      <c r="AJ103" s="852"/>
      <c r="AK103" s="852"/>
      <c r="AS103" s="353"/>
      <c r="AW103" s="353"/>
      <c r="BA103" s="350"/>
      <c r="BB103" s="350"/>
      <c r="BC103" s="431"/>
      <c r="BD103" s="432"/>
    </row>
    <row r="104" spans="11:56" ht="15" customHeight="1" x14ac:dyDescent="0.3">
      <c r="K104" s="353"/>
      <c r="U104" s="341"/>
      <c r="V104" s="343"/>
      <c r="Z104" s="560">
        <v>2.0999999999999999E-3</v>
      </c>
      <c r="AA104" s="835"/>
      <c r="AB104" s="854" t="s">
        <v>598</v>
      </c>
      <c r="AC104" s="855"/>
      <c r="AH104" s="350">
        <v>2E-3</v>
      </c>
      <c r="AI104" s="345"/>
      <c r="AJ104" s="858" t="s">
        <v>601</v>
      </c>
      <c r="AK104" s="859"/>
      <c r="AM104" s="341"/>
      <c r="AS104" s="353"/>
      <c r="AW104" s="353"/>
      <c r="BA104" s="350"/>
      <c r="BB104" s="350"/>
      <c r="BC104" s="431"/>
      <c r="BD104" s="432"/>
    </row>
    <row r="105" spans="11:56" x14ac:dyDescent="0.3">
      <c r="K105" s="353"/>
      <c r="U105" s="341"/>
      <c r="V105" s="343"/>
      <c r="Z105" s="350"/>
      <c r="AA105" s="836"/>
      <c r="AB105" s="856"/>
      <c r="AC105" s="857"/>
      <c r="AH105" s="343"/>
      <c r="AI105" s="379"/>
      <c r="AJ105" s="860"/>
      <c r="AK105" s="861"/>
      <c r="AM105" s="341"/>
      <c r="AS105" s="353"/>
      <c r="AW105" s="353"/>
      <c r="BA105" s="350"/>
      <c r="BB105" s="350"/>
      <c r="BC105" s="431"/>
      <c r="BD105" s="432"/>
    </row>
    <row r="106" spans="11:56" x14ac:dyDescent="0.3">
      <c r="K106" s="353"/>
      <c r="U106" s="341"/>
      <c r="V106" s="343"/>
      <c r="Z106" s="350">
        <v>2.3999999999999998E-3</v>
      </c>
      <c r="AA106" s="835"/>
      <c r="AB106" s="858" t="s">
        <v>568</v>
      </c>
      <c r="AC106" s="859"/>
      <c r="AH106" s="350">
        <v>5.0000000000000001E-3</v>
      </c>
      <c r="AI106" s="345"/>
      <c r="AJ106" s="858" t="s">
        <v>738</v>
      </c>
      <c r="AK106" s="859"/>
      <c r="AM106" s="341"/>
      <c r="AS106" s="353"/>
      <c r="AW106" s="353"/>
      <c r="BA106" s="350"/>
      <c r="BB106" s="350"/>
      <c r="BC106" s="431"/>
      <c r="BD106" s="432"/>
    </row>
    <row r="107" spans="11:56" x14ac:dyDescent="0.3">
      <c r="K107" s="353"/>
      <c r="U107" s="341"/>
      <c r="V107" s="343"/>
      <c r="Z107" s="350"/>
      <c r="AA107" s="836"/>
      <c r="AB107" s="860"/>
      <c r="AC107" s="861"/>
      <c r="AH107" s="343"/>
      <c r="AI107" s="379"/>
      <c r="AJ107" s="860"/>
      <c r="AK107" s="861"/>
      <c r="AM107" s="341"/>
      <c r="AS107" s="353"/>
      <c r="AW107" s="353"/>
      <c r="BA107" s="350"/>
      <c r="BB107" s="350"/>
      <c r="BC107" s="431"/>
      <c r="BD107" s="432"/>
    </row>
    <row r="108" spans="11:56" x14ac:dyDescent="0.3">
      <c r="K108" s="353"/>
      <c r="U108" s="341"/>
      <c r="V108" s="343"/>
      <c r="Z108" s="350">
        <v>7.4000000000000003E-3</v>
      </c>
      <c r="AA108" s="835"/>
      <c r="AB108" s="851" t="s">
        <v>572</v>
      </c>
      <c r="AC108" s="842"/>
      <c r="AH108" s="350">
        <v>3.5000000000000003E-2</v>
      </c>
      <c r="AI108" s="845"/>
      <c r="AJ108" s="841" t="s">
        <v>575</v>
      </c>
      <c r="AK108" s="842"/>
      <c r="AM108" s="341"/>
      <c r="AS108" s="353"/>
      <c r="AW108" s="353"/>
      <c r="BA108" s="350"/>
      <c r="BB108" s="350"/>
      <c r="BC108" s="431"/>
      <c r="BD108" s="432"/>
    </row>
    <row r="109" spans="11:56" x14ac:dyDescent="0.3">
      <c r="K109" s="353"/>
      <c r="U109" s="341"/>
      <c r="V109" s="343"/>
      <c r="W109" s="341"/>
      <c r="Z109" s="350"/>
      <c r="AA109" s="836"/>
      <c r="AB109" s="852"/>
      <c r="AC109" s="844"/>
      <c r="AH109" s="343"/>
      <c r="AI109" s="845"/>
      <c r="AJ109" s="843"/>
      <c r="AK109" s="844"/>
      <c r="AS109" s="353"/>
      <c r="AW109" s="353"/>
      <c r="BA109" s="350"/>
      <c r="BB109" s="350"/>
      <c r="BC109" s="431"/>
      <c r="BD109" s="432"/>
    </row>
    <row r="110" spans="11:56" x14ac:dyDescent="0.3">
      <c r="K110" s="353"/>
      <c r="V110" s="343"/>
      <c r="Z110" s="350">
        <v>7.1999999999999998E-3</v>
      </c>
      <c r="AA110" s="835"/>
      <c r="AB110" s="841" t="s">
        <v>571</v>
      </c>
      <c r="AC110" s="842"/>
      <c r="AH110" s="350">
        <v>0.02</v>
      </c>
      <c r="AI110" s="845"/>
      <c r="AJ110" s="841" t="s">
        <v>581</v>
      </c>
      <c r="AK110" s="842"/>
      <c r="AS110" s="353"/>
      <c r="AW110" s="353"/>
      <c r="BA110" s="350"/>
      <c r="BB110" s="350"/>
      <c r="BC110" s="431"/>
      <c r="BD110" s="432"/>
    </row>
    <row r="111" spans="11:56" x14ac:dyDescent="0.3">
      <c r="K111" s="353"/>
      <c r="V111" s="343"/>
      <c r="Z111" s="380"/>
      <c r="AA111" s="836"/>
      <c r="AB111" s="843"/>
      <c r="AC111" s="844"/>
      <c r="AH111" s="350"/>
      <c r="AI111" s="845"/>
      <c r="AJ111" s="843"/>
      <c r="AK111" s="844"/>
      <c r="AS111" s="353"/>
      <c r="AW111" s="353"/>
      <c r="BA111" s="350"/>
      <c r="BB111" s="350"/>
      <c r="BC111" s="431"/>
      <c r="BD111" s="432"/>
    </row>
    <row r="112" spans="11:56" ht="15" customHeight="1" x14ac:dyDescent="0.3">
      <c r="K112" s="353"/>
      <c r="V112" s="343"/>
      <c r="Z112" s="350">
        <v>8.1281154134122649E-4</v>
      </c>
      <c r="AA112" s="835"/>
      <c r="AB112" s="841" t="s">
        <v>574</v>
      </c>
      <c r="AC112" s="842"/>
      <c r="AH112" s="350">
        <v>5.0000000000000001E-3</v>
      </c>
      <c r="AI112" s="845"/>
      <c r="AJ112" s="846" t="s">
        <v>602</v>
      </c>
      <c r="AK112" s="847"/>
      <c r="AS112" s="353"/>
      <c r="AW112" s="353"/>
      <c r="BA112" s="350"/>
      <c r="BB112" s="350"/>
      <c r="BC112" s="431"/>
      <c r="BD112" s="432"/>
    </row>
    <row r="113" spans="10:68" x14ac:dyDescent="0.3">
      <c r="K113" s="353"/>
      <c r="V113" s="343"/>
      <c r="Z113" s="343"/>
      <c r="AA113" s="836"/>
      <c r="AB113" s="843"/>
      <c r="AC113" s="844"/>
      <c r="AH113" s="350"/>
      <c r="AI113" s="845"/>
      <c r="AJ113" s="848"/>
      <c r="AK113" s="849"/>
      <c r="AS113" s="353"/>
      <c r="AW113" s="353"/>
      <c r="BA113" s="350"/>
      <c r="BB113" s="350"/>
      <c r="BC113" s="431"/>
      <c r="BD113" s="432"/>
    </row>
    <row r="114" spans="10:68" ht="15" customHeight="1" x14ac:dyDescent="0.3">
      <c r="K114" s="353"/>
      <c r="V114" s="343"/>
      <c r="Z114" s="350">
        <v>1.4E-3</v>
      </c>
      <c r="AA114" s="835"/>
      <c r="AB114" s="841" t="s">
        <v>577</v>
      </c>
      <c r="AC114" s="842"/>
      <c r="AH114" s="350">
        <v>6.0000000000000001E-3</v>
      </c>
      <c r="AI114" s="845"/>
      <c r="AJ114" s="841" t="s">
        <v>622</v>
      </c>
      <c r="AK114" s="842"/>
      <c r="AS114" s="353"/>
      <c r="AW114" s="353"/>
      <c r="BA114" s="350"/>
      <c r="BB114" s="350"/>
      <c r="BC114" s="431"/>
      <c r="BD114" s="432"/>
    </row>
    <row r="115" spans="10:68" x14ac:dyDescent="0.3">
      <c r="K115" s="353"/>
      <c r="V115" s="343"/>
      <c r="AA115" s="836"/>
      <c r="AB115" s="843"/>
      <c r="AC115" s="844"/>
      <c r="AH115" s="350"/>
      <c r="AI115" s="845"/>
      <c r="AJ115" s="843"/>
      <c r="AK115" s="844"/>
      <c r="AS115" s="353"/>
      <c r="AW115" s="353"/>
      <c r="BA115" s="350"/>
      <c r="BB115" s="350"/>
      <c r="BC115" s="431"/>
      <c r="BD115" s="432"/>
    </row>
    <row r="116" spans="10:68" ht="15" customHeight="1" x14ac:dyDescent="0.3">
      <c r="K116" s="353"/>
      <c r="V116" s="343"/>
      <c r="Z116" s="350">
        <v>4.3400000000000001E-2</v>
      </c>
      <c r="AA116" s="835"/>
      <c r="AB116" s="846" t="s">
        <v>482</v>
      </c>
      <c r="AC116" s="847"/>
      <c r="AH116" s="350">
        <v>7.0000000000000001E-3</v>
      </c>
      <c r="AI116" s="845"/>
      <c r="AJ116" s="841" t="s">
        <v>583</v>
      </c>
      <c r="AK116" s="842"/>
      <c r="AS116" s="353"/>
      <c r="AW116" s="353"/>
      <c r="BA116" s="350"/>
      <c r="BB116" s="350"/>
      <c r="BC116" s="431"/>
      <c r="BD116" s="432"/>
    </row>
    <row r="117" spans="10:68" x14ac:dyDescent="0.3">
      <c r="K117" s="353"/>
      <c r="V117" s="343"/>
      <c r="Z117" s="343"/>
      <c r="AA117" s="836"/>
      <c r="AB117" s="848"/>
      <c r="AC117" s="849"/>
      <c r="AH117" s="350"/>
      <c r="AI117" s="845"/>
      <c r="AJ117" s="843"/>
      <c r="AK117" s="844"/>
      <c r="AS117" s="353"/>
      <c r="AW117" s="353"/>
      <c r="BA117" s="350"/>
      <c r="BB117" s="350"/>
      <c r="BC117" s="431"/>
      <c r="BD117" s="432"/>
    </row>
    <row r="118" spans="10:68" ht="15" customHeight="1" x14ac:dyDescent="0.3">
      <c r="K118" s="353"/>
      <c r="V118" s="343"/>
      <c r="Z118" s="350"/>
      <c r="AA118" s="835"/>
      <c r="AB118" s="846"/>
      <c r="AC118" s="847"/>
      <c r="AS118" s="353"/>
      <c r="AW118" s="353"/>
      <c r="BA118" s="350"/>
      <c r="BB118" s="350"/>
      <c r="BC118" s="431"/>
      <c r="BD118" s="432"/>
    </row>
    <row r="119" spans="10:68" x14ac:dyDescent="0.3">
      <c r="K119" s="353"/>
      <c r="N119" s="453"/>
      <c r="V119" s="343"/>
      <c r="Z119" s="343"/>
      <c r="AA119" s="836"/>
      <c r="AB119" s="848"/>
      <c r="AC119" s="849"/>
      <c r="AH119" s="388">
        <v>7.0000000000000001E-3</v>
      </c>
      <c r="AI119" s="845"/>
      <c r="AJ119" s="837" t="s">
        <v>482</v>
      </c>
      <c r="AK119" s="838"/>
      <c r="AS119" s="353"/>
      <c r="AW119" s="353"/>
      <c r="BA119" s="350"/>
      <c r="BB119" s="350"/>
      <c r="BC119" s="431"/>
      <c r="BD119" s="432"/>
    </row>
    <row r="120" spans="10:68" x14ac:dyDescent="0.3">
      <c r="K120" s="353"/>
      <c r="M120" s="340" t="s">
        <v>47</v>
      </c>
      <c r="N120" s="453">
        <f>$E$5*$L$125</f>
        <v>3569.6905016008541</v>
      </c>
      <c r="V120" s="343"/>
      <c r="Z120" s="343"/>
      <c r="AA120" s="559"/>
      <c r="AB120" s="562"/>
      <c r="AC120" s="562"/>
      <c r="AI120" s="845"/>
      <c r="AJ120" s="839"/>
      <c r="AK120" s="840"/>
      <c r="AS120" s="353"/>
      <c r="AW120" s="353"/>
      <c r="BA120" s="350"/>
      <c r="BB120" s="350"/>
      <c r="BC120" s="431"/>
      <c r="BD120" s="432"/>
    </row>
    <row r="121" spans="10:68" x14ac:dyDescent="0.3">
      <c r="K121" s="353"/>
      <c r="M121" s="340" t="s">
        <v>653</v>
      </c>
      <c r="N121" s="453">
        <f>(($E$5+$H$5)*$G$5/(1-$G$5)+$H$5)*$L$125</f>
        <v>1506.035278740422</v>
      </c>
      <c r="V121" s="343"/>
      <c r="Z121" s="343"/>
      <c r="AA121" s="559"/>
      <c r="AB121" s="562"/>
      <c r="AC121" s="562"/>
      <c r="AH121" s="343"/>
      <c r="AS121" s="353"/>
      <c r="AW121" s="353"/>
      <c r="BA121" s="350"/>
      <c r="BB121" s="350"/>
      <c r="BC121" s="431"/>
      <c r="BD121" s="432"/>
    </row>
    <row r="122" spans="10:68" x14ac:dyDescent="0.3">
      <c r="K122" s="353"/>
      <c r="L122" s="340" t="s">
        <v>712</v>
      </c>
      <c r="M122" s="340" t="s">
        <v>655</v>
      </c>
      <c r="N122" s="455">
        <f>N120+N121</f>
        <v>5075.7257803412758</v>
      </c>
      <c r="V122" s="343"/>
      <c r="Z122" s="343"/>
      <c r="AA122" s="559"/>
      <c r="AB122" s="562"/>
      <c r="AC122" s="562"/>
      <c r="AH122" s="343"/>
      <c r="AS122" s="353"/>
      <c r="AW122" s="353"/>
      <c r="BA122" s="350"/>
      <c r="BB122" s="350"/>
      <c r="BC122" s="431"/>
      <c r="BD122" s="432"/>
    </row>
    <row r="123" spans="10:68" ht="17.5" x14ac:dyDescent="0.35">
      <c r="K123" s="353"/>
      <c r="M123" s="340" t="s">
        <v>727</v>
      </c>
      <c r="N123" s="455">
        <f>N122/($J$125/(1-$G$5))*1000</f>
        <v>15057.98648167912</v>
      </c>
      <c r="V123" s="343"/>
      <c r="Z123" s="465">
        <f>N123/Z124</f>
        <v>17833.471285378098</v>
      </c>
      <c r="AA123" s="465"/>
      <c r="AH123" s="465">
        <f>Z123/AH124</f>
        <v>19358.957105273665</v>
      </c>
      <c r="AI123" s="394" t="s">
        <v>712</v>
      </c>
      <c r="AJ123" s="342">
        <f>V125</f>
        <v>0.3</v>
      </c>
      <c r="AK123" s="454">
        <f>N123/AK124</f>
        <v>19358.957105273665</v>
      </c>
      <c r="AS123" s="353"/>
      <c r="AW123" s="353"/>
      <c r="BA123" s="343"/>
      <c r="BB123" s="343"/>
      <c r="BC123" s="424"/>
      <c r="BD123" s="425"/>
    </row>
    <row r="124" spans="10:68" x14ac:dyDescent="0.3">
      <c r="K124" s="353"/>
      <c r="N124" s="460"/>
      <c r="V124" s="343"/>
      <c r="Z124" s="417">
        <f>SUM(Z125:Z127)</f>
        <v>0.84436654203297834</v>
      </c>
      <c r="AH124" s="417">
        <f>SUM(AH125:AH132)</f>
        <v>0.92119999999999991</v>
      </c>
      <c r="AK124" s="393">
        <f>Z124*AH124</f>
        <v>0.77783045852077959</v>
      </c>
      <c r="AS124" s="353"/>
      <c r="AW124" s="353"/>
      <c r="BA124" s="350">
        <v>2.0408163265306121E-2</v>
      </c>
      <c r="BB124" s="350"/>
      <c r="BC124" s="422" t="s">
        <v>579</v>
      </c>
      <c r="BD124" s="423"/>
    </row>
    <row r="125" spans="10:68" ht="20" customHeight="1" x14ac:dyDescent="0.3">
      <c r="J125" s="340">
        <v>300</v>
      </c>
      <c r="K125" s="371">
        <v>0.3</v>
      </c>
      <c r="L125" s="457">
        <f>'Giá mua Chai-Vảy (Giá giảm)'!H18</f>
        <v>0.31590181430096054</v>
      </c>
      <c r="M125" s="866"/>
      <c r="N125" s="868" t="s">
        <v>390</v>
      </c>
      <c r="O125" s="869"/>
      <c r="P125" s="346"/>
      <c r="Q125" s="346"/>
      <c r="R125" s="845"/>
      <c r="S125" s="872" t="s">
        <v>609</v>
      </c>
      <c r="T125" s="873"/>
      <c r="U125" s="347"/>
      <c r="V125" s="408">
        <v>0.3</v>
      </c>
      <c r="W125" s="862" t="s">
        <v>551</v>
      </c>
      <c r="X125" s="863"/>
      <c r="Y125" s="346"/>
      <c r="Z125" s="348">
        <v>0.449642345554147</v>
      </c>
      <c r="AA125" s="835"/>
      <c r="AB125" s="841" t="s">
        <v>610</v>
      </c>
      <c r="AC125" s="842"/>
      <c r="AH125" s="348">
        <v>1.2800000000000001E-2</v>
      </c>
      <c r="AI125" s="835" t="s">
        <v>700</v>
      </c>
      <c r="AJ125" s="841" t="s">
        <v>611</v>
      </c>
      <c r="AK125" s="842"/>
      <c r="AL125" s="346"/>
      <c r="AM125" s="862" t="s">
        <v>554</v>
      </c>
      <c r="AN125" s="863"/>
      <c r="AO125" s="346"/>
      <c r="AP125" s="862" t="s">
        <v>555</v>
      </c>
      <c r="AQ125" s="863"/>
      <c r="AR125" s="359"/>
      <c r="AS125" s="373"/>
      <c r="AT125" s="349"/>
      <c r="AU125" s="349"/>
      <c r="AV125" s="349"/>
      <c r="AW125" s="369"/>
      <c r="AX125" s="349"/>
      <c r="AY125" s="349"/>
      <c r="BA125" s="343"/>
      <c r="BB125" s="343"/>
      <c r="BC125" s="424"/>
      <c r="BD125" s="425"/>
      <c r="BE125" s="382"/>
      <c r="BF125" s="382"/>
      <c r="BG125" s="382"/>
      <c r="BH125" s="382"/>
      <c r="BI125" s="382"/>
      <c r="BJ125" s="382"/>
      <c r="BK125" s="382"/>
      <c r="BL125" s="382"/>
      <c r="BM125" s="382"/>
      <c r="BN125" s="382"/>
      <c r="BO125" s="382"/>
      <c r="BP125" s="382"/>
    </row>
    <row r="126" spans="10:68" x14ac:dyDescent="0.3">
      <c r="M126" s="867"/>
      <c r="N126" s="870"/>
      <c r="O126" s="871"/>
      <c r="R126" s="845"/>
      <c r="S126" s="872"/>
      <c r="T126" s="873"/>
      <c r="U126" s="354"/>
      <c r="V126" s="343"/>
      <c r="W126" s="864"/>
      <c r="X126" s="865"/>
      <c r="Z126" s="361"/>
      <c r="AA126" s="836"/>
      <c r="AB126" s="843"/>
      <c r="AC126" s="844"/>
      <c r="AD126" s="346"/>
      <c r="AE126" s="862" t="s">
        <v>557</v>
      </c>
      <c r="AF126" s="863"/>
      <c r="AG126" s="346"/>
      <c r="AH126" s="361"/>
      <c r="AI126" s="836"/>
      <c r="AJ126" s="843"/>
      <c r="AK126" s="844"/>
      <c r="AM126" s="864"/>
      <c r="AN126" s="865"/>
      <c r="AP126" s="864"/>
      <c r="AQ126" s="865"/>
      <c r="AR126" s="349"/>
      <c r="AS126" s="373"/>
      <c r="AT126" s="349"/>
      <c r="AU126" s="349"/>
      <c r="AV126" s="349"/>
      <c r="AW126" s="369"/>
      <c r="AX126" s="349"/>
      <c r="AY126" s="349"/>
      <c r="AZ126" s="349"/>
      <c r="BA126" s="356"/>
      <c r="BB126" s="356"/>
      <c r="BC126" s="437"/>
      <c r="BD126" s="437"/>
      <c r="BE126" s="382"/>
      <c r="BF126" s="382"/>
      <c r="BG126" s="382"/>
      <c r="BH126" s="382"/>
      <c r="BI126" s="382"/>
      <c r="BJ126" s="382"/>
      <c r="BK126" s="382"/>
      <c r="BL126" s="382"/>
      <c r="BM126" s="382"/>
      <c r="BN126" s="382"/>
      <c r="BO126" s="382"/>
      <c r="BP126" s="382"/>
    </row>
    <row r="127" spans="10:68" ht="15.75" customHeight="1" x14ac:dyDescent="0.3">
      <c r="Z127" s="357">
        <v>0.39472419647883134</v>
      </c>
      <c r="AA127" s="835"/>
      <c r="AB127" s="841" t="s">
        <v>612</v>
      </c>
      <c r="AC127" s="842"/>
      <c r="AE127" s="864"/>
      <c r="AF127" s="865"/>
      <c r="AH127" s="357">
        <v>0.38569999999999999</v>
      </c>
      <c r="AI127" s="835" t="s">
        <v>701</v>
      </c>
      <c r="AJ127" s="841" t="s">
        <v>613</v>
      </c>
      <c r="AK127" s="842"/>
      <c r="AS127" s="353"/>
      <c r="AW127" s="353"/>
      <c r="AZ127" s="463">
        <f>AZ133-AZ128</f>
        <v>1646.8352322865721</v>
      </c>
      <c r="BA127" s="343"/>
      <c r="BB127" s="580" t="s">
        <v>712</v>
      </c>
      <c r="BC127" s="518">
        <f>'Hảo_R&amp;D (Vảy sạch)'!BR4</f>
        <v>0.26666666666666666</v>
      </c>
      <c r="BE127" s="382"/>
      <c r="BF127" s="382"/>
      <c r="BG127" s="382"/>
      <c r="BH127" s="382"/>
      <c r="BI127" s="382"/>
      <c r="BJ127" s="382"/>
      <c r="BK127" s="382"/>
      <c r="BL127" s="382"/>
      <c r="BM127" s="382"/>
      <c r="BN127" s="382"/>
      <c r="BO127" s="382"/>
      <c r="BP127" s="382"/>
    </row>
    <row r="128" spans="10:68" ht="16" x14ac:dyDescent="0.3">
      <c r="Z128" s="361"/>
      <c r="AA128" s="836"/>
      <c r="AB128" s="843"/>
      <c r="AC128" s="844"/>
      <c r="AH128" s="361"/>
      <c r="AI128" s="836"/>
      <c r="AJ128" s="843"/>
      <c r="AK128" s="844"/>
      <c r="AR128" s="382"/>
      <c r="AS128" s="353"/>
      <c r="AW128" s="353"/>
      <c r="AZ128" s="466">
        <f>($AH$5)/BA128</f>
        <v>21525.172411033102</v>
      </c>
      <c r="BA128" s="578">
        <f>SUM(BA129:BA133)</f>
        <v>0.95333333333333337</v>
      </c>
      <c r="BB128" s="581">
        <f>SUM(BA129*BB129,BA131*BB131,BA133*BB133)</f>
        <v>1.0141529051987768</v>
      </c>
      <c r="BD128" s="439">
        <f>AK6*BA128</f>
        <v>0.77045300467499123</v>
      </c>
      <c r="BE128" s="468">
        <f>($N$5/BD128)</f>
        <v>21525.172411033105</v>
      </c>
      <c r="BF128" s="463">
        <f>BE128-AZ128</f>
        <v>0</v>
      </c>
      <c r="BG128" s="463"/>
      <c r="BH128" s="382"/>
      <c r="BI128" s="382"/>
      <c r="BJ128" s="382"/>
      <c r="BK128" s="382"/>
      <c r="BL128" s="382"/>
      <c r="BM128" s="382"/>
      <c r="BN128" s="382"/>
    </row>
    <row r="129" spans="15:59" ht="15.75" customHeight="1" x14ac:dyDescent="0.3">
      <c r="Z129" s="361"/>
      <c r="AH129" s="357">
        <v>0.38119999999999998</v>
      </c>
      <c r="AI129" s="845" t="s">
        <v>702</v>
      </c>
      <c r="AJ129" s="841" t="s">
        <v>614</v>
      </c>
      <c r="AK129" s="842"/>
      <c r="AS129" s="353"/>
      <c r="AT129" s="888"/>
      <c r="AU129" s="888"/>
      <c r="AV129" s="349"/>
      <c r="AW129" s="369"/>
      <c r="AX129" s="370"/>
      <c r="AY129" s="370"/>
      <c r="AZ129" s="467">
        <f>$AZ$128/$BB$128*BB129</f>
        <v>22587.839383404054</v>
      </c>
      <c r="BA129" s="577">
        <v>0.82133333333333336</v>
      </c>
      <c r="BB129" s="581">
        <f>BB11</f>
        <v>1.0642201834862386</v>
      </c>
      <c r="BC129" s="426" t="s">
        <v>588</v>
      </c>
      <c r="BD129" s="440"/>
      <c r="BE129" s="368"/>
      <c r="BF129" s="368"/>
      <c r="BG129" s="368"/>
    </row>
    <row r="130" spans="15:59" ht="20" customHeight="1" x14ac:dyDescent="0.3">
      <c r="U130" s="388" t="s">
        <v>628</v>
      </c>
      <c r="Z130" s="391">
        <f>SUM(Z131:Z154)</f>
        <v>0.15579999999999999</v>
      </c>
      <c r="AA130" s="465"/>
      <c r="AH130" s="361"/>
      <c r="AI130" s="845"/>
      <c r="AJ130" s="843"/>
      <c r="AK130" s="844"/>
      <c r="AS130" s="353"/>
      <c r="AT130" s="888"/>
      <c r="AU130" s="888"/>
      <c r="AV130" s="349"/>
      <c r="AW130" s="369"/>
      <c r="AX130" s="377"/>
      <c r="AY130" s="377"/>
      <c r="AZ130" s="469">
        <f>AZ129-AZ131</f>
        <v>584.16825991562291</v>
      </c>
      <c r="BA130" s="356"/>
      <c r="BB130" s="356"/>
      <c r="BC130" s="428"/>
      <c r="BD130" s="442"/>
      <c r="BE130" s="383"/>
      <c r="BF130" s="383"/>
      <c r="BG130" s="383"/>
    </row>
    <row r="131" spans="15:59" ht="20.5" customHeight="1" x14ac:dyDescent="0.3">
      <c r="Z131" s="362">
        <v>8.0000000000000002E-3</v>
      </c>
      <c r="AA131" s="835"/>
      <c r="AB131" s="841" t="s">
        <v>565</v>
      </c>
      <c r="AC131" s="842"/>
      <c r="AH131" s="357">
        <v>0.14149999999999999</v>
      </c>
      <c r="AI131" s="845" t="s">
        <v>703</v>
      </c>
      <c r="AJ131" s="841" t="s">
        <v>615</v>
      </c>
      <c r="AK131" s="842"/>
      <c r="AS131" s="353"/>
      <c r="AT131" s="888"/>
      <c r="AU131" s="888"/>
      <c r="AV131" s="349"/>
      <c r="AW131" s="352"/>
      <c r="AX131" s="874" t="s">
        <v>616</v>
      </c>
      <c r="AY131" s="875"/>
      <c r="AZ131" s="467">
        <f>$AZ$128/$BB$128*BB131</f>
        <v>22003.671123488431</v>
      </c>
      <c r="BA131" s="348">
        <v>7.3333333333333334E-2</v>
      </c>
      <c r="BB131" s="451">
        <f>BB13</f>
        <v>1.036697247706422</v>
      </c>
      <c r="BC131" s="426" t="s">
        <v>590</v>
      </c>
      <c r="BD131" s="423"/>
      <c r="BE131" s="383"/>
      <c r="BF131" s="383"/>
      <c r="BG131" s="383"/>
    </row>
    <row r="132" spans="15:59" x14ac:dyDescent="0.3">
      <c r="Z132" s="343"/>
      <c r="AA132" s="884"/>
      <c r="AB132" s="886"/>
      <c r="AC132" s="887"/>
      <c r="AH132" s="361"/>
      <c r="AI132" s="845"/>
      <c r="AJ132" s="843"/>
      <c r="AK132" s="844"/>
      <c r="AS132" s="353"/>
      <c r="AT132" s="888"/>
      <c r="AU132" s="888"/>
      <c r="AV132" s="349"/>
      <c r="AW132" s="369"/>
      <c r="AX132" s="876"/>
      <c r="AY132" s="877"/>
      <c r="AZ132" s="463">
        <f>AZ133-AZ129</f>
        <v>584.16825991561927</v>
      </c>
      <c r="BA132" s="361"/>
      <c r="BB132" s="361"/>
      <c r="BC132" s="431"/>
      <c r="BD132" s="432"/>
      <c r="BE132" s="368"/>
      <c r="BF132" s="368"/>
      <c r="BG132" s="368"/>
    </row>
    <row r="133" spans="15:59" ht="16" x14ac:dyDescent="0.3">
      <c r="Z133" s="560">
        <v>1.2E-2</v>
      </c>
      <c r="AA133" s="845"/>
      <c r="AB133" s="922" t="s">
        <v>617</v>
      </c>
      <c r="AC133" s="922"/>
      <c r="AH133" s="357"/>
      <c r="AS133" s="353"/>
      <c r="AT133" s="888"/>
      <c r="AU133" s="888"/>
      <c r="AV133" s="349"/>
      <c r="AW133" s="369"/>
      <c r="AX133" s="368"/>
      <c r="AY133" s="368"/>
      <c r="AZ133" s="467">
        <f>$AZ$128/$BB$128*BB133</f>
        <v>23172.007643319674</v>
      </c>
      <c r="BA133" s="579">
        <v>5.8666666666666666E-2</v>
      </c>
      <c r="BB133" s="582">
        <f>BB9</f>
        <v>1.0917431192660549</v>
      </c>
      <c r="BC133" s="434" t="s">
        <v>582</v>
      </c>
      <c r="BD133" s="434"/>
      <c r="BE133" s="368"/>
      <c r="BF133" s="368"/>
      <c r="BG133" s="368"/>
    </row>
    <row r="134" spans="15:59" ht="15.75" customHeight="1" x14ac:dyDescent="0.3">
      <c r="Z134" s="343"/>
      <c r="AA134" s="845"/>
      <c r="AB134" s="922"/>
      <c r="AC134" s="922"/>
      <c r="AH134" s="361"/>
      <c r="AS134" s="353"/>
      <c r="AT134" s="888"/>
      <c r="AU134" s="888"/>
      <c r="AV134" s="349"/>
      <c r="AW134" s="369"/>
      <c r="AX134" s="368"/>
      <c r="AY134" s="368"/>
      <c r="BA134" s="361"/>
      <c r="BB134" s="361"/>
      <c r="BC134" s="434"/>
      <c r="BD134" s="434"/>
      <c r="BE134" s="384"/>
      <c r="BF134" s="384"/>
      <c r="BG134" s="384"/>
    </row>
    <row r="135" spans="15:59" ht="15" customHeight="1" x14ac:dyDescent="0.3">
      <c r="O135" s="385"/>
      <c r="S135" s="341"/>
      <c r="Z135" s="350">
        <v>5.1999999999999998E-3</v>
      </c>
      <c r="AA135" s="835"/>
      <c r="AB135" s="841" t="s">
        <v>568</v>
      </c>
      <c r="AC135" s="842"/>
      <c r="AH135" s="361"/>
      <c r="AS135" s="353"/>
      <c r="AT135" s="888"/>
      <c r="AU135" s="888"/>
      <c r="AV135" s="349"/>
      <c r="AW135" s="369"/>
      <c r="AX135" s="378"/>
      <c r="AY135" s="378"/>
      <c r="BA135" s="357"/>
      <c r="BB135" s="350"/>
      <c r="BC135" s="368"/>
      <c r="BD135" s="368"/>
      <c r="BE135" s="384"/>
      <c r="BF135" s="384"/>
      <c r="BG135" s="384"/>
    </row>
    <row r="136" spans="15:59" x14ac:dyDescent="0.3">
      <c r="O136" s="385"/>
      <c r="S136" s="341"/>
      <c r="Z136" s="343"/>
      <c r="AA136" s="836"/>
      <c r="AB136" s="843"/>
      <c r="AC136" s="844"/>
      <c r="AH136" s="361"/>
      <c r="AS136" s="353"/>
      <c r="AT136" s="888"/>
      <c r="AU136" s="888"/>
      <c r="AV136" s="349"/>
      <c r="AW136" s="369"/>
      <c r="AX136" s="378"/>
      <c r="AY136" s="378"/>
      <c r="BA136" s="361"/>
      <c r="BB136" s="343"/>
      <c r="BC136" s="368"/>
      <c r="BD136" s="368"/>
      <c r="BE136" s="384"/>
      <c r="BF136" s="384"/>
      <c r="BG136" s="384"/>
    </row>
    <row r="137" spans="15:59" ht="15.75" customHeight="1" x14ac:dyDescent="0.3">
      <c r="O137" s="385"/>
      <c r="S137" s="341"/>
      <c r="Z137" s="350">
        <v>6.4000000000000003E-3</v>
      </c>
      <c r="AA137" s="835"/>
      <c r="AB137" s="841" t="s">
        <v>571</v>
      </c>
      <c r="AC137" s="842"/>
      <c r="AH137" s="361"/>
      <c r="AS137" s="353"/>
      <c r="AT137" s="888"/>
      <c r="AU137" s="888"/>
      <c r="AV137" s="349"/>
      <c r="AW137" s="369"/>
      <c r="BA137" s="357"/>
      <c r="BB137" s="350"/>
      <c r="BC137" s="368"/>
      <c r="BD137" s="368"/>
      <c r="BE137" s="384"/>
      <c r="BF137" s="384"/>
      <c r="BG137" s="384"/>
    </row>
    <row r="138" spans="15:59" ht="17.5" customHeight="1" x14ac:dyDescent="0.3">
      <c r="O138" s="385"/>
      <c r="S138" s="341"/>
      <c r="Z138" s="343"/>
      <c r="AA138" s="836"/>
      <c r="AB138" s="843"/>
      <c r="AC138" s="844"/>
      <c r="AH138" s="391">
        <f>SUM(AH139:AH156)</f>
        <v>7.8800000000000009E-2</v>
      </c>
      <c r="AK138" s="341">
        <f>Z124-AH138-AK124</f>
        <v>-1.226391648780123E-2</v>
      </c>
      <c r="AS138" s="353"/>
      <c r="AT138" s="888"/>
      <c r="AU138" s="888"/>
      <c r="AV138" s="349"/>
      <c r="AW138" s="369"/>
      <c r="BA138" s="361"/>
      <c r="BB138" s="343"/>
      <c r="BC138" s="436"/>
      <c r="BD138" s="436"/>
    </row>
    <row r="139" spans="15:59" ht="17.5" customHeight="1" x14ac:dyDescent="0.3">
      <c r="O139" s="385"/>
      <c r="S139" s="341"/>
      <c r="W139" s="341"/>
      <c r="Z139" s="350">
        <v>2.3900000000000001E-2</v>
      </c>
      <c r="AA139" s="835"/>
      <c r="AB139" s="841" t="s">
        <v>618</v>
      </c>
      <c r="AC139" s="842"/>
      <c r="AH139" s="386">
        <v>2.5999999999999999E-2</v>
      </c>
      <c r="AI139" s="835"/>
      <c r="AJ139" s="841" t="s">
        <v>575</v>
      </c>
      <c r="AK139" s="842"/>
      <c r="AS139" s="353"/>
      <c r="AW139" s="353"/>
      <c r="BA139" s="361"/>
      <c r="BB139" s="343"/>
    </row>
    <row r="140" spans="15:59" x14ac:dyDescent="0.3">
      <c r="O140" s="385"/>
      <c r="S140" s="341"/>
      <c r="Z140" s="343"/>
      <c r="AA140" s="836"/>
      <c r="AB140" s="843"/>
      <c r="AC140" s="844"/>
      <c r="AH140" s="343"/>
      <c r="AI140" s="836"/>
      <c r="AJ140" s="843"/>
      <c r="AK140" s="844"/>
      <c r="AS140" s="353"/>
      <c r="AW140" s="353"/>
      <c r="BA140" s="361"/>
      <c r="BB140" s="343"/>
    </row>
    <row r="141" spans="15:59" ht="15.75" customHeight="1" x14ac:dyDescent="0.3">
      <c r="O141" s="385"/>
      <c r="S141" s="341"/>
      <c r="Z141" s="350">
        <v>1.5E-3</v>
      </c>
      <c r="AA141" s="835"/>
      <c r="AB141" s="841" t="s">
        <v>619</v>
      </c>
      <c r="AC141" s="842"/>
      <c r="AH141" s="350">
        <v>2.5000000000000001E-3</v>
      </c>
      <c r="AI141" s="835"/>
      <c r="AJ141" s="841" t="s">
        <v>578</v>
      </c>
      <c r="AK141" s="842"/>
      <c r="AS141" s="353"/>
      <c r="AW141" s="353"/>
      <c r="BA141" s="362">
        <v>1.6066666666666667E-2</v>
      </c>
      <c r="BB141" s="362"/>
      <c r="BC141" s="434" t="s">
        <v>579</v>
      </c>
      <c r="BD141" s="430"/>
    </row>
    <row r="142" spans="15:59" x14ac:dyDescent="0.3">
      <c r="O142" s="385"/>
      <c r="S142" s="341"/>
      <c r="Z142" s="343"/>
      <c r="AA142" s="836"/>
      <c r="AB142" s="843"/>
      <c r="AC142" s="844"/>
      <c r="AH142" s="343"/>
      <c r="AI142" s="836"/>
      <c r="AJ142" s="843"/>
      <c r="AK142" s="844"/>
      <c r="AS142" s="353"/>
      <c r="AW142" s="353"/>
      <c r="BA142" s="343"/>
      <c r="BB142" s="343"/>
      <c r="BC142" s="443"/>
      <c r="BD142" s="443"/>
    </row>
    <row r="143" spans="15:59" ht="15.75" customHeight="1" x14ac:dyDescent="0.3">
      <c r="O143" s="385"/>
      <c r="S143" s="341"/>
      <c r="Z143" s="350">
        <v>4.4999999999999998E-2</v>
      </c>
      <c r="AA143" s="845"/>
      <c r="AB143" s="850" t="s">
        <v>620</v>
      </c>
      <c r="AC143" s="850"/>
      <c r="AH143" s="350">
        <v>4.5999999999999999E-3</v>
      </c>
      <c r="AI143" s="835"/>
      <c r="AJ143" s="841" t="s">
        <v>599</v>
      </c>
      <c r="AK143" s="842"/>
      <c r="AS143" s="353"/>
      <c r="AW143" s="353"/>
      <c r="BA143" s="577">
        <v>1.4666666666666666E-2</v>
      </c>
      <c r="BB143" s="577"/>
      <c r="BC143" s="434" t="s">
        <v>621</v>
      </c>
      <c r="BD143" s="444"/>
    </row>
    <row r="144" spans="15:59" x14ac:dyDescent="0.3">
      <c r="O144" s="385"/>
      <c r="S144" s="341"/>
      <c r="Z144" s="343"/>
      <c r="AA144" s="845"/>
      <c r="AB144" s="850"/>
      <c r="AC144" s="850"/>
      <c r="AH144" s="343"/>
      <c r="AI144" s="836"/>
      <c r="AJ144" s="843"/>
      <c r="AK144" s="844"/>
      <c r="AS144" s="353"/>
      <c r="AW144" s="353"/>
      <c r="BA144" s="343"/>
      <c r="BB144" s="343"/>
      <c r="BC144" s="445"/>
      <c r="BD144" s="446"/>
    </row>
    <row r="145" spans="15:59" ht="15.75" customHeight="1" x14ac:dyDescent="0.3">
      <c r="O145" s="385"/>
      <c r="S145" s="341"/>
      <c r="Z145" s="350">
        <v>3.3999999999999998E-3</v>
      </c>
      <c r="AA145" s="845"/>
      <c r="AB145" s="846" t="s">
        <v>602</v>
      </c>
      <c r="AC145" s="847"/>
      <c r="AH145" s="350">
        <v>8.8000000000000005E-3</v>
      </c>
      <c r="AI145" s="835"/>
      <c r="AJ145" s="841" t="s">
        <v>581</v>
      </c>
      <c r="AK145" s="842"/>
      <c r="AS145" s="353"/>
      <c r="AW145" s="353"/>
      <c r="BA145" s="350"/>
      <c r="BB145" s="580" t="s">
        <v>712</v>
      </c>
      <c r="BC145" s="518">
        <f>'Hảo_R&amp;D (Vảy sạch)'!BR4</f>
        <v>0.26666666666666666</v>
      </c>
      <c r="BD145" s="368"/>
    </row>
    <row r="146" spans="15:59" ht="16" x14ac:dyDescent="0.3">
      <c r="O146" s="385"/>
      <c r="S146" s="341"/>
      <c r="Z146" s="343"/>
      <c r="AA146" s="845"/>
      <c r="AB146" s="848"/>
      <c r="AC146" s="849"/>
      <c r="AH146" s="343"/>
      <c r="AI146" s="836"/>
      <c r="AJ146" s="843"/>
      <c r="AK146" s="844"/>
      <c r="AS146" s="353"/>
      <c r="AW146" s="353"/>
      <c r="AZ146" s="466">
        <f>($AH$5*0.95+$AH$5*0.05)/BA146</f>
        <v>22084.325504161789</v>
      </c>
      <c r="BA146" s="578">
        <f>SUM(BA147:BA149)</f>
        <v>0.92919588426269883</v>
      </c>
      <c r="BB146" s="343"/>
      <c r="BC146" s="368"/>
      <c r="BD146" s="438">
        <f>(0.95*AK6+0.05*AK6)*BA146</f>
        <v>0.75094590310681641</v>
      </c>
      <c r="BE146" s="468">
        <f>($N$5/BD146)*0.95+($N$5/BD146)*0.05</f>
        <v>22084.325504161799</v>
      </c>
      <c r="BF146" s="463">
        <f>BE146-AZ146</f>
        <v>0</v>
      </c>
      <c r="BG146" s="463"/>
    </row>
    <row r="147" spans="15:59" ht="15.75" customHeight="1" x14ac:dyDescent="0.3">
      <c r="Z147" s="350">
        <v>1.5E-3</v>
      </c>
      <c r="AA147" s="845"/>
      <c r="AB147" s="846" t="s">
        <v>574</v>
      </c>
      <c r="AC147" s="847"/>
      <c r="AH147" s="350">
        <v>2.0999999999999999E-3</v>
      </c>
      <c r="AI147" s="835"/>
      <c r="AJ147" s="899" t="s">
        <v>622</v>
      </c>
      <c r="AK147" s="900"/>
      <c r="AS147" s="353"/>
      <c r="AW147" s="353"/>
      <c r="AZ147" s="349"/>
      <c r="BA147" s="577">
        <v>0.92359831869485121</v>
      </c>
      <c r="BB147" s="581">
        <f>BB11</f>
        <v>1.0642201834862386</v>
      </c>
      <c r="BC147" s="426" t="s">
        <v>597</v>
      </c>
      <c r="BD147" s="423"/>
    </row>
    <row r="148" spans="15:59" x14ac:dyDescent="0.3">
      <c r="Z148" s="343"/>
      <c r="AA148" s="845"/>
      <c r="AB148" s="848"/>
      <c r="AC148" s="849"/>
      <c r="AH148" s="343"/>
      <c r="AI148" s="836"/>
      <c r="AJ148" s="901"/>
      <c r="AK148" s="902"/>
      <c r="AS148" s="353"/>
      <c r="AW148" s="353"/>
      <c r="AZ148" s="349"/>
      <c r="BA148" s="356"/>
      <c r="BB148" s="356"/>
      <c r="BC148" s="424"/>
      <c r="BD148" s="425"/>
    </row>
    <row r="149" spans="15:59" ht="15.75" customHeight="1" x14ac:dyDescent="0.3">
      <c r="Z149" s="350">
        <v>8.0000000000000004E-4</v>
      </c>
      <c r="AA149" s="845"/>
      <c r="AB149" s="846" t="s">
        <v>577</v>
      </c>
      <c r="AC149" s="847"/>
      <c r="AH149" s="350">
        <v>5.4000000000000003E-3</v>
      </c>
      <c r="AI149" s="835"/>
      <c r="AJ149" s="841" t="s">
        <v>583</v>
      </c>
      <c r="AK149" s="842"/>
      <c r="AS149" s="353"/>
      <c r="AW149" s="352"/>
      <c r="AX149" s="874" t="s">
        <v>623</v>
      </c>
      <c r="AY149" s="875"/>
      <c r="AZ149" s="346"/>
      <c r="BA149" s="348">
        <v>5.5975655678475837E-3</v>
      </c>
      <c r="BB149" s="451">
        <f>BB13</f>
        <v>1.036697247706422</v>
      </c>
      <c r="BC149" s="426" t="s">
        <v>590</v>
      </c>
      <c r="BD149" s="423"/>
    </row>
    <row r="150" spans="15:59" x14ac:dyDescent="0.3">
      <c r="Z150" s="343"/>
      <c r="AA150" s="845"/>
      <c r="AB150" s="848"/>
      <c r="AC150" s="849"/>
      <c r="AH150" s="343"/>
      <c r="AI150" s="836"/>
      <c r="AJ150" s="843"/>
      <c r="AK150" s="844"/>
      <c r="AS150" s="353"/>
      <c r="AW150" s="369"/>
      <c r="AX150" s="876"/>
      <c r="AY150" s="877"/>
      <c r="BA150" s="361"/>
      <c r="BB150" s="361"/>
      <c r="BC150" s="431"/>
      <c r="BD150" s="432"/>
    </row>
    <row r="151" spans="15:59" ht="15.75" customHeight="1" x14ac:dyDescent="0.3">
      <c r="Z151" s="350">
        <v>4.6800000000000001E-2</v>
      </c>
      <c r="AA151" s="845"/>
      <c r="AB151" s="846" t="s">
        <v>482</v>
      </c>
      <c r="AC151" s="847"/>
      <c r="AH151" s="350">
        <v>2.9999999999999997E-4</v>
      </c>
      <c r="AI151" s="835"/>
      <c r="AJ151" s="841" t="s">
        <v>587</v>
      </c>
      <c r="AK151" s="842"/>
      <c r="AS151" s="353"/>
      <c r="AW151" s="353"/>
      <c r="BA151" s="357">
        <v>0</v>
      </c>
      <c r="BB151" s="357"/>
      <c r="BC151" s="434" t="s">
        <v>608</v>
      </c>
      <c r="BD151" s="434"/>
    </row>
    <row r="152" spans="15:59" x14ac:dyDescent="0.3">
      <c r="Z152" s="343"/>
      <c r="AA152" s="845"/>
      <c r="AB152" s="848"/>
      <c r="AC152" s="849"/>
      <c r="AH152" s="343"/>
      <c r="AI152" s="836"/>
      <c r="AJ152" s="843"/>
      <c r="AK152" s="844"/>
      <c r="AS152" s="353"/>
      <c r="AW152" s="353"/>
      <c r="BA152" s="361"/>
      <c r="BB152" s="361"/>
      <c r="BC152" s="434"/>
      <c r="BD152" s="434"/>
    </row>
    <row r="153" spans="15:59" x14ac:dyDescent="0.3">
      <c r="Z153" s="350">
        <v>2.9999999999999997E-4</v>
      </c>
      <c r="AB153" s="340" t="s">
        <v>601</v>
      </c>
      <c r="AH153" s="350">
        <v>8.0000000000000004E-4</v>
      </c>
      <c r="AI153" s="835"/>
      <c r="AJ153" s="841" t="s">
        <v>589</v>
      </c>
      <c r="AK153" s="842"/>
      <c r="AS153" s="353"/>
      <c r="AW153" s="353"/>
      <c r="BA153" s="357"/>
      <c r="BB153" s="350"/>
      <c r="BC153" s="368"/>
      <c r="BD153" s="368"/>
    </row>
    <row r="154" spans="15:59" x14ac:dyDescent="0.3">
      <c r="Z154" s="350">
        <v>1E-3</v>
      </c>
      <c r="AB154" s="340" t="s">
        <v>619</v>
      </c>
      <c r="AH154" s="343"/>
      <c r="AI154" s="836"/>
      <c r="AJ154" s="843"/>
      <c r="AK154" s="844"/>
      <c r="AS154" s="353"/>
      <c r="AW154" s="353"/>
      <c r="BA154" s="361"/>
      <c r="BB154" s="343"/>
      <c r="BC154" s="368"/>
      <c r="BD154" s="368"/>
    </row>
    <row r="155" spans="15:59" x14ac:dyDescent="0.3">
      <c r="AH155" s="388">
        <v>2.8299999999999999E-2</v>
      </c>
      <c r="AI155" s="835"/>
      <c r="AJ155" s="837" t="s">
        <v>482</v>
      </c>
      <c r="AK155" s="838"/>
      <c r="AS155" s="353"/>
      <c r="AW155" s="353"/>
      <c r="BA155" s="357"/>
      <c r="BB155" s="350"/>
      <c r="BC155" s="436"/>
      <c r="BD155" s="436"/>
    </row>
    <row r="156" spans="15:59" x14ac:dyDescent="0.3">
      <c r="AH156" s="343"/>
      <c r="AI156" s="836"/>
      <c r="AJ156" s="839"/>
      <c r="AK156" s="840"/>
      <c r="AS156" s="353"/>
      <c r="AW156" s="353"/>
      <c r="BA156" s="361"/>
      <c r="BB156" s="343"/>
      <c r="BC156" s="436"/>
      <c r="BD156" s="436"/>
    </row>
    <row r="157" spans="15:59" x14ac:dyDescent="0.3">
      <c r="AS157" s="353"/>
      <c r="AW157" s="353"/>
      <c r="BA157" s="361"/>
      <c r="BB157" s="343"/>
    </row>
    <row r="158" spans="15:59" ht="17.5" x14ac:dyDescent="0.35">
      <c r="Z158" s="465"/>
      <c r="AA158" s="465"/>
      <c r="AH158" s="465">
        <f>Z158/AH159</f>
        <v>0</v>
      </c>
      <c r="AI158" s="394" t="s">
        <v>712</v>
      </c>
      <c r="AK158" s="454">
        <f>N158/AK159</f>
        <v>0</v>
      </c>
      <c r="AR158" s="341"/>
      <c r="AS158" s="353"/>
      <c r="AW158" s="353"/>
      <c r="BA158" s="361"/>
      <c r="BB158" s="343"/>
    </row>
    <row r="159" spans="15:59" x14ac:dyDescent="0.3">
      <c r="Z159" s="389">
        <f>SUM(Z160:Z161)</f>
        <v>0.9093</v>
      </c>
      <c r="AH159" s="413">
        <f>SUM(AH160:AH165)</f>
        <v>0.94030000000000002</v>
      </c>
      <c r="AK159" s="412">
        <f>Z159*AH159</f>
        <v>0.85501479000000002</v>
      </c>
      <c r="AS159" s="353"/>
      <c r="AW159" s="353"/>
      <c r="BA159" s="362">
        <v>2.2135827472851807E-2</v>
      </c>
      <c r="BB159" s="362"/>
      <c r="BC159" s="431" t="s">
        <v>576</v>
      </c>
      <c r="BD159" s="430"/>
    </row>
    <row r="160" spans="15:59" ht="15" customHeight="1" x14ac:dyDescent="0.3">
      <c r="R160" s="835"/>
      <c r="S160" s="918" t="s">
        <v>646</v>
      </c>
      <c r="T160" s="919"/>
      <c r="U160" s="347"/>
      <c r="V160" s="408">
        <v>0.05</v>
      </c>
      <c r="W160" s="862" t="s">
        <v>551</v>
      </c>
      <c r="X160" s="863"/>
      <c r="Y160" s="346"/>
      <c r="Z160" s="348">
        <v>0.9093</v>
      </c>
      <c r="AA160" s="845"/>
      <c r="AB160" s="915" t="s">
        <v>647</v>
      </c>
      <c r="AC160" s="915"/>
      <c r="AD160" s="346"/>
      <c r="AE160" s="862" t="s">
        <v>557</v>
      </c>
      <c r="AF160" s="863"/>
      <c r="AG160" s="346"/>
      <c r="AH160" s="372">
        <v>0.34100000000000003</v>
      </c>
      <c r="AI160" s="835" t="s">
        <v>700</v>
      </c>
      <c r="AJ160" s="903" t="s">
        <v>645</v>
      </c>
      <c r="AK160" s="904"/>
      <c r="AS160" s="353"/>
      <c r="AW160" s="353"/>
      <c r="BA160" s="343"/>
      <c r="BB160" s="343"/>
      <c r="BC160" s="430"/>
      <c r="BD160" s="430"/>
    </row>
    <row r="161" spans="18:59" x14ac:dyDescent="0.3">
      <c r="R161" s="836"/>
      <c r="S161" s="920"/>
      <c r="T161" s="921"/>
      <c r="U161" s="354"/>
      <c r="V161" s="343"/>
      <c r="W161" s="864"/>
      <c r="X161" s="865"/>
      <c r="Z161" s="353"/>
      <c r="AA161" s="845"/>
      <c r="AB161" s="915"/>
      <c r="AC161" s="915"/>
      <c r="AE161" s="864"/>
      <c r="AF161" s="865"/>
      <c r="AH161" s="374"/>
      <c r="AI161" s="836"/>
      <c r="AJ161" s="905"/>
      <c r="AK161" s="906"/>
      <c r="AS161" s="353"/>
      <c r="AW161" s="353"/>
      <c r="BA161" s="350">
        <v>5.5975655678475837E-3</v>
      </c>
      <c r="BB161" s="350"/>
      <c r="BC161" s="431" t="s">
        <v>573</v>
      </c>
      <c r="BD161" s="432"/>
    </row>
    <row r="162" spans="18:59" ht="15" customHeight="1" x14ac:dyDescent="0.3">
      <c r="Z162" s="357">
        <v>0.39472419647883134</v>
      </c>
      <c r="AA162" s="835"/>
      <c r="AB162" s="903" t="s">
        <v>647</v>
      </c>
      <c r="AC162" s="904"/>
      <c r="AH162" s="374">
        <v>0.46600000000000003</v>
      </c>
      <c r="AI162" s="835" t="s">
        <v>701</v>
      </c>
      <c r="AJ162" s="903" t="s">
        <v>645</v>
      </c>
      <c r="AK162" s="904"/>
      <c r="AS162" s="353"/>
      <c r="AW162" s="353"/>
      <c r="BA162" s="343"/>
      <c r="BB162" s="343"/>
      <c r="BC162" s="424"/>
      <c r="BD162" s="425"/>
    </row>
    <row r="163" spans="18:59" x14ac:dyDescent="0.3">
      <c r="Z163" s="361"/>
      <c r="AA163" s="836"/>
      <c r="AB163" s="905"/>
      <c r="AC163" s="906"/>
      <c r="AH163" s="374"/>
      <c r="AI163" s="836"/>
      <c r="AJ163" s="905"/>
      <c r="AK163" s="906"/>
      <c r="AS163" s="353"/>
      <c r="AW163" s="353"/>
      <c r="BA163" s="350">
        <v>1.8329482886715449E-2</v>
      </c>
      <c r="BB163" s="350"/>
      <c r="BC163" s="422" t="s">
        <v>579</v>
      </c>
      <c r="BD163" s="423"/>
    </row>
    <row r="164" spans="18:59" ht="15" customHeight="1" x14ac:dyDescent="0.3">
      <c r="Z164" s="361"/>
      <c r="AB164" s="414"/>
      <c r="AC164" s="414"/>
      <c r="AH164" s="374">
        <v>0.1333</v>
      </c>
      <c r="AI164" s="845" t="s">
        <v>702</v>
      </c>
      <c r="AJ164" s="903" t="s">
        <v>645</v>
      </c>
      <c r="AK164" s="904"/>
      <c r="AS164" s="353"/>
      <c r="AW164" s="369"/>
      <c r="AX164" s="349"/>
      <c r="AY164" s="349"/>
      <c r="BA164" s="343"/>
      <c r="BB164" s="343"/>
      <c r="BC164" s="424"/>
      <c r="BD164" s="425"/>
    </row>
    <row r="165" spans="18:59" x14ac:dyDescent="0.3">
      <c r="Z165" s="391">
        <f>SUM(Z166:Z187)</f>
        <v>0.1084</v>
      </c>
      <c r="AA165" s="465"/>
      <c r="AB165" s="414"/>
      <c r="AC165" s="414"/>
      <c r="AH165" s="374"/>
      <c r="AI165" s="845"/>
      <c r="AJ165" s="905"/>
      <c r="AK165" s="906"/>
      <c r="AS165" s="353"/>
      <c r="AW165" s="353"/>
      <c r="BA165" s="350">
        <v>5.5975655678475837E-3</v>
      </c>
      <c r="BB165" s="350"/>
      <c r="BC165" s="422" t="s">
        <v>621</v>
      </c>
      <c r="BD165" s="444"/>
    </row>
    <row r="166" spans="18:59" x14ac:dyDescent="0.3">
      <c r="Z166" s="362">
        <v>8.0000000000000002E-3</v>
      </c>
      <c r="AA166" s="835"/>
      <c r="AB166" s="903" t="s">
        <v>565</v>
      </c>
      <c r="AC166" s="904"/>
      <c r="AJ166" s="414"/>
      <c r="AK166" s="414"/>
      <c r="AS166" s="353"/>
      <c r="AW166" s="353"/>
      <c r="BA166" s="343"/>
      <c r="BB166" s="343"/>
      <c r="BC166" s="445"/>
      <c r="BD166" s="446"/>
    </row>
    <row r="167" spans="18:59" x14ac:dyDescent="0.3">
      <c r="Z167" s="343"/>
      <c r="AA167" s="884"/>
      <c r="AB167" s="916"/>
      <c r="AC167" s="917"/>
      <c r="AJ167" s="414"/>
      <c r="AK167" s="414"/>
      <c r="AS167" s="353"/>
      <c r="AW167" s="353"/>
      <c r="BA167" s="343"/>
      <c r="BB167" s="343"/>
    </row>
    <row r="168" spans="18:59" x14ac:dyDescent="0.3">
      <c r="Z168" s="350">
        <v>1.2E-2</v>
      </c>
      <c r="AA168" s="845"/>
      <c r="AB168" s="915" t="s">
        <v>617</v>
      </c>
      <c r="AC168" s="915"/>
      <c r="AH168" s="392">
        <f>SUM(AH169:AH184)</f>
        <v>7.8841552977177098E-2</v>
      </c>
      <c r="AJ168" s="414"/>
      <c r="AK168" s="415">
        <f>Z154-AH168-AK154</f>
        <v>-7.7841552977177098E-2</v>
      </c>
      <c r="AS168" s="353"/>
      <c r="AW168" s="353"/>
      <c r="BA168" s="343"/>
      <c r="BB168" s="580" t="s">
        <v>712</v>
      </c>
      <c r="BC168" s="518">
        <f>'Hảo_R&amp;D (Vảy sạch)'!BR4</f>
        <v>0.26666666666666666</v>
      </c>
    </row>
    <row r="169" spans="18:59" ht="16" x14ac:dyDescent="0.3">
      <c r="Z169" s="343"/>
      <c r="AA169" s="845"/>
      <c r="AB169" s="915"/>
      <c r="AC169" s="915"/>
      <c r="AH169" s="386">
        <v>2.6265459645543797E-2</v>
      </c>
      <c r="AI169" s="835"/>
      <c r="AJ169" s="903" t="s">
        <v>575</v>
      </c>
      <c r="AK169" s="904"/>
      <c r="AS169" s="353"/>
      <c r="AW169" s="353"/>
      <c r="AZ169" s="466">
        <f>($AH$5*0.855+$AH$123*0.095+$AH$5*0.05)/BA169</f>
        <v>21707.125553064085</v>
      </c>
      <c r="BA169" s="578">
        <f>SUM(BA170:BA173)</f>
        <v>0.94025817124424804</v>
      </c>
      <c r="BB169" s="343"/>
      <c r="BD169" s="438">
        <f>(0.855*AK6+0.095*AK124+0.05*AK6)*BA169</f>
        <v>0.75717624304690323</v>
      </c>
      <c r="BE169" s="468">
        <f>($N$5/BD169)*0.855+($N$123/BD169)*0.095+($N$5/BD169)*0.05</f>
        <v>21711.127256996155</v>
      </c>
      <c r="BF169" s="463">
        <f>BE169-AZ169</f>
        <v>4.001703932070086</v>
      </c>
      <c r="BG169" s="463"/>
    </row>
    <row r="170" spans="18:59" ht="16" x14ac:dyDescent="0.3">
      <c r="Z170" s="350">
        <v>5.1999999999999998E-3</v>
      </c>
      <c r="AA170" s="835"/>
      <c r="AB170" s="903" t="s">
        <v>568</v>
      </c>
      <c r="AC170" s="904"/>
      <c r="AH170" s="343"/>
      <c r="AI170" s="836"/>
      <c r="AJ170" s="905"/>
      <c r="AK170" s="906"/>
      <c r="AS170" s="353"/>
      <c r="AW170" s="353"/>
      <c r="AZ170" s="349"/>
      <c r="BA170" s="577">
        <v>0.92071469886272783</v>
      </c>
      <c r="BB170" s="581">
        <f>BB11</f>
        <v>1.0642201834862386</v>
      </c>
      <c r="BC170" s="426" t="s">
        <v>597</v>
      </c>
      <c r="BD170" s="423"/>
      <c r="BE170" s="340" t="s">
        <v>640</v>
      </c>
    </row>
    <row r="171" spans="18:59" x14ac:dyDescent="0.3">
      <c r="Z171" s="343"/>
      <c r="AA171" s="836"/>
      <c r="AB171" s="905"/>
      <c r="AC171" s="906"/>
      <c r="AH171" s="350">
        <v>2.4760933316333037E-3</v>
      </c>
      <c r="AI171" s="835"/>
      <c r="AJ171" s="903" t="s">
        <v>578</v>
      </c>
      <c r="AK171" s="904"/>
      <c r="AS171" s="353"/>
      <c r="AW171" s="353"/>
      <c r="AZ171" s="349"/>
      <c r="BA171" s="356"/>
      <c r="BB171" s="356"/>
      <c r="BC171" s="424"/>
      <c r="BD171" s="425"/>
    </row>
    <row r="172" spans="18:59" ht="15.75" customHeight="1" x14ac:dyDescent="0.3">
      <c r="Z172" s="350">
        <v>7.6E-3</v>
      </c>
      <c r="AA172" s="835"/>
      <c r="AB172" s="903" t="s">
        <v>571</v>
      </c>
      <c r="AC172" s="904"/>
      <c r="AH172" s="343"/>
      <c r="AI172" s="836"/>
      <c r="AJ172" s="905"/>
      <c r="AK172" s="906"/>
      <c r="AS172" s="353"/>
      <c r="AW172" s="352"/>
      <c r="AX172" s="894" t="s">
        <v>624</v>
      </c>
      <c r="AY172" s="895"/>
      <c r="AZ172" s="346"/>
      <c r="BA172" s="348">
        <v>1.9543472381520165E-2</v>
      </c>
      <c r="BB172" s="451">
        <f>BB13</f>
        <v>1.036697247706422</v>
      </c>
      <c r="BC172" s="426" t="s">
        <v>590</v>
      </c>
      <c r="BD172" s="423"/>
      <c r="BE172" s="340" t="s">
        <v>641</v>
      </c>
    </row>
    <row r="173" spans="18:59" x14ac:dyDescent="0.3">
      <c r="Z173" s="343"/>
      <c r="AA173" s="836"/>
      <c r="AB173" s="905"/>
      <c r="AC173" s="906"/>
      <c r="AH173" s="350">
        <v>4.5999999999999999E-3</v>
      </c>
      <c r="AI173" s="835"/>
      <c r="AJ173" s="903" t="s">
        <v>599</v>
      </c>
      <c r="AK173" s="904"/>
      <c r="AS173" s="353"/>
      <c r="AW173" s="349"/>
      <c r="AX173" s="896"/>
      <c r="AY173" s="897"/>
      <c r="BA173" s="361"/>
      <c r="BB173" s="361"/>
      <c r="BC173" s="431"/>
      <c r="BD173" s="432"/>
    </row>
    <row r="174" spans="18:59" x14ac:dyDescent="0.3">
      <c r="Z174" s="350">
        <v>2.3900000000000001E-2</v>
      </c>
      <c r="AA174" s="835"/>
      <c r="AB174" s="903" t="s">
        <v>618</v>
      </c>
      <c r="AC174" s="904"/>
      <c r="AH174" s="343"/>
      <c r="AI174" s="836"/>
      <c r="AJ174" s="905"/>
      <c r="AK174" s="906"/>
      <c r="AS174" s="353"/>
      <c r="BA174" s="357">
        <v>4.3429938625600371E-3</v>
      </c>
      <c r="BB174" s="357"/>
      <c r="BC174" s="422" t="s">
        <v>608</v>
      </c>
      <c r="BD174" s="423"/>
      <c r="BE174" s="340" t="s">
        <v>642</v>
      </c>
    </row>
    <row r="175" spans="18:59" x14ac:dyDescent="0.3">
      <c r="Z175" s="343"/>
      <c r="AA175" s="836"/>
      <c r="AB175" s="905"/>
      <c r="AC175" s="906"/>
      <c r="AH175" s="350">
        <v>8.8000000000000005E-3</v>
      </c>
      <c r="AI175" s="835"/>
      <c r="AJ175" s="903" t="s">
        <v>581</v>
      </c>
      <c r="AK175" s="904"/>
      <c r="AS175" s="353"/>
      <c r="BA175" s="361"/>
      <c r="BB175" s="361"/>
      <c r="BC175" s="424"/>
      <c r="BD175" s="425"/>
    </row>
    <row r="176" spans="18:59" ht="15.75" customHeight="1" x14ac:dyDescent="0.3">
      <c r="Z176" s="350">
        <v>1E-3</v>
      </c>
      <c r="AA176" s="835"/>
      <c r="AB176" s="903" t="s">
        <v>619</v>
      </c>
      <c r="AC176" s="904"/>
      <c r="AH176" s="343"/>
      <c r="AI176" s="836"/>
      <c r="AJ176" s="905"/>
      <c r="AK176" s="906"/>
      <c r="AS176" s="353"/>
      <c r="BA176" s="357">
        <v>6.5144907938400557E-3</v>
      </c>
      <c r="BB176" s="357"/>
      <c r="BC176" s="422" t="s">
        <v>600</v>
      </c>
      <c r="BD176" s="423"/>
      <c r="BE176" s="340" t="s">
        <v>643</v>
      </c>
    </row>
    <row r="177" spans="26:56" x14ac:dyDescent="0.3">
      <c r="Z177" s="343"/>
      <c r="AA177" s="836"/>
      <c r="AB177" s="905"/>
      <c r="AC177" s="906"/>
      <c r="AH177" s="350">
        <v>2.0999999999999999E-3</v>
      </c>
      <c r="AI177" s="835"/>
      <c r="AJ177" s="907" t="s">
        <v>622</v>
      </c>
      <c r="AK177" s="908"/>
      <c r="AS177" s="353"/>
      <c r="BA177" s="361"/>
      <c r="BB177" s="361"/>
      <c r="BC177" s="424"/>
      <c r="BD177" s="425"/>
    </row>
    <row r="178" spans="26:56" x14ac:dyDescent="0.3">
      <c r="Z178" s="350">
        <v>4.4999999999999998E-2</v>
      </c>
      <c r="AA178" s="845"/>
      <c r="AB178" s="915" t="s">
        <v>620</v>
      </c>
      <c r="AC178" s="915"/>
      <c r="AH178" s="343"/>
      <c r="AI178" s="836"/>
      <c r="AJ178" s="909"/>
      <c r="AK178" s="910"/>
      <c r="AS178" s="353"/>
      <c r="BA178" s="357"/>
      <c r="BB178" s="350"/>
      <c r="BC178" s="436"/>
      <c r="BD178" s="436"/>
    </row>
    <row r="179" spans="26:56" x14ac:dyDescent="0.3">
      <c r="Z179" s="343"/>
      <c r="AA179" s="845"/>
      <c r="AB179" s="915"/>
      <c r="AC179" s="915"/>
      <c r="AH179" s="350">
        <v>5.4000000000000003E-3</v>
      </c>
      <c r="AI179" s="835"/>
      <c r="AJ179" s="903" t="s">
        <v>583</v>
      </c>
      <c r="AK179" s="904"/>
      <c r="AS179" s="353"/>
      <c r="BA179" s="361"/>
      <c r="BB179" s="343"/>
      <c r="BC179" s="436"/>
      <c r="BD179" s="436"/>
    </row>
    <row r="180" spans="26:56" x14ac:dyDescent="0.3">
      <c r="Z180" s="350">
        <v>3.3999999999999998E-3</v>
      </c>
      <c r="AA180" s="845"/>
      <c r="AB180" s="911" t="s">
        <v>602</v>
      </c>
      <c r="AC180" s="912"/>
      <c r="AH180" s="343"/>
      <c r="AI180" s="836"/>
      <c r="AJ180" s="905"/>
      <c r="AK180" s="906"/>
      <c r="AS180" s="353"/>
      <c r="BA180" s="361"/>
      <c r="BB180" s="343"/>
    </row>
    <row r="181" spans="26:56" x14ac:dyDescent="0.3">
      <c r="Z181" s="343"/>
      <c r="AA181" s="845"/>
      <c r="AB181" s="913"/>
      <c r="AC181" s="914"/>
      <c r="AH181" s="350">
        <v>1.1999999999999999E-3</v>
      </c>
      <c r="AI181" s="835"/>
      <c r="AJ181" s="903" t="s">
        <v>587</v>
      </c>
      <c r="AK181" s="904"/>
      <c r="AS181" s="353"/>
      <c r="BA181" s="361"/>
      <c r="BB181" s="343"/>
    </row>
    <row r="182" spans="26:56" x14ac:dyDescent="0.3">
      <c r="Z182" s="350">
        <v>1.5E-3</v>
      </c>
      <c r="AA182" s="845"/>
      <c r="AB182" s="911" t="s">
        <v>574</v>
      </c>
      <c r="AC182" s="912"/>
      <c r="AH182" s="343"/>
      <c r="AI182" s="836"/>
      <c r="AJ182" s="905"/>
      <c r="AK182" s="906"/>
      <c r="AS182" s="353"/>
      <c r="BA182" s="362">
        <v>2.0044890763833915E-2</v>
      </c>
      <c r="BB182" s="362"/>
      <c r="BC182" s="431" t="s">
        <v>576</v>
      </c>
      <c r="BD182" s="430"/>
    </row>
    <row r="183" spans="26:56" x14ac:dyDescent="0.3">
      <c r="Z183" s="343"/>
      <c r="AA183" s="845"/>
      <c r="AB183" s="913"/>
      <c r="AC183" s="914"/>
      <c r="AH183" s="388">
        <v>2.8000000000000001E-2</v>
      </c>
      <c r="AI183" s="835"/>
      <c r="AJ183" s="911" t="s">
        <v>739</v>
      </c>
      <c r="AK183" s="912"/>
      <c r="AS183" s="353"/>
      <c r="BA183" s="343"/>
      <c r="BB183" s="343"/>
      <c r="BC183" s="430"/>
      <c r="BD183" s="430"/>
    </row>
    <row r="184" spans="26:56" x14ac:dyDescent="0.3">
      <c r="Z184" s="350">
        <v>8.0000000000000004E-4</v>
      </c>
      <c r="AA184" s="845"/>
      <c r="AB184" s="911" t="s">
        <v>577</v>
      </c>
      <c r="AC184" s="912"/>
      <c r="AH184" s="343"/>
      <c r="AI184" s="836"/>
      <c r="AJ184" s="913"/>
      <c r="AK184" s="914"/>
      <c r="AS184" s="353"/>
      <c r="BA184" s="350">
        <v>0</v>
      </c>
      <c r="BB184" s="350"/>
      <c r="BC184" s="431" t="s">
        <v>573</v>
      </c>
      <c r="BD184" s="432"/>
    </row>
    <row r="185" spans="26:56" x14ac:dyDescent="0.3">
      <c r="Z185" s="343"/>
      <c r="AA185" s="845"/>
      <c r="AB185" s="913"/>
      <c r="AC185" s="914"/>
      <c r="AS185" s="353"/>
      <c r="BA185" s="343"/>
      <c r="BB185" s="343"/>
      <c r="BC185" s="424"/>
      <c r="BD185" s="425"/>
    </row>
    <row r="186" spans="26:56" x14ac:dyDescent="0.3">
      <c r="Z186" s="350"/>
      <c r="AA186" s="845"/>
      <c r="AB186" s="846"/>
      <c r="AC186" s="847"/>
      <c r="AS186" s="353"/>
      <c r="BA186" s="350">
        <v>1.2831572775745564E-2</v>
      </c>
      <c r="BB186" s="350"/>
      <c r="BC186" s="422" t="s">
        <v>579</v>
      </c>
      <c r="BD186" s="423"/>
    </row>
    <row r="187" spans="26:56" x14ac:dyDescent="0.3">
      <c r="Z187" s="343"/>
      <c r="AA187" s="845"/>
      <c r="AB187" s="848"/>
      <c r="AC187" s="849"/>
      <c r="AS187" s="353"/>
      <c r="AW187" s="349"/>
      <c r="AX187" s="349"/>
      <c r="AY187" s="349"/>
      <c r="BA187" s="343"/>
      <c r="BB187" s="343"/>
      <c r="BC187" s="424"/>
      <c r="BD187" s="425"/>
    </row>
    <row r="188" spans="26:56" x14ac:dyDescent="0.3">
      <c r="AS188" s="353"/>
      <c r="BA188" s="350">
        <v>0</v>
      </c>
      <c r="BB188" s="350"/>
      <c r="BC188" s="422" t="s">
        <v>621</v>
      </c>
      <c r="BD188" s="444"/>
    </row>
    <row r="189" spans="26:56" x14ac:dyDescent="0.3">
      <c r="AS189" s="353"/>
      <c r="BA189" s="343"/>
      <c r="BB189" s="343"/>
      <c r="BC189" s="445"/>
      <c r="BD189" s="446"/>
    </row>
    <row r="190" spans="26:56" x14ac:dyDescent="0.3">
      <c r="AS190" s="353"/>
      <c r="BA190" s="343"/>
      <c r="BB190" s="343"/>
    </row>
    <row r="191" spans="26:56" x14ac:dyDescent="0.3">
      <c r="AS191" s="353"/>
      <c r="BA191" s="343"/>
      <c r="BB191" s="343"/>
    </row>
    <row r="192" spans="26:56" x14ac:dyDescent="0.3">
      <c r="AS192" s="353"/>
      <c r="BA192" s="343"/>
      <c r="BB192" s="580" t="s">
        <v>712</v>
      </c>
      <c r="BC192" s="518">
        <f>'Hảo_R&amp;D (Vảy sạch)'!BR5</f>
        <v>6.6666666666666666E-2</v>
      </c>
    </row>
    <row r="193" spans="45:59" ht="16" x14ac:dyDescent="0.3">
      <c r="AS193" s="353"/>
      <c r="AZ193" s="466">
        <f>($AH$5*0.3+$AH$41*0.15+$AH$123*0.55+$AH$5*0)/BA193</f>
        <v>20456.108552955662</v>
      </c>
      <c r="BA193" s="578">
        <f>SUM(BA194)</f>
        <v>0.95058803508799916</v>
      </c>
      <c r="BB193" s="343"/>
      <c r="BD193" s="438">
        <f>(0.3*AK6+0.15*AK42+0.55*AK124+0*AK6)*BA193</f>
        <v>0.75905330750481881</v>
      </c>
      <c r="BE193" s="468">
        <f>($N$5/BD193)*0.3+($N$41/BD193)*0.15+($N$123/BD193)*0.55+($N$5/BD193)*0</f>
        <v>20441.028992084575</v>
      </c>
      <c r="BF193" s="463">
        <f>BE193-AZ193</f>
        <v>-15.079560871086869</v>
      </c>
      <c r="BG193" s="463"/>
    </row>
    <row r="194" spans="45:59" ht="16" x14ac:dyDescent="0.3">
      <c r="AS194" s="353"/>
      <c r="AZ194" s="349"/>
      <c r="BA194" s="577">
        <v>0.95058803508799916</v>
      </c>
      <c r="BB194" s="581">
        <f>BB13</f>
        <v>1.036697247706422</v>
      </c>
      <c r="BC194" s="426" t="s">
        <v>590</v>
      </c>
      <c r="BD194" s="423"/>
      <c r="BE194" s="340" t="s">
        <v>640</v>
      </c>
    </row>
    <row r="195" spans="45:59" x14ac:dyDescent="0.3">
      <c r="AS195" s="353"/>
      <c r="AZ195" s="349"/>
      <c r="BA195" s="356"/>
      <c r="BB195" s="356"/>
      <c r="BC195" s="431"/>
      <c r="BD195" s="432"/>
    </row>
    <row r="196" spans="45:59" x14ac:dyDescent="0.3">
      <c r="AS196" s="358"/>
      <c r="AT196" s="862" t="s">
        <v>625</v>
      </c>
      <c r="AU196" s="863"/>
      <c r="AV196" s="359"/>
      <c r="AW196" s="359"/>
      <c r="AX196" s="894" t="s">
        <v>657</v>
      </c>
      <c r="AY196" s="895"/>
      <c r="AZ196" s="346"/>
      <c r="BA196" s="348">
        <v>1.5555076937803624E-2</v>
      </c>
      <c r="BB196" s="350"/>
      <c r="BC196" s="426" t="s">
        <v>626</v>
      </c>
      <c r="BD196" s="423"/>
      <c r="BE196" s="340" t="s">
        <v>642</v>
      </c>
    </row>
    <row r="197" spans="45:59" x14ac:dyDescent="0.3">
      <c r="AT197" s="864"/>
      <c r="AU197" s="865"/>
      <c r="AV197" s="349"/>
      <c r="AW197" s="369"/>
      <c r="AX197" s="896"/>
      <c r="AY197" s="897"/>
      <c r="BA197" s="361"/>
      <c r="BB197" s="361"/>
      <c r="BC197" s="424"/>
      <c r="BD197" s="425"/>
    </row>
    <row r="198" spans="45:59" x14ac:dyDescent="0.3">
      <c r="AW198" s="353"/>
      <c r="BA198" s="357"/>
      <c r="BB198" s="350"/>
      <c r="BC198" s="368"/>
      <c r="BD198" s="368"/>
    </row>
    <row r="199" spans="45:59" x14ac:dyDescent="0.3">
      <c r="AW199" s="353"/>
      <c r="BA199" s="361"/>
      <c r="BB199" s="343"/>
      <c r="BC199" s="368"/>
      <c r="BD199" s="368"/>
    </row>
    <row r="200" spans="45:59" x14ac:dyDescent="0.3">
      <c r="AW200" s="353"/>
      <c r="BA200" s="357"/>
      <c r="BB200" s="350"/>
      <c r="BC200" s="368"/>
      <c r="BD200" s="368"/>
    </row>
    <row r="201" spans="45:59" x14ac:dyDescent="0.3">
      <c r="AW201" s="353"/>
      <c r="BA201" s="361"/>
      <c r="BB201" s="343"/>
      <c r="BC201" s="368"/>
      <c r="BD201" s="368"/>
    </row>
    <row r="202" spans="45:59" x14ac:dyDescent="0.3">
      <c r="AW202" s="353"/>
      <c r="BA202" s="357"/>
      <c r="BB202" s="350"/>
      <c r="BC202" s="436"/>
      <c r="BD202" s="436"/>
    </row>
    <row r="203" spans="45:59" x14ac:dyDescent="0.3">
      <c r="AW203" s="353"/>
      <c r="BA203" s="361"/>
      <c r="BB203" s="343"/>
      <c r="BC203" s="436"/>
      <c r="BD203" s="436"/>
    </row>
    <row r="204" spans="45:59" x14ac:dyDescent="0.3">
      <c r="AW204" s="353"/>
      <c r="BA204" s="361"/>
      <c r="BB204" s="343"/>
    </row>
    <row r="205" spans="45:59" x14ac:dyDescent="0.3">
      <c r="AW205" s="353"/>
      <c r="BA205" s="361"/>
      <c r="BB205" s="343"/>
    </row>
    <row r="206" spans="45:59" x14ac:dyDescent="0.3">
      <c r="AW206" s="353"/>
      <c r="BA206" s="362">
        <v>1.2428107625178484E-2</v>
      </c>
      <c r="BB206" s="362"/>
      <c r="BC206" s="431" t="s">
        <v>576</v>
      </c>
      <c r="BD206" s="430"/>
    </row>
    <row r="207" spans="45:59" x14ac:dyDescent="0.3">
      <c r="AW207" s="353"/>
      <c r="BA207" s="343"/>
      <c r="BB207" s="343"/>
      <c r="BC207" s="430"/>
      <c r="BD207" s="430"/>
    </row>
    <row r="208" spans="45:59" x14ac:dyDescent="0.3">
      <c r="AW208" s="353"/>
      <c r="BA208" s="350">
        <v>0</v>
      </c>
      <c r="BB208" s="350"/>
      <c r="BC208" s="431" t="s">
        <v>573</v>
      </c>
      <c r="BD208" s="432"/>
    </row>
    <row r="209" spans="48:59" x14ac:dyDescent="0.3">
      <c r="AW209" s="353"/>
      <c r="BA209" s="343"/>
      <c r="BB209" s="343"/>
      <c r="BC209" s="424"/>
      <c r="BD209" s="425"/>
    </row>
    <row r="210" spans="48:59" x14ac:dyDescent="0.3">
      <c r="AW210" s="353"/>
      <c r="BA210" s="350">
        <v>5.8497725236184564E-3</v>
      </c>
      <c r="BB210" s="350"/>
      <c r="BC210" s="422" t="s">
        <v>579</v>
      </c>
      <c r="BD210" s="423"/>
    </row>
    <row r="211" spans="48:59" x14ac:dyDescent="0.3">
      <c r="AV211" s="349"/>
      <c r="AW211" s="369"/>
      <c r="AX211" s="349"/>
      <c r="AY211" s="349"/>
      <c r="BA211" s="343"/>
      <c r="BB211" s="343"/>
      <c r="BC211" s="424"/>
      <c r="BD211" s="425"/>
    </row>
    <row r="212" spans="48:59" x14ac:dyDescent="0.3">
      <c r="AV212" s="349"/>
      <c r="AW212" s="369"/>
      <c r="AX212" s="349"/>
      <c r="AY212" s="349"/>
      <c r="AZ212" s="349"/>
      <c r="BA212" s="356"/>
      <c r="BB212" s="356"/>
      <c r="BC212" s="437"/>
      <c r="BD212" s="437"/>
    </row>
    <row r="213" spans="48:59" x14ac:dyDescent="0.3">
      <c r="AW213" s="353"/>
      <c r="BA213" s="343"/>
      <c r="BB213" s="343"/>
    </row>
    <row r="214" spans="48:59" x14ac:dyDescent="0.3">
      <c r="AW214" s="353"/>
      <c r="BA214" s="343"/>
      <c r="BB214" s="580" t="s">
        <v>712</v>
      </c>
      <c r="BC214" s="518">
        <f>'Hảo_R&amp;D (Vảy sạch)'!BR5</f>
        <v>6.6666666666666666E-2</v>
      </c>
    </row>
    <row r="215" spans="48:59" ht="16" x14ac:dyDescent="0.3">
      <c r="AW215" s="353"/>
      <c r="AZ215" s="466">
        <f>($AH$5*0+$AH$41*0.3+$AH$123*0.7+$AH$5*0)/BA215</f>
        <v>21990.583081320605</v>
      </c>
      <c r="BA215" s="578">
        <f>BA216</f>
        <v>0.85648854961832066</v>
      </c>
      <c r="BB215" s="343"/>
      <c r="BD215" s="438">
        <f>(0.3*AK42+0.7*AK124)*BA215</f>
        <v>0.68603513010398487</v>
      </c>
      <c r="BE215" s="468">
        <f>($N$5/BD215)*0+($N$41/BD215)*0.3+($N$123/BD215)*0.7+($N$5/BD215)*0</f>
        <v>21949.293587045206</v>
      </c>
      <c r="BF215" s="463">
        <f>BE215-AZ215</f>
        <v>-41.289494275399193</v>
      </c>
      <c r="BG215" s="463"/>
    </row>
    <row r="216" spans="48:59" ht="16" x14ac:dyDescent="0.3">
      <c r="AW216" s="353"/>
      <c r="AZ216" s="349"/>
      <c r="BA216" s="577">
        <v>0.85648854961832066</v>
      </c>
      <c r="BB216" s="581">
        <f>BB13</f>
        <v>1.036697247706422</v>
      </c>
      <c r="BC216" s="426" t="s">
        <v>590</v>
      </c>
      <c r="BD216" s="423"/>
    </row>
    <row r="217" spans="48:59" x14ac:dyDescent="0.3">
      <c r="AW217" s="353"/>
      <c r="AZ217" s="349"/>
      <c r="BA217" s="356"/>
      <c r="BB217" s="356"/>
      <c r="BC217" s="431"/>
      <c r="BD217" s="432"/>
    </row>
    <row r="218" spans="48:59" x14ac:dyDescent="0.3">
      <c r="AW218" s="352"/>
      <c r="AX218" s="894" t="s">
        <v>627</v>
      </c>
      <c r="AY218" s="895"/>
      <c r="AZ218" s="346"/>
      <c r="BA218" s="348">
        <v>0.10076335877862595</v>
      </c>
      <c r="BB218" s="362"/>
      <c r="BC218" s="426" t="s">
        <v>626</v>
      </c>
      <c r="BD218" s="423"/>
    </row>
    <row r="219" spans="48:59" x14ac:dyDescent="0.3">
      <c r="AW219" s="349"/>
      <c r="AX219" s="896"/>
      <c r="AY219" s="897"/>
      <c r="BA219" s="361"/>
      <c r="BB219" s="361"/>
      <c r="BC219" s="424"/>
      <c r="BD219" s="425"/>
    </row>
    <row r="220" spans="48:59" x14ac:dyDescent="0.3">
      <c r="AX220" s="414" t="s">
        <v>644</v>
      </c>
      <c r="BA220" s="357"/>
      <c r="BB220" s="350"/>
      <c r="BC220" s="368"/>
      <c r="BD220" s="368"/>
    </row>
    <row r="221" spans="48:59" x14ac:dyDescent="0.3">
      <c r="BA221" s="361"/>
      <c r="BB221" s="343"/>
      <c r="BC221" s="368"/>
      <c r="BD221" s="368"/>
    </row>
    <row r="222" spans="48:59" x14ac:dyDescent="0.3">
      <c r="BA222" s="357"/>
      <c r="BB222" s="350"/>
      <c r="BC222" s="368"/>
      <c r="BD222" s="368"/>
    </row>
    <row r="223" spans="48:59" x14ac:dyDescent="0.3">
      <c r="BA223" s="361"/>
      <c r="BB223" s="343"/>
      <c r="BC223" s="368"/>
      <c r="BD223" s="368"/>
    </row>
    <row r="224" spans="48:59" x14ac:dyDescent="0.3">
      <c r="BA224" s="357"/>
      <c r="BB224" s="350"/>
      <c r="BC224" s="436"/>
      <c r="BD224" s="436"/>
    </row>
    <row r="225" spans="46:58" x14ac:dyDescent="0.3">
      <c r="BA225" s="361"/>
      <c r="BB225" s="343"/>
      <c r="BC225" s="436"/>
      <c r="BD225" s="436"/>
    </row>
    <row r="226" spans="46:58" x14ac:dyDescent="0.3">
      <c r="BA226" s="361"/>
      <c r="BB226" s="343"/>
    </row>
    <row r="227" spans="46:58" x14ac:dyDescent="0.3">
      <c r="BA227" s="361"/>
      <c r="BB227" s="343"/>
    </row>
    <row r="228" spans="46:58" x14ac:dyDescent="0.3">
      <c r="BA228" s="362">
        <v>6.8702290076335876E-3</v>
      </c>
      <c r="BB228" s="362"/>
      <c r="BC228" s="431" t="s">
        <v>576</v>
      </c>
      <c r="BD228" s="430"/>
    </row>
    <row r="229" spans="46:58" x14ac:dyDescent="0.3">
      <c r="BA229" s="343"/>
      <c r="BB229" s="343"/>
      <c r="BC229" s="430"/>
      <c r="BD229" s="430"/>
    </row>
    <row r="230" spans="46:58" x14ac:dyDescent="0.3">
      <c r="BA230" s="350">
        <v>0</v>
      </c>
      <c r="BB230" s="350"/>
      <c r="BC230" s="431" t="s">
        <v>573</v>
      </c>
      <c r="BD230" s="432"/>
    </row>
    <row r="231" spans="46:58" x14ac:dyDescent="0.3">
      <c r="BA231" s="343"/>
      <c r="BB231" s="343"/>
      <c r="BC231" s="424"/>
      <c r="BD231" s="425"/>
    </row>
    <row r="232" spans="46:58" x14ac:dyDescent="0.3">
      <c r="BA232" s="350">
        <v>2.0427480916030534E-2</v>
      </c>
      <c r="BB232" s="350"/>
      <c r="BC232" s="422" t="s">
        <v>579</v>
      </c>
      <c r="BD232" s="423"/>
    </row>
    <row r="233" spans="46:58" x14ac:dyDescent="0.3">
      <c r="AW233" s="349"/>
      <c r="AX233" s="349"/>
      <c r="AY233" s="349"/>
      <c r="BA233" s="343"/>
      <c r="BB233" s="343"/>
      <c r="BC233" s="424"/>
      <c r="BD233" s="425"/>
    </row>
    <row r="235" spans="46:58" x14ac:dyDescent="0.3">
      <c r="BA235" s="343"/>
      <c r="BB235" s="580" t="s">
        <v>712</v>
      </c>
      <c r="BC235" s="518">
        <f>'Hảo_R&amp;D (Vảy sạch)'!BR5</f>
        <v>6.6666666666666666E-2</v>
      </c>
    </row>
    <row r="236" spans="46:58" ht="16" x14ac:dyDescent="0.3">
      <c r="AZ236" s="466">
        <f>($AH$5*1)/BA236</f>
        <v>21587.337108956166</v>
      </c>
      <c r="BA236" s="578">
        <f>SUM(BA237)</f>
        <v>0.95058803508799916</v>
      </c>
      <c r="BB236" s="343"/>
      <c r="BD236" s="438">
        <f>AK6*BA236</f>
        <v>0.76823434388983736</v>
      </c>
      <c r="BE236" s="468">
        <f>($N$5/BD236)</f>
        <v>21587.337108956166</v>
      </c>
      <c r="BF236" s="463">
        <f>BE236-AZ236</f>
        <v>0</v>
      </c>
    </row>
    <row r="237" spans="46:58" ht="16" x14ac:dyDescent="0.3">
      <c r="AZ237" s="349"/>
      <c r="BA237" s="577">
        <v>0.95058803508799916</v>
      </c>
      <c r="BB237" s="581">
        <f>BB56</f>
        <v>0</v>
      </c>
      <c r="BC237" s="426" t="s">
        <v>685</v>
      </c>
      <c r="BD237" s="423"/>
      <c r="BE237" s="340" t="s">
        <v>640</v>
      </c>
    </row>
    <row r="238" spans="46:58" x14ac:dyDescent="0.3">
      <c r="BA238" s="356"/>
      <c r="BB238" s="356"/>
      <c r="BC238" s="431"/>
      <c r="BD238" s="432"/>
    </row>
    <row r="239" spans="46:58" x14ac:dyDescent="0.3">
      <c r="AT239" s="862" t="s">
        <v>625</v>
      </c>
      <c r="AU239" s="863"/>
      <c r="AX239" s="874" t="s">
        <v>563</v>
      </c>
      <c r="AY239" s="875"/>
      <c r="BA239" s="348">
        <v>1.5555076937803624E-2</v>
      </c>
      <c r="BB239" s="350"/>
      <c r="BC239" s="426" t="s">
        <v>626</v>
      </c>
      <c r="BD239" s="423"/>
      <c r="BE239" s="340" t="s">
        <v>642</v>
      </c>
    </row>
    <row r="240" spans="46:58" x14ac:dyDescent="0.3">
      <c r="AT240" s="864"/>
      <c r="AU240" s="865"/>
      <c r="AX240" s="876"/>
      <c r="AY240" s="877"/>
      <c r="BA240" s="361"/>
      <c r="BB240" s="361"/>
      <c r="BC240" s="424"/>
      <c r="BD240" s="425"/>
    </row>
    <row r="241" spans="46:56" x14ac:dyDescent="0.3">
      <c r="AT241" s="340" t="s">
        <v>684</v>
      </c>
      <c r="BA241" s="357"/>
      <c r="BB241" s="350"/>
      <c r="BC241" s="368"/>
      <c r="BD241" s="368"/>
    </row>
    <row r="242" spans="46:56" x14ac:dyDescent="0.3">
      <c r="BA242" s="361"/>
      <c r="BB242" s="343"/>
      <c r="BC242" s="368"/>
      <c r="BD242" s="368"/>
    </row>
    <row r="243" spans="46:56" x14ac:dyDescent="0.3">
      <c r="BA243" s="357"/>
      <c r="BB243" s="350"/>
      <c r="BC243" s="368"/>
      <c r="BD243" s="368"/>
    </row>
    <row r="244" spans="46:56" x14ac:dyDescent="0.3">
      <c r="BA244" s="361"/>
      <c r="BB244" s="343"/>
      <c r="BC244" s="368"/>
      <c r="BD244" s="368"/>
    </row>
    <row r="245" spans="46:56" x14ac:dyDescent="0.3">
      <c r="BA245" s="357"/>
      <c r="BB245" s="350"/>
      <c r="BC245" s="436"/>
      <c r="BD245" s="436"/>
    </row>
    <row r="246" spans="46:56" x14ac:dyDescent="0.3">
      <c r="BA246" s="361"/>
      <c r="BB246" s="343"/>
      <c r="BC246" s="436"/>
      <c r="BD246" s="436"/>
    </row>
    <row r="247" spans="46:56" x14ac:dyDescent="0.3">
      <c r="BA247" s="361"/>
      <c r="BB247" s="343"/>
    </row>
    <row r="248" spans="46:56" x14ac:dyDescent="0.3">
      <c r="BA248" s="361"/>
      <c r="BB248" s="343"/>
    </row>
    <row r="249" spans="46:56" x14ac:dyDescent="0.3">
      <c r="BA249" s="362">
        <v>1.2428107625178484E-2</v>
      </c>
      <c r="BB249" s="362"/>
      <c r="BC249" s="431" t="s">
        <v>576</v>
      </c>
      <c r="BD249" s="430"/>
    </row>
    <row r="250" spans="46:56" x14ac:dyDescent="0.3">
      <c r="BA250" s="343"/>
      <c r="BB250" s="343"/>
      <c r="BC250" s="430"/>
      <c r="BD250" s="430"/>
    </row>
    <row r="251" spans="46:56" x14ac:dyDescent="0.3">
      <c r="BA251" s="350">
        <v>0</v>
      </c>
      <c r="BB251" s="350"/>
      <c r="BC251" s="431" t="s">
        <v>573</v>
      </c>
      <c r="BD251" s="432"/>
    </row>
    <row r="252" spans="46:56" x14ac:dyDescent="0.3">
      <c r="BA252" s="343"/>
      <c r="BB252" s="343"/>
      <c r="BC252" s="424"/>
      <c r="BD252" s="425"/>
    </row>
    <row r="253" spans="46:56" x14ac:dyDescent="0.3">
      <c r="BA253" s="350">
        <v>5.8497725236184564E-3</v>
      </c>
      <c r="BB253" s="350"/>
      <c r="BC253" s="422" t="s">
        <v>579</v>
      </c>
      <c r="BD253" s="423"/>
    </row>
    <row r="254" spans="46:56" x14ac:dyDescent="0.3">
      <c r="BA254" s="343"/>
      <c r="BB254" s="343"/>
      <c r="BC254" s="424"/>
      <c r="BD254" s="425"/>
    </row>
  </sheetData>
  <mergeCells count="343">
    <mergeCell ref="AJ85:AK86"/>
    <mergeCell ref="AI87:AI88"/>
    <mergeCell ref="AJ87:AK88"/>
    <mergeCell ref="AA78:AA79"/>
    <mergeCell ref="AB78:AC79"/>
    <mergeCell ref="AA86:AA87"/>
    <mergeCell ref="AB86:AC87"/>
    <mergeCell ref="AA88:AA89"/>
    <mergeCell ref="AB88:AC89"/>
    <mergeCell ref="AA80:AA81"/>
    <mergeCell ref="AB80:AC81"/>
    <mergeCell ref="AA82:AA83"/>
    <mergeCell ref="AB82:AC83"/>
    <mergeCell ref="AA84:AA85"/>
    <mergeCell ref="AB84:AC85"/>
    <mergeCell ref="AI77:AI78"/>
    <mergeCell ref="AJ77:AK78"/>
    <mergeCell ref="AI83:AI84"/>
    <mergeCell ref="AJ83:AK84"/>
    <mergeCell ref="AI85:AI86"/>
    <mergeCell ref="R160:R161"/>
    <mergeCell ref="S160:T161"/>
    <mergeCell ref="W160:X161"/>
    <mergeCell ref="AE160:AF161"/>
    <mergeCell ref="M43:M44"/>
    <mergeCell ref="N43:O44"/>
    <mergeCell ref="M71:M72"/>
    <mergeCell ref="N71:O72"/>
    <mergeCell ref="M125:M126"/>
    <mergeCell ref="N125:O126"/>
    <mergeCell ref="AA149:AA150"/>
    <mergeCell ref="AB149:AC150"/>
    <mergeCell ref="AA141:AA142"/>
    <mergeCell ref="AB141:AC142"/>
    <mergeCell ref="AA133:AA134"/>
    <mergeCell ref="AB133:AC134"/>
    <mergeCell ref="AA63:AA64"/>
    <mergeCell ref="AB63:AC64"/>
    <mergeCell ref="AA65:AA66"/>
    <mergeCell ref="AB65:AC66"/>
    <mergeCell ref="AA74:AA75"/>
    <mergeCell ref="AB74:AC75"/>
    <mergeCell ref="AA76:AA77"/>
    <mergeCell ref="AB76:AC77"/>
    <mergeCell ref="AA178:AA179"/>
    <mergeCell ref="AB178:AC179"/>
    <mergeCell ref="AA180:AA181"/>
    <mergeCell ref="AB180:AC181"/>
    <mergeCell ref="AA182:AA183"/>
    <mergeCell ref="AB182:AC183"/>
    <mergeCell ref="AA184:AA185"/>
    <mergeCell ref="AB184:AC185"/>
    <mergeCell ref="AA186:AA187"/>
    <mergeCell ref="AB186:AC187"/>
    <mergeCell ref="AI177:AI178"/>
    <mergeCell ref="AJ177:AK178"/>
    <mergeCell ref="AI179:AI180"/>
    <mergeCell ref="AJ179:AK180"/>
    <mergeCell ref="AI181:AI182"/>
    <mergeCell ref="AJ181:AK182"/>
    <mergeCell ref="AI183:AI184"/>
    <mergeCell ref="AJ183:AK184"/>
    <mergeCell ref="AA160:AA161"/>
    <mergeCell ref="AB160:AC161"/>
    <mergeCell ref="AA162:AA163"/>
    <mergeCell ref="AB162:AC163"/>
    <mergeCell ref="AA166:AA167"/>
    <mergeCell ref="AB166:AC167"/>
    <mergeCell ref="AA168:AA169"/>
    <mergeCell ref="AB168:AC169"/>
    <mergeCell ref="AA170:AA171"/>
    <mergeCell ref="AB170:AC171"/>
    <mergeCell ref="AA172:AA173"/>
    <mergeCell ref="AB172:AC173"/>
    <mergeCell ref="AA174:AA175"/>
    <mergeCell ref="AB174:AC175"/>
    <mergeCell ref="AA176:AA177"/>
    <mergeCell ref="AB176:AC177"/>
    <mergeCell ref="AX218:AY219"/>
    <mergeCell ref="AT196:AU197"/>
    <mergeCell ref="AX196:AY197"/>
    <mergeCell ref="AX172:AY173"/>
    <mergeCell ref="AA151:AA152"/>
    <mergeCell ref="AB151:AC152"/>
    <mergeCell ref="AI151:AI152"/>
    <mergeCell ref="AJ151:AK152"/>
    <mergeCell ref="AI153:AI154"/>
    <mergeCell ref="AJ153:AK154"/>
    <mergeCell ref="AI160:AI161"/>
    <mergeCell ref="AJ160:AK161"/>
    <mergeCell ref="AI162:AI163"/>
    <mergeCell ref="AJ162:AK163"/>
    <mergeCell ref="AI164:AI165"/>
    <mergeCell ref="AJ164:AK165"/>
    <mergeCell ref="AI169:AI170"/>
    <mergeCell ref="AJ169:AK170"/>
    <mergeCell ref="AI171:AI172"/>
    <mergeCell ref="AJ171:AK172"/>
    <mergeCell ref="AI173:AI174"/>
    <mergeCell ref="AJ173:AK174"/>
    <mergeCell ref="AI175:AI176"/>
    <mergeCell ref="AJ175:AK176"/>
    <mergeCell ref="AT137:AU138"/>
    <mergeCell ref="AA139:AA140"/>
    <mergeCell ref="AB139:AC140"/>
    <mergeCell ref="AI139:AI140"/>
    <mergeCell ref="AJ139:AK140"/>
    <mergeCell ref="AI149:AI150"/>
    <mergeCell ref="AJ149:AK150"/>
    <mergeCell ref="AX149:AY150"/>
    <mergeCell ref="AA145:AA146"/>
    <mergeCell ref="AB145:AC146"/>
    <mergeCell ref="AI145:AI146"/>
    <mergeCell ref="AJ145:AK146"/>
    <mergeCell ref="AA147:AA148"/>
    <mergeCell ref="AB147:AC148"/>
    <mergeCell ref="AI147:AI148"/>
    <mergeCell ref="AJ147:AK148"/>
    <mergeCell ref="AT133:AU134"/>
    <mergeCell ref="AA135:AA136"/>
    <mergeCell ref="AB135:AC136"/>
    <mergeCell ref="AT135:AU136"/>
    <mergeCell ref="AI129:AI130"/>
    <mergeCell ref="AJ129:AK130"/>
    <mergeCell ref="AT129:AU130"/>
    <mergeCell ref="AA131:AA132"/>
    <mergeCell ref="AB131:AC132"/>
    <mergeCell ref="AI131:AI132"/>
    <mergeCell ref="AJ131:AK132"/>
    <mergeCell ref="AT131:AU132"/>
    <mergeCell ref="AX131:AY132"/>
    <mergeCell ref="R125:R126"/>
    <mergeCell ref="S125:T126"/>
    <mergeCell ref="W125:X126"/>
    <mergeCell ref="AA125:AA126"/>
    <mergeCell ref="AB125:AC126"/>
    <mergeCell ref="AI125:AI126"/>
    <mergeCell ref="AJ125:AK126"/>
    <mergeCell ref="AM125:AN126"/>
    <mergeCell ref="AP125:AQ126"/>
    <mergeCell ref="AE126:AF127"/>
    <mergeCell ref="AA127:AA128"/>
    <mergeCell ref="AB127:AC128"/>
    <mergeCell ref="AI127:AI128"/>
    <mergeCell ref="AJ127:AK128"/>
    <mergeCell ref="AB73:AC73"/>
    <mergeCell ref="AJ73:AK73"/>
    <mergeCell ref="AJ74:AK74"/>
    <mergeCell ref="AI75:AI76"/>
    <mergeCell ref="AJ75:AK76"/>
    <mergeCell ref="AI79:AI80"/>
    <mergeCell ref="AJ79:AK80"/>
    <mergeCell ref="AI81:AI82"/>
    <mergeCell ref="AJ81:AK82"/>
    <mergeCell ref="AI73:AI74"/>
    <mergeCell ref="AI71:AI72"/>
    <mergeCell ref="AJ71:AK72"/>
    <mergeCell ref="AM71:AN72"/>
    <mergeCell ref="AP71:AQ72"/>
    <mergeCell ref="AT71:AU72"/>
    <mergeCell ref="AX71:AY72"/>
    <mergeCell ref="R71:R72"/>
    <mergeCell ref="S71:T72"/>
    <mergeCell ref="W71:X72"/>
    <mergeCell ref="AA71:AA72"/>
    <mergeCell ref="AB71:AC72"/>
    <mergeCell ref="AE71:AF72"/>
    <mergeCell ref="AA61:AA62"/>
    <mergeCell ref="AB61:AC62"/>
    <mergeCell ref="AI61:AI62"/>
    <mergeCell ref="AJ61:AK62"/>
    <mergeCell ref="AA57:AA58"/>
    <mergeCell ref="AB57:AC58"/>
    <mergeCell ref="AI57:AI58"/>
    <mergeCell ref="AJ57:AK58"/>
    <mergeCell ref="AA59:AA60"/>
    <mergeCell ref="AB59:AC60"/>
    <mergeCell ref="AI59:AI60"/>
    <mergeCell ref="AJ59:AK60"/>
    <mergeCell ref="AA53:AA54"/>
    <mergeCell ref="AB53:AC54"/>
    <mergeCell ref="AJ53:AK54"/>
    <mergeCell ref="AT53:AU54"/>
    <mergeCell ref="AA55:AA56"/>
    <mergeCell ref="AB55:AC56"/>
    <mergeCell ref="AI55:AI56"/>
    <mergeCell ref="AJ55:AK56"/>
    <mergeCell ref="AT55:AU56"/>
    <mergeCell ref="AA51:AA52"/>
    <mergeCell ref="AB51:AC52"/>
    <mergeCell ref="AJ51:AK52"/>
    <mergeCell ref="AT51:AU52"/>
    <mergeCell ref="AI47:AI48"/>
    <mergeCell ref="AJ47:AK48"/>
    <mergeCell ref="AT47:AU48"/>
    <mergeCell ref="AA49:AA50"/>
    <mergeCell ref="AB49:AC50"/>
    <mergeCell ref="AI49:AI50"/>
    <mergeCell ref="AJ49:AK50"/>
    <mergeCell ref="AT49:AU50"/>
    <mergeCell ref="AA45:AA46"/>
    <mergeCell ref="AB45:AC46"/>
    <mergeCell ref="AI45:AI46"/>
    <mergeCell ref="AJ45:AK46"/>
    <mergeCell ref="R43:R44"/>
    <mergeCell ref="S43:T44"/>
    <mergeCell ref="W43:X44"/>
    <mergeCell ref="AA43:AA44"/>
    <mergeCell ref="AB43:AC44"/>
    <mergeCell ref="AE43:AF44"/>
    <mergeCell ref="AI43:AI44"/>
    <mergeCell ref="AJ43:AK44"/>
    <mergeCell ref="AI33:AI34"/>
    <mergeCell ref="AJ33:AK34"/>
    <mergeCell ref="AI35:AI36"/>
    <mergeCell ref="AJ35:AK36"/>
    <mergeCell ref="AI27:AI28"/>
    <mergeCell ref="AJ27:AK28"/>
    <mergeCell ref="AX49:AY50"/>
    <mergeCell ref="AM43:AN44"/>
    <mergeCell ref="AP43:AQ44"/>
    <mergeCell ref="AN27:AO29"/>
    <mergeCell ref="AT28:AU29"/>
    <mergeCell ref="AX28:AY29"/>
    <mergeCell ref="AI29:AI30"/>
    <mergeCell ref="AJ29:AK30"/>
    <mergeCell ref="AN30:AO31"/>
    <mergeCell ref="AA23:AA24"/>
    <mergeCell ref="AB23:AC24"/>
    <mergeCell ref="AI23:AI24"/>
    <mergeCell ref="AJ23:AK24"/>
    <mergeCell ref="AN24:AO26"/>
    <mergeCell ref="AB25:AC26"/>
    <mergeCell ref="AI25:AI26"/>
    <mergeCell ref="AJ25:AK26"/>
    <mergeCell ref="AI31:AI32"/>
    <mergeCell ref="AJ31:AK32"/>
    <mergeCell ref="AB27:AC27"/>
    <mergeCell ref="AB28:AC28"/>
    <mergeCell ref="AB29:AC29"/>
    <mergeCell ref="AA9:AA10"/>
    <mergeCell ref="AB9:AC10"/>
    <mergeCell ref="AI9:AI10"/>
    <mergeCell ref="AJ9:AK10"/>
    <mergeCell ref="AA19:AA20"/>
    <mergeCell ref="AB19:AC20"/>
    <mergeCell ref="AA21:AA22"/>
    <mergeCell ref="AB21:AC22"/>
    <mergeCell ref="AI21:AI22"/>
    <mergeCell ref="AJ21:AK22"/>
    <mergeCell ref="AA15:AA16"/>
    <mergeCell ref="AB15:AC16"/>
    <mergeCell ref="AI15:AI16"/>
    <mergeCell ref="AJ15:AK16"/>
    <mergeCell ref="AA17:AA18"/>
    <mergeCell ref="AB17:AC18"/>
    <mergeCell ref="AI13:AI14"/>
    <mergeCell ref="AT239:AU240"/>
    <mergeCell ref="AX239:AY240"/>
    <mergeCell ref="S7:T8"/>
    <mergeCell ref="W7:X8"/>
    <mergeCell ref="AA7:AA8"/>
    <mergeCell ref="AB7:AC8"/>
    <mergeCell ref="AI7:AI8"/>
    <mergeCell ref="AJ7:AK8"/>
    <mergeCell ref="D7:D8"/>
    <mergeCell ref="E7:F8"/>
    <mergeCell ref="H7:I8"/>
    <mergeCell ref="M7:M8"/>
    <mergeCell ref="N7:O8"/>
    <mergeCell ref="R7:R8"/>
    <mergeCell ref="AI11:AI12"/>
    <mergeCell ref="AJ11:AK12"/>
    <mergeCell ref="AT11:AU12"/>
    <mergeCell ref="AX11:AY12"/>
    <mergeCell ref="AA13:AA14"/>
    <mergeCell ref="AB13:AC14"/>
    <mergeCell ref="AJ13:AK14"/>
    <mergeCell ref="AM7:AN8"/>
    <mergeCell ref="AR7:AS8"/>
    <mergeCell ref="AE8:AF9"/>
    <mergeCell ref="M96:M97"/>
    <mergeCell ref="N96:O97"/>
    <mergeCell ref="R96:R97"/>
    <mergeCell ref="S96:T97"/>
    <mergeCell ref="W96:X97"/>
    <mergeCell ref="AA96:AA97"/>
    <mergeCell ref="AB96:AC97"/>
    <mergeCell ref="AE96:AF97"/>
    <mergeCell ref="AI96:AI97"/>
    <mergeCell ref="AJ96:AK97"/>
    <mergeCell ref="AM96:AN97"/>
    <mergeCell ref="AP96:AQ97"/>
    <mergeCell ref="AA98:AA99"/>
    <mergeCell ref="AB98:AC99"/>
    <mergeCell ref="AI98:AI99"/>
    <mergeCell ref="AJ98:AK99"/>
    <mergeCell ref="AI100:AI101"/>
    <mergeCell ref="AJ100:AK101"/>
    <mergeCell ref="AA102:AA103"/>
    <mergeCell ref="AB102:AC103"/>
    <mergeCell ref="AI102:AI103"/>
    <mergeCell ref="AJ102:AK103"/>
    <mergeCell ref="AA104:AA105"/>
    <mergeCell ref="AB104:AC105"/>
    <mergeCell ref="AJ104:AK105"/>
    <mergeCell ref="AA106:AA107"/>
    <mergeCell ref="AB106:AC107"/>
    <mergeCell ref="AJ106:AK107"/>
    <mergeCell ref="AA108:AA109"/>
    <mergeCell ref="AB108:AC109"/>
    <mergeCell ref="AI108:AI109"/>
    <mergeCell ref="AJ108:AK109"/>
    <mergeCell ref="AA110:AA111"/>
    <mergeCell ref="AB110:AC111"/>
    <mergeCell ref="AI110:AI111"/>
    <mergeCell ref="AJ110:AK111"/>
    <mergeCell ref="AA112:AA113"/>
    <mergeCell ref="AB112:AC113"/>
    <mergeCell ref="AI112:AI113"/>
    <mergeCell ref="AJ112:AK113"/>
    <mergeCell ref="AI155:AI156"/>
    <mergeCell ref="AJ155:AK156"/>
    <mergeCell ref="AA114:AA115"/>
    <mergeCell ref="AB114:AC115"/>
    <mergeCell ref="AI114:AI115"/>
    <mergeCell ref="AJ114:AK115"/>
    <mergeCell ref="AA116:AA117"/>
    <mergeCell ref="AB116:AC117"/>
    <mergeCell ref="AA118:AA119"/>
    <mergeCell ref="AB118:AC119"/>
    <mergeCell ref="AI119:AI120"/>
    <mergeCell ref="AJ119:AK120"/>
    <mergeCell ref="AI116:AI117"/>
    <mergeCell ref="AJ116:AK117"/>
    <mergeCell ref="AI141:AI142"/>
    <mergeCell ref="AJ141:AK142"/>
    <mergeCell ref="AA143:AA144"/>
    <mergeCell ref="AB143:AC144"/>
    <mergeCell ref="AI143:AI144"/>
    <mergeCell ref="AJ143:AK144"/>
    <mergeCell ref="AA137:AA138"/>
    <mergeCell ref="AB137:AC138"/>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C0A7-2119-4BE8-A7E9-A67C3A2937B6}">
  <sheetPr>
    <tabColor rgb="FF0000FF"/>
    <pageSetUpPr fitToPage="1"/>
  </sheetPr>
  <dimension ref="A1:FW399"/>
  <sheetViews>
    <sheetView tabSelected="1" topLeftCell="ES1" zoomScale="85" zoomScaleNormal="85" workbookViewId="0">
      <selection activeCell="FB5" sqref="FB5"/>
    </sheetView>
  </sheetViews>
  <sheetFormatPr defaultColWidth="9.1796875" defaultRowHeight="15.5" outlineLevelCol="1" x14ac:dyDescent="0.35"/>
  <cols>
    <col min="1" max="1" width="9.1796875" style="340" hidden="1" customWidth="1"/>
    <col min="2" max="2" width="3.36328125" style="340" customWidth="1"/>
    <col min="3" max="3" width="6.1796875" style="340" customWidth="1"/>
    <col min="4" max="4" width="5.1796875" style="340" customWidth="1"/>
    <col min="5" max="5" width="11.90625" style="340" bestFit="1" customWidth="1"/>
    <col min="6" max="7" width="9.1796875" style="340"/>
    <col min="8" max="8" width="11" style="340" bestFit="1" customWidth="1"/>
    <col min="9" max="12" width="9.1796875" style="340"/>
    <col min="13" max="13" width="13.36328125" style="340" bestFit="1" customWidth="1"/>
    <col min="14" max="15" width="12.1796875" style="340" bestFit="1" customWidth="1"/>
    <col min="16" max="16" width="11" style="340" bestFit="1" customWidth="1"/>
    <col min="17" max="17" width="11.453125" style="340" bestFit="1" customWidth="1"/>
    <col min="18" max="18" width="7.90625" style="340" bestFit="1" customWidth="1"/>
    <col min="19" max="20" width="9.1796875" style="340"/>
    <col min="21" max="21" width="10.453125" style="340" bestFit="1" customWidth="1"/>
    <col min="22" max="24" width="9.1796875" style="340"/>
    <col min="25" max="25" width="11.90625" style="340" bestFit="1" customWidth="1"/>
    <col min="26" max="26" width="12.1796875" style="340" bestFit="1" customWidth="1"/>
    <col min="27" max="27" width="10.26953125" style="340" customWidth="1"/>
    <col min="28" max="28" width="10.36328125" style="340" bestFit="1" customWidth="1"/>
    <col min="29" max="29" width="19.36328125" style="340" customWidth="1"/>
    <col min="30" max="32" width="9.1796875" style="340"/>
    <col min="33" max="35" width="12.6328125" style="340" bestFit="1" customWidth="1"/>
    <col min="36" max="36" width="10.54296875" style="340" customWidth="1"/>
    <col min="37" max="37" width="18" style="340" customWidth="1"/>
    <col min="38" max="38" width="14.1796875" style="340" bestFit="1" customWidth="1"/>
    <col min="39" max="39" width="11" style="340" bestFit="1" customWidth="1"/>
    <col min="40" max="40" width="9.1796875" style="340"/>
    <col min="41" max="41" width="6.7265625" style="340" customWidth="1"/>
    <col min="42" max="42" width="12.6328125" style="340" bestFit="1" customWidth="1"/>
    <col min="43" max="43" width="9.1796875" style="340" customWidth="1"/>
    <col min="44" max="44" width="6.6328125" style="340" customWidth="1"/>
    <col min="45" max="45" width="9.36328125" style="340" customWidth="1"/>
    <col min="46" max="46" width="12" style="340" customWidth="1"/>
    <col min="47" max="47" width="12.90625" style="340" customWidth="1"/>
    <col min="48" max="48" width="4.453125" style="340" customWidth="1"/>
    <col min="49" max="49" width="3.54296875" style="340" customWidth="1"/>
    <col min="50" max="50" width="21.453125" style="340" customWidth="1"/>
    <col min="51" max="51" width="24.90625" style="340" customWidth="1"/>
    <col min="52" max="52" width="11.1796875" style="340" customWidth="1"/>
    <col min="53" max="53" width="10.1796875" style="340" customWidth="1"/>
    <col min="54" max="54" width="11.1796875" style="340" customWidth="1"/>
    <col min="55" max="55" width="20.90625" style="419" customWidth="1"/>
    <col min="56" max="56" width="18.7265625" style="419" bestFit="1" customWidth="1"/>
    <col min="57" max="57" width="13.08984375" style="340" bestFit="1" customWidth="1"/>
    <col min="58" max="58" width="12.81640625" style="340" bestFit="1" customWidth="1"/>
    <col min="59" max="59" width="5.6328125" style="340" customWidth="1"/>
    <col min="60" max="60" width="10.36328125" style="340" bestFit="1" customWidth="1"/>
    <col min="61" max="61" width="10.36328125" style="340" customWidth="1"/>
    <col min="62" max="62" width="12.36328125" style="340" customWidth="1"/>
    <col min="63" max="63" width="13.26953125" style="340" customWidth="1"/>
    <col min="64" max="64" width="13.26953125" style="340" hidden="1" customWidth="1" outlineLevel="1"/>
    <col min="65" max="65" width="11.1796875" style="340" hidden="1" customWidth="1" outlineLevel="1"/>
    <col min="66" max="66" width="10.1796875" style="340" hidden="1" customWidth="1" outlineLevel="1"/>
    <col min="67" max="67" width="14.26953125" style="340" hidden="1" customWidth="1" outlineLevel="1"/>
    <col min="68" max="70" width="13.26953125" style="340" hidden="1" customWidth="1" outlineLevel="1"/>
    <col min="71" max="71" width="13.6328125" style="340" customWidth="1" collapsed="1"/>
    <col min="72" max="72" width="12.81640625" style="340" customWidth="1"/>
    <col min="73" max="73" width="10.1796875" style="340" customWidth="1"/>
    <col min="74" max="74" width="11" style="340" customWidth="1"/>
    <col min="75" max="75" width="16.81640625" style="340" customWidth="1"/>
    <col min="76" max="76" width="10.7265625" style="340" bestFit="1" customWidth="1"/>
    <col min="77" max="77" width="6.90625" style="769" bestFit="1" customWidth="1"/>
    <col min="78" max="78" width="10.26953125" style="340" bestFit="1" customWidth="1"/>
    <col min="79" max="79" width="9.90625" style="340" bestFit="1" customWidth="1"/>
    <col min="80" max="80" width="9.1796875" style="340" customWidth="1"/>
    <col min="81" max="81" width="8.7265625" style="340" bestFit="1" customWidth="1"/>
    <col min="82" max="82" width="9.08984375" style="340" bestFit="1" customWidth="1"/>
    <col min="83" max="83" width="10.1796875" style="340" customWidth="1"/>
    <col min="84" max="84" width="2.7265625" customWidth="1"/>
    <col min="85" max="85" width="10.6328125" style="340" customWidth="1"/>
    <col min="86" max="86" width="19.1796875" style="340" bestFit="1" customWidth="1"/>
    <col min="87" max="87" width="10.7265625" style="340" bestFit="1" customWidth="1"/>
    <col min="88" max="88" width="6.90625" style="340" bestFit="1" customWidth="1"/>
    <col min="89" max="89" width="10.08984375" style="340" bestFit="1" customWidth="1"/>
    <col min="90" max="90" width="10.7265625" style="340" customWidth="1"/>
    <col min="91" max="92" width="10.36328125" style="340" customWidth="1"/>
    <col min="93" max="93" width="8.1796875" style="340" bestFit="1" customWidth="1"/>
    <col min="94" max="94" width="8.1796875" style="340" customWidth="1"/>
    <col min="95" max="95" width="8.08984375" style="340" bestFit="1" customWidth="1"/>
    <col min="96" max="96" width="9.6328125" style="340" bestFit="1" customWidth="1"/>
    <col min="97" max="97" width="3.54296875" customWidth="1"/>
    <col min="98" max="98" width="11.7265625" style="340" bestFit="1" customWidth="1"/>
    <col min="99" max="99" width="7.26953125" style="340" bestFit="1" customWidth="1"/>
    <col min="100" max="100" width="7.90625" style="411" bestFit="1" customWidth="1"/>
    <col min="101" max="101" width="8.90625" style="411" bestFit="1" customWidth="1"/>
    <col min="102" max="102" width="3.26953125" style="411" customWidth="1"/>
    <col min="103" max="103" width="19.1796875" style="411" bestFit="1" customWidth="1"/>
    <col min="104" max="104" width="9.453125" style="411" customWidth="1"/>
    <col min="105" max="105" width="6.7265625" style="411" bestFit="1" customWidth="1"/>
    <col min="106" max="107" width="9.1796875" style="411" customWidth="1"/>
    <col min="108" max="108" width="10.08984375" style="343" bestFit="1" customWidth="1"/>
    <col min="109" max="109" width="10.08984375" style="343" customWidth="1"/>
    <col min="110" max="113" width="9.1796875" style="411" customWidth="1"/>
    <col min="114" max="114" width="2.54296875" customWidth="1"/>
    <col min="115" max="118" width="9.1796875" style="411" customWidth="1"/>
    <col min="119" max="119" width="4.453125" style="411" customWidth="1"/>
    <col min="120" max="120" width="10.7265625" style="340" customWidth="1"/>
    <col min="121" max="121" width="40.54296875" style="384" customWidth="1"/>
    <col min="122" max="122" width="27.90625" style="340" bestFit="1" customWidth="1"/>
    <col min="123" max="123" width="10.7265625" style="340" bestFit="1" customWidth="1"/>
    <col min="124" max="124" width="6.7265625" style="340" bestFit="1" customWidth="1"/>
    <col min="125" max="125" width="14" style="340" bestFit="1" customWidth="1"/>
    <col min="126" max="127" width="11" style="340" bestFit="1" customWidth="1"/>
    <col min="128" max="129" width="11" style="340" customWidth="1"/>
    <col min="130" max="130" width="9.26953125" style="340" customWidth="1"/>
    <col min="131" max="131" width="10.54296875" style="340" customWidth="1"/>
    <col min="132" max="132" width="10.54296875" style="340" bestFit="1" customWidth="1"/>
    <col min="133" max="133" width="11.453125" style="340" bestFit="1" customWidth="1"/>
    <col min="134" max="134" width="11.453125" style="340" customWidth="1"/>
    <col min="135" max="136" width="11" style="340" bestFit="1" customWidth="1"/>
    <col min="137" max="137" width="10.6328125" style="340" bestFit="1" customWidth="1"/>
    <col min="138" max="138" width="5.1796875" style="340" customWidth="1"/>
    <col min="139" max="140" width="9.90625" style="340" bestFit="1" customWidth="1"/>
    <col min="141" max="141" width="9.6328125" style="340" bestFit="1" customWidth="1"/>
    <col min="142" max="142" width="10.6328125" style="453" bestFit="1" customWidth="1"/>
    <col min="143" max="143" width="11.54296875" style="453" customWidth="1"/>
    <col min="144" max="144" width="11.81640625" style="411" customWidth="1"/>
    <col min="145" max="145" width="9.26953125" style="340" bestFit="1" customWidth="1"/>
    <col min="146" max="146" width="11.36328125" style="340" bestFit="1" customWidth="1"/>
    <col min="147" max="147" width="4.81640625" style="340" customWidth="1"/>
    <col min="148" max="151" width="9.1796875" style="340"/>
    <col min="152" max="152" width="3.453125" style="340" customWidth="1"/>
    <col min="153" max="153" width="9.1796875" style="340"/>
    <col min="154" max="154" width="11.453125" style="340" bestFit="1" customWidth="1"/>
    <col min="155" max="155" width="11.453125" style="340" customWidth="1"/>
    <col min="156" max="156" width="10.36328125" style="340" customWidth="1"/>
    <col min="157" max="157" width="4.453125" style="340" customWidth="1"/>
    <col min="158" max="163" width="9.1796875" style="340"/>
    <col min="164" max="164" width="8.26953125" style="340" bestFit="1" customWidth="1"/>
    <col min="165" max="166" width="9.1796875" style="340"/>
    <col min="167" max="167" width="11.453125" style="340" bestFit="1" customWidth="1"/>
    <col min="168" max="169" width="11.453125" style="340" customWidth="1"/>
    <col min="170" max="170" width="10.36328125" style="340" customWidth="1"/>
    <col min="171" max="171" width="5.81640625" style="340" bestFit="1" customWidth="1"/>
    <col min="172" max="172" width="8.90625" style="340" bestFit="1" customWidth="1"/>
    <col min="173" max="173" width="6.90625" style="340" bestFit="1" customWidth="1"/>
    <col min="174" max="174" width="9.1796875" style="340"/>
    <col min="175" max="175" width="8.7265625" style="340" customWidth="1"/>
    <col min="176" max="178" width="9.1796875" style="340"/>
    <col min="179" max="179" width="5.6328125" style="340" bestFit="1" customWidth="1"/>
    <col min="180" max="16384" width="9.1796875" style="340"/>
  </cols>
  <sheetData>
    <row r="1" spans="2:179" ht="45" x14ac:dyDescent="0.35">
      <c r="B1" s="340" t="s">
        <v>547</v>
      </c>
      <c r="N1" s="463">
        <f>N2+N38+N66+N91+N120</f>
        <v>11300.000000000002</v>
      </c>
      <c r="O1" s="463">
        <f>N3+N39+N67+N92+N121</f>
        <v>4588.8888888888887</v>
      </c>
      <c r="Z1" s="533" t="s">
        <v>865</v>
      </c>
      <c r="AA1" s="463">
        <f>AA5-N5</f>
        <v>1747.4765064960666</v>
      </c>
      <c r="AC1" s="340" t="s">
        <v>867</v>
      </c>
      <c r="AH1" s="463">
        <f>AH5-Z5</f>
        <v>1489.1248133724184</v>
      </c>
      <c r="AI1" s="463">
        <f>AI5-AA5</f>
        <v>1875.9367222645815</v>
      </c>
      <c r="AK1" s="533" t="s">
        <v>866</v>
      </c>
      <c r="AZ1" s="463">
        <f>AZ6-AH5</f>
        <v>463.28889440838611</v>
      </c>
      <c r="BA1" s="340" t="s">
        <v>689</v>
      </c>
      <c r="BC1" s="419" t="s">
        <v>688</v>
      </c>
      <c r="BD1" s="536" t="s">
        <v>842</v>
      </c>
      <c r="CC1" s="453">
        <f>CC4/$CU$2</f>
        <v>70.375471052123871</v>
      </c>
      <c r="CG1" s="463"/>
      <c r="CH1" s="463"/>
      <c r="CI1" s="463"/>
      <c r="CJ1" s="463"/>
      <c r="CK1" s="463"/>
      <c r="CL1" s="463"/>
      <c r="CM1" s="463"/>
      <c r="CN1" s="463"/>
      <c r="CO1" s="453">
        <f>CO4/$CU$2</f>
        <v>48.070032068254285</v>
      </c>
      <c r="CP1" s="453"/>
      <c r="CQ1" s="463"/>
      <c r="CR1" s="463"/>
      <c r="CT1" s="463"/>
      <c r="CU1" s="520"/>
      <c r="DT1" s="777" t="s">
        <v>872</v>
      </c>
      <c r="DU1" s="453">
        <f>DU6/$EG$1</f>
        <v>804.11702287211324</v>
      </c>
      <c r="DV1" s="456">
        <f>DV6/$EG$1</f>
        <v>571.87902955310426</v>
      </c>
      <c r="DW1" s="468">
        <f>DW6/$EG$1</f>
        <v>280.54076585291699</v>
      </c>
      <c r="DX1" s="468"/>
      <c r="DY1" s="468"/>
      <c r="DZ1" s="456">
        <f>DZ6/$EG$1</f>
        <v>-12.143823158696559</v>
      </c>
      <c r="EA1" s="456">
        <f>EA6/$EG$1</f>
        <v>80.411702287211313</v>
      </c>
      <c r="EB1" s="468">
        <f>EB6/$EG$1</f>
        <v>75.507147348300833</v>
      </c>
      <c r="EC1" s="468">
        <f>EC6/$EG$1</f>
        <v>0</v>
      </c>
      <c r="ED1" s="468"/>
      <c r="EE1" s="486">
        <f>SUM(DU1:EC1)</f>
        <v>1800.31184475495</v>
      </c>
      <c r="EF1" s="521">
        <f>SUM(DV1:EC1)</f>
        <v>996.19482188283678</v>
      </c>
      <c r="EG1" s="343">
        <v>26.5</v>
      </c>
      <c r="EI1" s="468">
        <f t="shared" ref="EI1:EK2" si="0">EI6/($EG$1)</f>
        <v>82</v>
      </c>
      <c r="EJ1" s="468">
        <f t="shared" si="0"/>
        <v>44</v>
      </c>
      <c r="EK1" s="468">
        <f t="shared" si="0"/>
        <v>14</v>
      </c>
      <c r="EL1" s="468">
        <f>SUM(EI1:EK1)</f>
        <v>140</v>
      </c>
      <c r="EM1" s="455"/>
      <c r="EN1" s="523">
        <v>140</v>
      </c>
      <c r="EO1" s="340">
        <f>'Hảo_R&amp;D (Vảy sạch) (-PS)'!CE11</f>
        <v>56</v>
      </c>
      <c r="ER1" s="463">
        <f t="shared" ref="ER1:ET2" si="1">ER10</f>
        <v>571.76806815075429</v>
      </c>
      <c r="ES1" s="782">
        <f t="shared" si="1"/>
        <v>534.8397669584615</v>
      </c>
      <c r="ET1" s="782">
        <f t="shared" si="1"/>
        <v>50</v>
      </c>
      <c r="EU1" s="463">
        <f>SUM(ER1:ET1)</f>
        <v>1156.6078351092158</v>
      </c>
      <c r="EW1" s="463">
        <f t="shared" ref="EW1:EY2" si="2">EW10</f>
        <v>15151.853805994988</v>
      </c>
      <c r="EX1" s="463">
        <f t="shared" si="2"/>
        <v>14173.253824399229</v>
      </c>
      <c r="EY1" s="463">
        <f t="shared" si="2"/>
        <v>1325</v>
      </c>
      <c r="EZ1" s="463">
        <f>SUM(EW1:EY1)</f>
        <v>30650.107630394217</v>
      </c>
      <c r="FB1" s="463">
        <f t="shared" ref="FB1:FF1" si="3">FB10</f>
        <v>545.10343237395819</v>
      </c>
      <c r="FC1" s="463">
        <f t="shared" ref="FC1" si="4">FC10</f>
        <v>26.664635776796022</v>
      </c>
      <c r="FD1" s="782">
        <f t="shared" si="3"/>
        <v>394.8397669584615</v>
      </c>
      <c r="FE1" s="782">
        <f t="shared" ref="FE1" si="5">FE10</f>
        <v>140</v>
      </c>
      <c r="FF1" s="782">
        <f t="shared" si="3"/>
        <v>50</v>
      </c>
      <c r="FG1" s="463">
        <f>SUM(FB1:FF1)</f>
        <v>1156.6078351092156</v>
      </c>
      <c r="FI1" s="463">
        <f>FI10</f>
        <v>14445.240957909891</v>
      </c>
      <c r="FJ1" s="463">
        <f t="shared" ref="FJ1" si="6">FJ10</f>
        <v>706.61284808509458</v>
      </c>
      <c r="FK1" s="463">
        <f t="shared" ref="FK1:FM1" si="7">FK10</f>
        <v>10463.253824399229</v>
      </c>
      <c r="FL1" s="463">
        <f t="shared" ref="FL1" si="8">FL10</f>
        <v>3710</v>
      </c>
      <c r="FM1" s="463">
        <f t="shared" si="7"/>
        <v>1325</v>
      </c>
      <c r="FN1" s="463">
        <f>SUM(FI1:FM1)</f>
        <v>30650.107630394217</v>
      </c>
      <c r="FP1" s="941">
        <f>(FF1+FE1)/FG1</f>
        <v>0.16427348512822307</v>
      </c>
      <c r="FQ1" s="941">
        <f t="shared" ref="FQ1:FQ2" si="9">FF1/FG1</f>
        <v>4.3229864507427121E-2</v>
      </c>
    </row>
    <row r="2" spans="2:179" s="532" customFormat="1" ht="45" x14ac:dyDescent="0.35">
      <c r="M2" s="532" t="s">
        <v>47</v>
      </c>
      <c r="N2" s="534">
        <f>$E$5*$L$7</f>
        <v>6945.620775524726</v>
      </c>
      <c r="W2" s="535"/>
      <c r="X2" s="535"/>
      <c r="Y2" s="535"/>
      <c r="Z2" s="410">
        <f>$V$7*Z6+$V$43*Z42+$V$71*Z71+$V$125*Z124</f>
        <v>0.75989236045962727</v>
      </c>
      <c r="AA2" s="535"/>
      <c r="AB2" s="535"/>
      <c r="AC2" s="535"/>
      <c r="AD2" s="535"/>
      <c r="AE2" s="535"/>
      <c r="AF2" s="535"/>
      <c r="AG2" s="535"/>
      <c r="AH2" s="535"/>
      <c r="AI2" s="394" t="s">
        <v>712</v>
      </c>
      <c r="AJ2" s="535"/>
      <c r="AK2" s="410">
        <f>($V$7*AK6+$V$43*AK42+$V$71*AK70+$V$96*AK95+$V$125*AK124)/($V$125+$V$96+$V$71+$V$43+$V$7)</f>
        <v>0.7991222195439257</v>
      </c>
      <c r="BA2" s="519">
        <f>($BC$5*$BA$6+$BC$24*$BA$25+$BC$84*$BA$85+$BC$209*$BA$210)/0.53</f>
        <v>0.9178655511798558</v>
      </c>
      <c r="BB2" s="580" t="s">
        <v>712</v>
      </c>
      <c r="BC2" s="383"/>
      <c r="BD2" s="420">
        <f>AVERAGE(BD6,BD25,BD46,BD65,BD85,BD104,BD122,BD145,BD210,BD241)</f>
        <v>0.75940968581937196</v>
      </c>
      <c r="BE2" s="719">
        <f>BA2*AK2</f>
        <v>0.7334867565017551</v>
      </c>
      <c r="BF2" s="718">
        <f>BD2-BE2</f>
        <v>2.5922929317616861E-2</v>
      </c>
      <c r="BH2" s="532" t="s">
        <v>548</v>
      </c>
      <c r="BI2" s="532" t="s">
        <v>850</v>
      </c>
      <c r="BJ2" s="532" t="s">
        <v>412</v>
      </c>
      <c r="BK2" s="532" t="s">
        <v>658</v>
      </c>
      <c r="BL2" s="532" t="s">
        <v>849</v>
      </c>
      <c r="BS2" s="539" t="s">
        <v>658</v>
      </c>
      <c r="BW2" s="539" t="s">
        <v>867</v>
      </c>
      <c r="BX2" s="539"/>
      <c r="BY2" s="770"/>
      <c r="CC2" s="453">
        <f>CC5/$CU$2</f>
        <v>122.29884124777395</v>
      </c>
      <c r="CH2" s="762" t="s">
        <v>869</v>
      </c>
      <c r="CI2" s="762"/>
      <c r="CJ2" s="770"/>
      <c r="CO2" s="453">
        <f>CO5/$CU$2</f>
        <v>75.983408588895998</v>
      </c>
      <c r="CP2" s="453"/>
      <c r="CU2" s="532">
        <v>26.5</v>
      </c>
      <c r="CV2" s="533">
        <f>140/2</f>
        <v>70</v>
      </c>
      <c r="CW2" s="533"/>
      <c r="CX2" s="533"/>
      <c r="CY2" s="762" t="s">
        <v>869</v>
      </c>
      <c r="CZ2" s="762"/>
      <c r="DA2" s="770"/>
      <c r="DD2" s="537"/>
      <c r="DE2" s="537"/>
      <c r="DF2" s="453">
        <f>DF5/$CU$2</f>
        <v>75.983408588895998</v>
      </c>
      <c r="DG2" s="453"/>
      <c r="DL2" s="532">
        <v>26.5</v>
      </c>
      <c r="DM2" s="533">
        <f>140/2</f>
        <v>70</v>
      </c>
      <c r="DN2" s="533"/>
      <c r="DO2" s="533"/>
      <c r="DP2" s="584" t="s">
        <v>664</v>
      </c>
      <c r="DR2" s="762" t="s">
        <v>875</v>
      </c>
      <c r="DS2" s="762"/>
      <c r="DT2" s="772" t="s">
        <v>873</v>
      </c>
      <c r="DU2" s="453">
        <f>DU7/$EG$1</f>
        <v>804.11702287211324</v>
      </c>
      <c r="DV2" s="456">
        <f>DV7/$EG$1</f>
        <v>571.87902955310426</v>
      </c>
      <c r="DW2" s="468">
        <f>DW7/$EG$1</f>
        <v>227.80969962069358</v>
      </c>
      <c r="DX2" s="468"/>
      <c r="DY2" s="468"/>
      <c r="DZ2" s="456">
        <f>DZ7/$EG$1</f>
        <v>-12.143823158696559</v>
      </c>
      <c r="EA2" s="456">
        <f>EA7/$EG$1</f>
        <v>80.411702287211313</v>
      </c>
      <c r="EB2" s="468">
        <f>EB7/$EG$1</f>
        <v>105.54175525085849</v>
      </c>
      <c r="EC2" s="468">
        <f>EC7/$EG$1</f>
        <v>0</v>
      </c>
      <c r="ED2" s="468"/>
      <c r="EE2" s="486">
        <f>SUM(DU2:EC2)</f>
        <v>1777.6153864252842</v>
      </c>
      <c r="EF2" s="521">
        <f>SUM(DV2:EC2)</f>
        <v>973.49836355317109</v>
      </c>
      <c r="EG2" s="538"/>
      <c r="EI2" s="468">
        <f t="shared" si="0"/>
        <v>82</v>
      </c>
      <c r="EJ2" s="468">
        <f t="shared" si="0"/>
        <v>44</v>
      </c>
      <c r="EK2" s="468">
        <f t="shared" si="0"/>
        <v>14</v>
      </c>
      <c r="EL2" s="468">
        <f>SUM(EI2:EK2)</f>
        <v>140</v>
      </c>
      <c r="EM2" s="455"/>
      <c r="EN2" s="749">
        <f>EN1*EG1</f>
        <v>3710</v>
      </c>
      <c r="EO2" s="748">
        <f>EO6</f>
        <v>100</v>
      </c>
      <c r="EP2" s="533"/>
      <c r="ER2" s="463">
        <f>ER11</f>
        <v>571.76806815075429</v>
      </c>
      <c r="ES2" s="782">
        <f t="shared" si="1"/>
        <v>540.60806468732574</v>
      </c>
      <c r="ET2" s="782">
        <f t="shared" si="1"/>
        <v>50</v>
      </c>
      <c r="EU2" s="463">
        <f>SUM(ER2:ET2)</f>
        <v>1162.3761328380801</v>
      </c>
      <c r="EW2" s="463">
        <f t="shared" si="2"/>
        <v>15151.853805994988</v>
      </c>
      <c r="EX2" s="463">
        <f t="shared" si="2"/>
        <v>14326.113714214132</v>
      </c>
      <c r="EY2" s="463">
        <f t="shared" si="2"/>
        <v>1325</v>
      </c>
      <c r="EZ2" s="463">
        <f>SUM(EW2:EY2)</f>
        <v>30802.96752020912</v>
      </c>
      <c r="FB2" s="463">
        <f>FB11</f>
        <v>545.10343237395819</v>
      </c>
      <c r="FC2" s="463">
        <f t="shared" ref="FC2" si="10">FC11</f>
        <v>26.664635776796022</v>
      </c>
      <c r="FD2" s="782">
        <f t="shared" ref="FD2:FF2" si="11">FD11</f>
        <v>400.60806468732574</v>
      </c>
      <c r="FE2" s="782">
        <f t="shared" ref="FE2" si="12">FE11</f>
        <v>140</v>
      </c>
      <c r="FF2" s="782">
        <f t="shared" si="11"/>
        <v>50</v>
      </c>
      <c r="FG2" s="463">
        <f>SUM(FB2:FF2)</f>
        <v>1162.3761328380799</v>
      </c>
      <c r="FI2" s="463">
        <f t="shared" ref="FI2:FM2" si="13">FI11</f>
        <v>14445.240957909891</v>
      </c>
      <c r="FJ2" s="463">
        <f t="shared" ref="FJ2" si="14">FJ11</f>
        <v>706.61284808509458</v>
      </c>
      <c r="FK2" s="463">
        <f t="shared" si="13"/>
        <v>10616.113714214132</v>
      </c>
      <c r="FL2" s="463">
        <f t="shared" ref="FL2" si="15">FL11</f>
        <v>3710</v>
      </c>
      <c r="FM2" s="463">
        <f t="shared" si="13"/>
        <v>1325</v>
      </c>
      <c r="FN2" s="463">
        <f>SUM(FI2:FM2)</f>
        <v>30802.967520209117</v>
      </c>
      <c r="FP2" s="941">
        <f>(FF2+FE2)/FG2</f>
        <v>0.16345827708634411</v>
      </c>
      <c r="FQ2" s="941">
        <f t="shared" si="9"/>
        <v>4.3015336075353718E-2</v>
      </c>
    </row>
    <row r="3" spans="2:179" s="533" customFormat="1" ht="75" x14ac:dyDescent="0.35">
      <c r="M3" s="533" t="s">
        <v>653</v>
      </c>
      <c r="N3" s="749">
        <f>(($E$5+$H$5)*$G$5/(1-$G$5)+$H$5)*$L$7</f>
        <v>2820.5913277204636</v>
      </c>
      <c r="O3" s="749"/>
      <c r="Q3" s="533" t="s">
        <v>858</v>
      </c>
      <c r="R3" s="533" t="s">
        <v>859</v>
      </c>
      <c r="S3" s="537" t="s">
        <v>881</v>
      </c>
      <c r="T3" s="533" t="s">
        <v>861</v>
      </c>
      <c r="W3" s="750"/>
      <c r="X3" s="750"/>
      <c r="Y3" s="750"/>
      <c r="Z3" s="533" t="s">
        <v>886</v>
      </c>
      <c r="AA3" s="533" t="s">
        <v>887</v>
      </c>
      <c r="AB3" s="537" t="s">
        <v>880</v>
      </c>
      <c r="AC3" s="533" t="s">
        <v>861</v>
      </c>
      <c r="AD3" s="750"/>
      <c r="AE3" s="750"/>
      <c r="AF3" s="750"/>
      <c r="AG3" s="750"/>
      <c r="AH3" s="533" t="s">
        <v>888</v>
      </c>
      <c r="AI3" s="533" t="s">
        <v>889</v>
      </c>
      <c r="AJ3" s="537" t="s">
        <v>882</v>
      </c>
      <c r="AK3" s="533" t="s">
        <v>861</v>
      </c>
      <c r="AL3" s="748"/>
      <c r="BA3" s="533" t="s">
        <v>890</v>
      </c>
      <c r="BB3" s="533" t="s">
        <v>868</v>
      </c>
      <c r="BC3" s="537" t="s">
        <v>883</v>
      </c>
      <c r="BD3" s="533" t="s">
        <v>861</v>
      </c>
      <c r="BH3" s="533" t="s">
        <v>847</v>
      </c>
      <c r="BL3" s="533" t="s">
        <v>362</v>
      </c>
      <c r="BM3" s="533" t="s">
        <v>851</v>
      </c>
      <c r="BO3" s="533" t="s">
        <v>854</v>
      </c>
      <c r="BP3" s="533" t="s">
        <v>852</v>
      </c>
      <c r="BQ3" s="533" t="s">
        <v>853</v>
      </c>
      <c r="BR3" s="533" t="s">
        <v>854</v>
      </c>
      <c r="BS3" s="753" t="s">
        <v>376</v>
      </c>
      <c r="BT3" s="533" t="str">
        <f>Q3</f>
        <v>PB giá trị B0 =&gt; B1</v>
      </c>
      <c r="BU3" s="537" t="str">
        <f>S3</f>
        <v>CFPL B0</v>
      </c>
      <c r="BV3" s="533" t="str">
        <f>R3</f>
        <v>HH B0 =&gt; B1</v>
      </c>
      <c r="BW3" s="753"/>
      <c r="BX3" s="753" t="s">
        <v>871</v>
      </c>
      <c r="BY3" s="770"/>
      <c r="CA3" s="533" t="str">
        <f>Z3</f>
        <v>PB giá trị B1 =&gt; Vảy A0</v>
      </c>
      <c r="CB3" s="537" t="str">
        <f>$BU$3&amp;" tới "&amp;BW2</f>
        <v>CFPL B0 tới Vảy A0</v>
      </c>
      <c r="CC3" s="537" t="s">
        <v>659</v>
      </c>
      <c r="CD3" s="533" t="s">
        <v>879</v>
      </c>
      <c r="CE3" s="533" t="str">
        <f>AA3</f>
        <v>HH B1 =&gt; Vảy A0_Băm</v>
      </c>
      <c r="CG3" s="760" t="s">
        <v>870</v>
      </c>
      <c r="CH3" s="763"/>
      <c r="CI3" s="763" t="s">
        <v>871</v>
      </c>
      <c r="CJ3" s="770"/>
      <c r="CK3" s="533" t="s">
        <v>855</v>
      </c>
      <c r="CL3" s="533" t="str">
        <f>AH3</f>
        <v>PB giá trị B1 =&gt; A1_DT</v>
      </c>
      <c r="CM3" s="537" t="str">
        <f>$BU$3&amp;" tới "&amp;CH2&amp;"_DT"</f>
        <v>CFPL B0 tới Vảy A1_DT</v>
      </c>
      <c r="CN3" s="537" t="s">
        <v>659</v>
      </c>
      <c r="CO3" s="537" t="s">
        <v>660</v>
      </c>
      <c r="CP3" s="533" t="s">
        <v>879</v>
      </c>
      <c r="CQ3" s="533" t="s">
        <v>884</v>
      </c>
      <c r="CR3" s="533" t="str">
        <f>AI3</f>
        <v>HH A0 =&gt;A1_DT</v>
      </c>
      <c r="CT3" s="538" t="s">
        <v>874</v>
      </c>
      <c r="CU3" s="751" t="s">
        <v>392</v>
      </c>
      <c r="CV3" s="747" t="s">
        <v>392</v>
      </c>
      <c r="CW3" s="747" t="s">
        <v>753</v>
      </c>
      <c r="CY3" s="763"/>
      <c r="CZ3" s="763" t="s">
        <v>871</v>
      </c>
      <c r="DA3" s="770"/>
      <c r="DB3" s="533" t="s">
        <v>855</v>
      </c>
      <c r="DC3" s="533" t="str">
        <f>AH3</f>
        <v>PB giá trị B1 =&gt; A1_DT</v>
      </c>
      <c r="DD3" s="537" t="str">
        <f>AJ3</f>
        <v>CFPL B0 tớí Vảy A1_DT</v>
      </c>
      <c r="DE3" s="537" t="s">
        <v>659</v>
      </c>
      <c r="DF3" s="537" t="s">
        <v>660</v>
      </c>
      <c r="DG3" s="533" t="s">
        <v>879</v>
      </c>
      <c r="DH3" s="533" t="s">
        <v>884</v>
      </c>
      <c r="DI3" s="533" t="str">
        <f>AI3</f>
        <v>HH A0 =&gt;A1_DT</v>
      </c>
      <c r="DK3" s="538" t="s">
        <v>874</v>
      </c>
      <c r="DL3" s="751" t="s">
        <v>392</v>
      </c>
      <c r="DM3" s="747" t="s">
        <v>392</v>
      </c>
      <c r="DN3" s="747" t="s">
        <v>753</v>
      </c>
      <c r="DR3" s="763"/>
      <c r="DS3" s="763" t="s">
        <v>871</v>
      </c>
      <c r="DU3" s="533" t="s">
        <v>663</v>
      </c>
      <c r="DV3" s="533" t="str">
        <f>BA3</f>
        <v>PB giá trị B1 =&gt;Hạt</v>
      </c>
      <c r="DW3" s="537" t="str">
        <f>BC3</f>
        <v>CFPL B0 tớí Hạt</v>
      </c>
      <c r="DX3" s="533" t="s">
        <v>879</v>
      </c>
      <c r="DY3" s="533" t="s">
        <v>884</v>
      </c>
      <c r="DZ3" s="533" t="s">
        <v>885</v>
      </c>
      <c r="EA3" s="533" t="str">
        <f>BB3</f>
        <v>HH  Vảy A1_DT =&gt;  Hạt</v>
      </c>
      <c r="EB3" s="537" t="s">
        <v>665</v>
      </c>
      <c r="EC3" s="537" t="s">
        <v>876</v>
      </c>
      <c r="ED3" s="537" t="s">
        <v>907</v>
      </c>
      <c r="EE3" s="538" t="s">
        <v>877</v>
      </c>
      <c r="EG3" s="538" t="s">
        <v>392</v>
      </c>
      <c r="EH3" s="532"/>
      <c r="EI3" s="537" t="s">
        <v>669</v>
      </c>
      <c r="EJ3" s="537" t="s">
        <v>670</v>
      </c>
      <c r="EK3" s="537" t="s">
        <v>671</v>
      </c>
      <c r="EL3" s="540" t="s">
        <v>672</v>
      </c>
      <c r="EM3" s="540" t="s">
        <v>902</v>
      </c>
      <c r="EN3" s="533" t="s">
        <v>901</v>
      </c>
      <c r="EO3" s="701" t="s">
        <v>677</v>
      </c>
      <c r="EP3" s="703" t="s">
        <v>675</v>
      </c>
      <c r="ER3" s="752" t="s">
        <v>663</v>
      </c>
      <c r="ES3" s="752" t="s">
        <v>845</v>
      </c>
      <c r="ET3" s="752" t="s">
        <v>677</v>
      </c>
      <c r="EU3" s="752" t="s">
        <v>846</v>
      </c>
      <c r="EW3" s="752" t="s">
        <v>663</v>
      </c>
      <c r="EX3" s="752" t="s">
        <v>845</v>
      </c>
      <c r="EY3" s="752" t="s">
        <v>677</v>
      </c>
      <c r="EZ3" s="752" t="s">
        <v>846</v>
      </c>
      <c r="FB3" s="752" t="s">
        <v>663</v>
      </c>
      <c r="FC3" s="752" t="s">
        <v>894</v>
      </c>
      <c r="FD3" s="752" t="s">
        <v>845</v>
      </c>
      <c r="FE3" s="752" t="s">
        <v>900</v>
      </c>
      <c r="FF3" s="752" t="s">
        <v>677</v>
      </c>
      <c r="FG3" s="795" t="s">
        <v>903</v>
      </c>
      <c r="FI3" s="752" t="s">
        <v>663</v>
      </c>
      <c r="FJ3" s="752" t="s">
        <v>894</v>
      </c>
      <c r="FK3" s="752" t="s">
        <v>845</v>
      </c>
      <c r="FL3" s="752" t="s">
        <v>900</v>
      </c>
      <c r="FM3" s="796" t="s">
        <v>677</v>
      </c>
      <c r="FN3" s="795" t="s">
        <v>903</v>
      </c>
      <c r="FP3" s="703" t="s">
        <v>693</v>
      </c>
      <c r="FQ3" s="703" t="s">
        <v>904</v>
      </c>
      <c r="FS3" s="942" t="s">
        <v>905</v>
      </c>
      <c r="FT3" s="703" t="s">
        <v>906</v>
      </c>
      <c r="FU3" s="703" t="s">
        <v>740</v>
      </c>
      <c r="FV3" s="709" t="s">
        <v>681</v>
      </c>
      <c r="FW3" s="688" t="s">
        <v>839</v>
      </c>
    </row>
    <row r="4" spans="2:179" x14ac:dyDescent="0.35">
      <c r="E4" s="340" t="s">
        <v>649</v>
      </c>
      <c r="G4" s="340" t="s">
        <v>651</v>
      </c>
      <c r="H4" s="340" t="s">
        <v>650</v>
      </c>
      <c r="J4" s="340" t="s">
        <v>361</v>
      </c>
      <c r="K4" s="340" t="s">
        <v>652</v>
      </c>
      <c r="L4" s="340" t="s">
        <v>712</v>
      </c>
      <c r="M4" s="340" t="s">
        <v>655</v>
      </c>
      <c r="N4" s="455">
        <f>N2+N3</f>
        <v>9766.2121032451905</v>
      </c>
      <c r="O4" s="671">
        <f>(N4*(1-G5))/J7</f>
        <v>16.584133760227683</v>
      </c>
      <c r="Q4" s="453"/>
      <c r="R4" s="463"/>
      <c r="S4" s="343"/>
      <c r="Z4" s="468">
        <f>Q5/$Z$6</f>
        <v>13535.017988946352</v>
      </c>
      <c r="AA4" s="468">
        <f t="shared" ref="AA4:AB4" si="16">R5/$Z$6</f>
        <v>1903.1539551812473</v>
      </c>
      <c r="AB4" s="468">
        <f t="shared" si="16"/>
        <v>3593.3676076848728</v>
      </c>
      <c r="AC4" s="463">
        <f>Z5-Z4-AA4-AB4</f>
        <v>0</v>
      </c>
      <c r="AD4" s="342"/>
      <c r="AF4" s="342"/>
      <c r="AH4" s="756">
        <f>Z4/$AH$6</f>
        <v>14594.066894680444</v>
      </c>
      <c r="AI4" s="756">
        <f>AA4/$AH$6</f>
        <v>2052.0664365184894</v>
      </c>
      <c r="AJ4" s="756">
        <f>AB4/$AH$6</f>
        <v>3874.5310339859593</v>
      </c>
      <c r="AK4" s="463">
        <f>AH5-AH4-AI4-AJ4</f>
        <v>0</v>
      </c>
      <c r="AZ4" s="342"/>
      <c r="BA4" s="463">
        <f>AH4/$BA$6</f>
        <v>15154.794283157262</v>
      </c>
      <c r="BB4" s="463">
        <f>AI4/$BA$6</f>
        <v>2130.9101106110998</v>
      </c>
      <c r="BC4" s="463">
        <f>AJ4/$BA$6</f>
        <v>4023.3967123426364</v>
      </c>
      <c r="BD4" s="463">
        <f>BA5-BA4-BB4-BC4</f>
        <v>0</v>
      </c>
      <c r="BH4" s="470">
        <f>$E$5</f>
        <v>11300</v>
      </c>
      <c r="BS4" s="414"/>
      <c r="BU4" s="343"/>
      <c r="BW4" s="414"/>
      <c r="BX4" s="414"/>
      <c r="BY4" s="771"/>
      <c r="CC4" s="463">
        <f>CC6</f>
        <v>1864.9499828812825</v>
      </c>
      <c r="CG4" s="343"/>
      <c r="CH4" s="764"/>
      <c r="CI4" s="764"/>
      <c r="CJ4" s="771"/>
      <c r="CK4" s="735"/>
      <c r="CO4" s="949">
        <f>CO6</f>
        <v>1273.8558498087386</v>
      </c>
      <c r="CP4" s="463"/>
      <c r="CT4" s="343"/>
      <c r="CX4" s="533"/>
      <c r="CY4" s="790"/>
      <c r="CZ4" s="790" t="s">
        <v>712</v>
      </c>
      <c r="DA4" s="771"/>
      <c r="DB4" s="735"/>
      <c r="DC4" s="340"/>
      <c r="DF4" s="949">
        <f>DF6</f>
        <v>1273.8558498087386</v>
      </c>
      <c r="DG4" s="463"/>
      <c r="DH4" s="340"/>
      <c r="DI4" s="340"/>
      <c r="DK4" s="343"/>
      <c r="DL4" s="340"/>
      <c r="DO4" s="533"/>
      <c r="DR4" s="764"/>
      <c r="DS4" s="764"/>
      <c r="DU4" s="453">
        <f>BS6/DU5</f>
        <v>21309.101106111</v>
      </c>
      <c r="DV4" s="453"/>
      <c r="DW4" s="453"/>
      <c r="DX4" s="453"/>
      <c r="DY4" s="453"/>
      <c r="DZ4" s="453"/>
      <c r="EA4" s="453"/>
      <c r="EB4" s="757">
        <f>EB6</f>
        <v>2000.939404729972</v>
      </c>
      <c r="EC4" s="757">
        <f>[6]TH!$O$11</f>
        <v>1376.0623421472308</v>
      </c>
      <c r="ED4" s="757"/>
      <c r="EE4" s="453"/>
      <c r="EG4" s="453"/>
      <c r="EI4" s="340">
        <v>82</v>
      </c>
      <c r="EJ4" s="340">
        <v>44</v>
      </c>
      <c r="EK4" s="340">
        <v>14</v>
      </c>
      <c r="EL4" s="453">
        <f>SUM(EI4:EK4)</f>
        <v>140</v>
      </c>
      <c r="ER4" s="409">
        <f t="shared" ref="ER4:EU5" si="17">ER1/$EU1</f>
        <v>0.49434912231660921</v>
      </c>
      <c r="ES4" s="409">
        <f t="shared" si="17"/>
        <v>0.46242101317596368</v>
      </c>
      <c r="ET4" s="409">
        <f t="shared" si="17"/>
        <v>4.3229864507427114E-2</v>
      </c>
      <c r="EU4" s="409">
        <f t="shared" si="17"/>
        <v>1</v>
      </c>
      <c r="EW4" s="409">
        <f t="shared" ref="EW4:EZ5" si="18">EW1/$EZ1</f>
        <v>0.49434912231660921</v>
      </c>
      <c r="EX4" s="409">
        <f t="shared" si="18"/>
        <v>0.46242101317596368</v>
      </c>
      <c r="EY4" s="409">
        <f t="shared" si="18"/>
        <v>4.3229864507427114E-2</v>
      </c>
      <c r="EZ4" s="409">
        <f t="shared" si="18"/>
        <v>1</v>
      </c>
      <c r="FB4" s="409">
        <f t="shared" ref="FB4:FF4" si="19">FB1/$FG1</f>
        <v>0.47129495048119352</v>
      </c>
      <c r="FC4" s="409">
        <f t="shared" si="19"/>
        <v>2.3054171835415718E-2</v>
      </c>
      <c r="FD4" s="409">
        <f t="shared" si="19"/>
        <v>0.3413773925551678</v>
      </c>
      <c r="FE4" s="409">
        <f t="shared" si="19"/>
        <v>0.12104362062079595</v>
      </c>
      <c r="FF4" s="409">
        <f t="shared" si="19"/>
        <v>4.3229864507427121E-2</v>
      </c>
      <c r="FG4" s="409">
        <f>FG1/$FG1</f>
        <v>1</v>
      </c>
      <c r="FI4" s="409">
        <f t="shared" ref="FI4:FM4" si="20">FI1/$FN1</f>
        <v>0.47129495048119341</v>
      </c>
      <c r="FJ4" s="409">
        <f t="shared" si="20"/>
        <v>2.3054171835415714E-2</v>
      </c>
      <c r="FK4" s="409">
        <f t="shared" si="20"/>
        <v>0.34137739255516775</v>
      </c>
      <c r="FL4" s="409">
        <f t="shared" si="20"/>
        <v>0.12104362062079592</v>
      </c>
      <c r="FM4" s="409">
        <f t="shared" si="20"/>
        <v>4.3229864507427114E-2</v>
      </c>
      <c r="FN4" s="409">
        <f>FN1/$FN1</f>
        <v>1</v>
      </c>
    </row>
    <row r="5" spans="2:179" ht="18.5" customHeight="1" x14ac:dyDescent="0.35">
      <c r="E5" s="455">
        <v>11300</v>
      </c>
      <c r="G5" s="458">
        <v>0.1</v>
      </c>
      <c r="H5" s="456">
        <v>3000</v>
      </c>
      <c r="M5" s="340" t="s">
        <v>654</v>
      </c>
      <c r="N5" s="455">
        <f>N4/($J$7/(1-$G$5))*1000</f>
        <v>16584.133760227684</v>
      </c>
      <c r="O5" s="453">
        <f>'Giá mua Chai-Vảy'!E14</f>
        <v>16300</v>
      </c>
      <c r="P5" s="463">
        <f>N5-O5</f>
        <v>284.13376022768352</v>
      </c>
      <c r="Q5" s="792">
        <f>'Giá mua Chai-Vảy (Giá giảm)'!I24</f>
        <v>11794.450373532554</v>
      </c>
      <c r="R5" s="792">
        <f>'Giá mua Chai-Vảy (Giá giảm)'!K24</f>
        <v>1658.4133760227683</v>
      </c>
      <c r="S5" s="570">
        <f>'Giá mua Chai-Vảy (Giá giảm)'!L24</f>
        <v>3131.2700106723596</v>
      </c>
      <c r="T5" s="463">
        <f>N5-Q5-R5-S5</f>
        <v>0</v>
      </c>
      <c r="Y5" s="463">
        <f>Z5-N5-AA12-AA30</f>
        <v>1034.3587548062762</v>
      </c>
      <c r="Z5" s="465">
        <f>N5/Z6</f>
        <v>19031.539551812475</v>
      </c>
      <c r="AA5" s="465">
        <f>Z5-AA12</f>
        <v>18331.61026672375</v>
      </c>
      <c r="AG5" s="463"/>
      <c r="AH5" s="465">
        <f>Z5/AH6</f>
        <v>20520.664365184894</v>
      </c>
      <c r="AI5" s="465">
        <f>AH5-AI20</f>
        <v>20207.546988988332</v>
      </c>
      <c r="AJ5" s="342">
        <f>V7</f>
        <v>0.53</v>
      </c>
      <c r="AK5" s="454">
        <f>N5/AK6</f>
        <v>20520.664365184897</v>
      </c>
      <c r="AZ5" s="756">
        <f>$AZ$7-$BA$5</f>
        <v>578.18419231908047</v>
      </c>
      <c r="BA5" s="465">
        <f>AH5/BA6</f>
        <v>21309.101106111</v>
      </c>
      <c r="BB5" s="465">
        <f>BA5-BB17</f>
        <v>20987.289792405543</v>
      </c>
      <c r="BC5" s="518">
        <f>'Hảo_R&amp;D (Vảy sạch)'!BR2</f>
        <v>6.6666666666666666E-2</v>
      </c>
      <c r="BD5" s="419" t="s">
        <v>630</v>
      </c>
      <c r="BE5" s="340" t="s">
        <v>656</v>
      </c>
      <c r="BH5" s="342">
        <f>G5</f>
        <v>0.1</v>
      </c>
      <c r="BJ5" s="463">
        <f>H5</f>
        <v>3000</v>
      </c>
      <c r="BL5" s="463"/>
      <c r="BM5" s="463"/>
      <c r="BN5" s="463"/>
      <c r="BO5" s="463"/>
      <c r="BS5" s="414"/>
      <c r="BU5" s="343"/>
      <c r="BW5" s="755"/>
      <c r="BX5" s="387">
        <f>Z6</f>
        <v>0.87140263745232782</v>
      </c>
      <c r="BY5" s="772"/>
      <c r="CA5" s="387"/>
      <c r="CB5" s="387"/>
      <c r="CC5" s="484">
        <f>CC7</f>
        <v>3240.9192930660097</v>
      </c>
      <c r="CD5" s="453">
        <f>CE5/CU2</f>
        <v>51.923370195650079</v>
      </c>
      <c r="CE5" s="484">
        <f>CC5-CC4</f>
        <v>1375.9693101847272</v>
      </c>
      <c r="CG5" s="343"/>
      <c r="CH5" s="764"/>
      <c r="CI5" s="387">
        <f>AH6</f>
        <v>0.92743291411661843</v>
      </c>
      <c r="CJ5" s="772"/>
      <c r="CL5" s="453"/>
      <c r="CM5" s="484"/>
      <c r="CN5" s="387"/>
      <c r="CO5" s="759">
        <f>CO7</f>
        <v>2013.5603276057439</v>
      </c>
      <c r="CP5" s="484"/>
      <c r="CQ5" s="453">
        <f>CR5/DW2</f>
        <v>3.2470280195646795</v>
      </c>
      <c r="CR5" s="484">
        <f>CO5-CO4</f>
        <v>739.70447779700521</v>
      </c>
      <c r="CT5" s="484">
        <f>CG6/CI5</f>
        <v>21776.842229976592</v>
      </c>
      <c r="CX5" s="533"/>
      <c r="CY5" s="764"/>
      <c r="CZ5" s="387">
        <f>AH6</f>
        <v>0.92743291411661843</v>
      </c>
      <c r="DA5" s="772"/>
      <c r="DB5" s="340"/>
      <c r="DC5" s="387"/>
      <c r="DD5" s="789"/>
      <c r="DE5" s="789"/>
      <c r="DF5" s="759">
        <f>DF7</f>
        <v>2013.5603276057439</v>
      </c>
      <c r="DG5" s="484"/>
      <c r="DH5" s="453">
        <f>DI5/EN2</f>
        <v>0.19938126086172647</v>
      </c>
      <c r="DI5" s="484">
        <f>DF5-DF4</f>
        <v>739.70447779700521</v>
      </c>
      <c r="DK5" s="456"/>
      <c r="DL5" s="340"/>
      <c r="DO5" s="533"/>
      <c r="DP5" s="411" t="str">
        <f>AT11</f>
        <v>Tạo hạt iSS01084G</v>
      </c>
      <c r="DQ5" s="481"/>
      <c r="DR5" s="763"/>
      <c r="DS5" s="341">
        <f>BA6</f>
        <v>0.96300000000000008</v>
      </c>
      <c r="DT5" s="748"/>
      <c r="DU5" s="342">
        <f>BD6</f>
        <v>0.77826529038673076</v>
      </c>
      <c r="DV5" s="342"/>
      <c r="DW5" s="342"/>
      <c r="DX5" s="342"/>
      <c r="DY5" s="342"/>
      <c r="DZ5" s="342"/>
      <c r="EA5" s="342"/>
      <c r="EB5" s="757">
        <f>EB7</f>
        <v>2796.8565141477497</v>
      </c>
      <c r="EC5" s="757">
        <f>[6]TH!$Q$11</f>
        <v>2064.9528218457522</v>
      </c>
      <c r="ED5" s="757"/>
      <c r="EE5" s="453">
        <f>DK6/DS5</f>
        <v>23668.065154825716</v>
      </c>
      <c r="EF5" s="463">
        <f>EE6-EF6</f>
        <v>2554.846501753058</v>
      </c>
      <c r="EG5" s="342"/>
      <c r="EI5" s="453">
        <f>EI4*26.5</f>
        <v>2173</v>
      </c>
      <c r="EJ5" s="453">
        <f t="shared" ref="EJ5:EK5" si="21">EJ4*26.5</f>
        <v>1166</v>
      </c>
      <c r="EK5" s="453">
        <f t="shared" si="21"/>
        <v>371</v>
      </c>
      <c r="EL5" s="453">
        <f>SUM(EI5:EK5)</f>
        <v>3710</v>
      </c>
      <c r="ER5" s="409">
        <f t="shared" si="17"/>
        <v>0.49189591217320877</v>
      </c>
      <c r="ES5" s="409">
        <f t="shared" si="17"/>
        <v>0.46508875175143743</v>
      </c>
      <c r="ET5" s="409">
        <f t="shared" si="17"/>
        <v>4.3015336075353704E-2</v>
      </c>
      <c r="EU5" s="409">
        <f t="shared" si="17"/>
        <v>1</v>
      </c>
      <c r="EW5" s="409">
        <f t="shared" si="18"/>
        <v>0.49189591217320877</v>
      </c>
      <c r="EX5" s="409">
        <f t="shared" si="18"/>
        <v>0.46508875175143749</v>
      </c>
      <c r="EY5" s="409">
        <f t="shared" si="18"/>
        <v>4.3015336075353711E-2</v>
      </c>
      <c r="EZ5" s="409">
        <f t="shared" si="18"/>
        <v>1</v>
      </c>
      <c r="FB5" s="409">
        <f t="shared" ref="FB5:FF5" si="22">FB2/$FG2</f>
        <v>0.46895614678789316</v>
      </c>
      <c r="FC5" s="409">
        <f t="shared" si="22"/>
        <v>2.2939765385315624E-2</v>
      </c>
      <c r="FD5" s="409">
        <f t="shared" si="22"/>
        <v>0.34464581074044714</v>
      </c>
      <c r="FE5" s="409">
        <f t="shared" si="22"/>
        <v>0.1204429410109904</v>
      </c>
      <c r="FF5" s="409">
        <f t="shared" si="22"/>
        <v>4.3015336075353718E-2</v>
      </c>
      <c r="FG5" s="409">
        <f>FG2/$FG2</f>
        <v>1</v>
      </c>
      <c r="FI5" s="409">
        <f>FI2/$FN2</f>
        <v>0.46895614678789316</v>
      </c>
      <c r="FJ5" s="409">
        <f t="shared" ref="FJ5:FM5" si="23">FJ2/$FN2</f>
        <v>2.2939765385315624E-2</v>
      </c>
      <c r="FK5" s="409">
        <f t="shared" si="23"/>
        <v>0.34464581074044714</v>
      </c>
      <c r="FL5" s="409">
        <f t="shared" si="23"/>
        <v>0.1204429410109904</v>
      </c>
      <c r="FM5" s="409">
        <f t="shared" si="23"/>
        <v>4.3015336075353718E-2</v>
      </c>
      <c r="FN5" s="409">
        <f>FN2/$FN2</f>
        <v>1</v>
      </c>
    </row>
    <row r="6" spans="2:179" ht="19" customHeight="1" x14ac:dyDescent="0.35">
      <c r="N6" s="460"/>
      <c r="V6" s="343"/>
      <c r="Z6" s="389">
        <f>SUM(Z7:Z9)</f>
        <v>0.87140263745232782</v>
      </c>
      <c r="AG6" s="735"/>
      <c r="AH6" s="389">
        <f>SUM(AH7:AH16)</f>
        <v>0.92743291411661843</v>
      </c>
      <c r="AI6" s="551">
        <f>SUM(AH7*AI7,AH9*AI9,AH11*AI11,AH13*AI13,AH15*AI15)</f>
        <v>0.75153843567153134</v>
      </c>
      <c r="AK6" s="393">
        <f>Z6*AH6</f>
        <v>0.8081674874213195</v>
      </c>
      <c r="AL6" s="673">
        <f>SUM(AL7:AL16)</f>
        <v>3.3</v>
      </c>
      <c r="AZ6" s="466">
        <f>AI5/BA6</f>
        <v>20983.95325959328</v>
      </c>
      <c r="BA6" s="388">
        <f>SUM(BA7:BA13)</f>
        <v>0.96300000000000008</v>
      </c>
      <c r="BB6" s="551">
        <f>SUM(BA7*BB7,BA9*BB9,BA11*BB11,BA13*BB13)</f>
        <v>1.0994587155963305</v>
      </c>
      <c r="BC6" s="466"/>
      <c r="BD6" s="421">
        <f>AK6*BA6</f>
        <v>0.77826529038673076</v>
      </c>
      <c r="BE6" s="468">
        <f>N5/BD6</f>
        <v>21309.101106111</v>
      </c>
      <c r="BF6" s="682">
        <f>BE6-AZ6</f>
        <v>325.14784651772061</v>
      </c>
      <c r="BG6" s="463"/>
      <c r="BH6" s="342">
        <f>V7</f>
        <v>0.53</v>
      </c>
      <c r="BI6" s="340">
        <v>530</v>
      </c>
      <c r="BJ6" s="342">
        <f>'Giá mua Chai-Vảy (Giá giảm)'!H14</f>
        <v>0.61465670579864828</v>
      </c>
      <c r="BK6" s="481" t="str">
        <f>N7</f>
        <v>Chai B1</v>
      </c>
      <c r="BL6" s="742">
        <f>BJ6*$BH$4/(1-$BH$5)-BM6</f>
        <v>6945.620775524726</v>
      </c>
      <c r="BM6" s="742">
        <f>BJ6*$BH$4*$BH$5/(1-$BH$5)</f>
        <v>771.73564172496958</v>
      </c>
      <c r="BN6" s="742">
        <f>BL6+BM6</f>
        <v>7717.3564172496954</v>
      </c>
      <c r="BO6" s="742">
        <f>BN6/(BI6/(1-$BH$5))*1000</f>
        <v>13104.944859480614</v>
      </c>
      <c r="BP6" s="744">
        <f>($BJ$5+$BJ$5*$BH$5/(1-$BH$5))*BJ6</f>
        <v>2048.8556859954942</v>
      </c>
      <c r="BQ6" s="463">
        <f>BL6+BM6+BP6</f>
        <v>9766.2121032451905</v>
      </c>
      <c r="BR6" s="744">
        <f>BQ6/(BI6/(1-$BH$5))*1000</f>
        <v>16584.133760227684</v>
      </c>
      <c r="BS6" s="731">
        <f>N5</f>
        <v>16584.133760227684</v>
      </c>
      <c r="BT6" s="748">
        <f>Q5</f>
        <v>11794.450373532554</v>
      </c>
      <c r="BU6" s="746">
        <f>S5</f>
        <v>3131.2700106723596</v>
      </c>
      <c r="BV6" s="748">
        <f>R5</f>
        <v>1658.4133760227683</v>
      </c>
      <c r="BW6" s="731" t="str">
        <f>LEFT($BW$2,3)&amp;" "&amp;RIGHT(BK6,2)&amp;"_"&amp;RIGHT($BW$2,3)</f>
        <v>Vảy B1_ A0</v>
      </c>
      <c r="BX6" s="731"/>
      <c r="BY6" s="777" t="s">
        <v>872</v>
      </c>
      <c r="BZ6" s="748">
        <f>BS6/BX5</f>
        <v>19031.539551812475</v>
      </c>
      <c r="CA6" s="748">
        <f>Z4</f>
        <v>13535.017988946352</v>
      </c>
      <c r="CB6" s="748">
        <f>AB4</f>
        <v>3593.3676076848728</v>
      </c>
      <c r="CC6" s="453">
        <f>[6]TH!$O$6</f>
        <v>1864.9499828812825</v>
      </c>
      <c r="CD6" s="748">
        <f>-AA12</f>
        <v>-699.9292850887249</v>
      </c>
      <c r="CE6" s="482">
        <f>AA4</f>
        <v>1903.1539551812473</v>
      </c>
      <c r="CG6" s="757">
        <f t="shared" ref="CG6:CG15" si="24">SUM(CA6:CE6)</f>
        <v>20196.560249605031</v>
      </c>
      <c r="CH6" s="765" t="str">
        <f>LEFT($CH$2,3)&amp;" "&amp;RIGHT(BK6,2)&amp;"_"&amp;RIGHT($CH$2,3)&amp;" DT"</f>
        <v>Vảy B1_ A1 DT</v>
      </c>
      <c r="CI6" s="765"/>
      <c r="CJ6" s="777" t="s">
        <v>872</v>
      </c>
      <c r="CK6" s="482">
        <f>BZ6/CI5</f>
        <v>20520.664365184894</v>
      </c>
      <c r="CL6" s="482">
        <f>CA6/$CI$5</f>
        <v>14594.066894680444</v>
      </c>
      <c r="CM6" s="484">
        <f>CB6/$CI$5</f>
        <v>3874.5310339859593</v>
      </c>
      <c r="CN6" s="484">
        <f>CC6/$CI$5</f>
        <v>2010.8731903888172</v>
      </c>
      <c r="CO6" s="456">
        <f>[6]TH!$O$7</f>
        <v>1273.8558498087386</v>
      </c>
      <c r="CP6" s="482">
        <f>CD6</f>
        <v>-699.9292850887249</v>
      </c>
      <c r="CQ6" s="482">
        <f>-AI20</f>
        <v>-313.11737619656105</v>
      </c>
      <c r="CR6" s="482">
        <f>CE6/CI5</f>
        <v>2052.0664365184894</v>
      </c>
      <c r="CT6" s="486">
        <f t="shared" ref="CT6:CT15" si="25">SUM(CL6:CR6)</f>
        <v>22792.346744097165</v>
      </c>
      <c r="CU6" s="453">
        <f t="shared" ref="CU6:CU15" si="26">CT6/$CU$2</f>
        <v>860.08855638102511</v>
      </c>
      <c r="CV6" s="494">
        <f t="shared" ref="CV6:CV15" si="27">$CV$2+CU6</f>
        <v>930.08855638102511</v>
      </c>
      <c r="CW6" s="587">
        <f>CV6/$CV$12</f>
        <v>1.1937263914244041</v>
      </c>
      <c r="CX6" s="533"/>
      <c r="CY6" s="765" t="str">
        <f>LEFT($CH$2,3)&amp;" "&amp;RIGHT(BK6,2)&amp;"_"&amp;RIGHT($CH$2,3)&amp;" DT"</f>
        <v>Vảy B1_ A1 DT</v>
      </c>
      <c r="CZ6" s="765"/>
      <c r="DA6" s="777" t="s">
        <v>872</v>
      </c>
      <c r="DB6" s="482">
        <f>BZ6/CZ5</f>
        <v>20520.664365184894</v>
      </c>
      <c r="DC6" s="482">
        <f>CL6</f>
        <v>14594.066894680444</v>
      </c>
      <c r="DD6" s="484">
        <f>CM6</f>
        <v>3874.5310339859593</v>
      </c>
      <c r="DE6" s="484">
        <f>CN6</f>
        <v>2010.8731903888172</v>
      </c>
      <c r="DF6" s="476">
        <f>CO6</f>
        <v>1273.8558498087386</v>
      </c>
      <c r="DG6" s="476">
        <f>CP6</f>
        <v>-699.9292850887249</v>
      </c>
      <c r="DH6" s="482">
        <f t="shared" ref="DH6:DI6" si="28">CQ6</f>
        <v>-313.11737619656105</v>
      </c>
      <c r="DI6" s="482">
        <f t="shared" si="28"/>
        <v>2052.0664365184894</v>
      </c>
      <c r="DK6" s="731">
        <f t="shared" ref="DK6:DK13" si="29">SUM(DC6:DI6)</f>
        <v>22792.346744097165</v>
      </c>
      <c r="DL6" s="453">
        <f t="shared" ref="DL6:DL22" si="30">DK6/$CU$2</f>
        <v>860.08855638102511</v>
      </c>
      <c r="DM6" s="494">
        <f>$CV$2+DL6</f>
        <v>930.08855638102511</v>
      </c>
      <c r="DN6" s="587">
        <f>DM6/$DM$12</f>
        <v>1.8600123967955282</v>
      </c>
      <c r="DO6" s="533"/>
      <c r="DP6" s="411"/>
      <c r="DQ6" s="481" t="str">
        <f>AX11</f>
        <v>100%B1.A1,A2</v>
      </c>
      <c r="DR6" s="778" t="str">
        <f>BC7</f>
        <v>Hạt rPET iSS01084G</v>
      </c>
      <c r="DS6" s="765"/>
      <c r="DT6" s="777" t="s">
        <v>872</v>
      </c>
      <c r="DU6" s="476">
        <f>DB6/$DS$5</f>
        <v>21309.101106111</v>
      </c>
      <c r="DV6" s="476">
        <f>DC6/$DS$5</f>
        <v>15154.794283157262</v>
      </c>
      <c r="DW6" s="476">
        <f>(DD6+DE6+DF6)/$DS$5</f>
        <v>7434.3302951022997</v>
      </c>
      <c r="DX6" s="476">
        <f>DG6/$DS$5</f>
        <v>-726.82168752723248</v>
      </c>
      <c r="DY6" s="476">
        <f>DH6/$DS$5</f>
        <v>-325.14784651771652</v>
      </c>
      <c r="DZ6" s="476">
        <f>-BB17</f>
        <v>-321.81131370545882</v>
      </c>
      <c r="EA6" s="476">
        <f>DI6/$DS$5</f>
        <v>2130.9101106110998</v>
      </c>
      <c r="EB6" s="476">
        <f>[6]TH!$O$10</f>
        <v>2000.939404729972</v>
      </c>
      <c r="EC6" s="476"/>
      <c r="ED6" s="476"/>
      <c r="EE6" s="476">
        <f>SUM(DV6:EC6)</f>
        <v>25347.193245850223</v>
      </c>
      <c r="EF6" s="453">
        <f>CT6</f>
        <v>22792.346744097165</v>
      </c>
      <c r="EG6" s="476">
        <f>EE6/$EG$1</f>
        <v>956.49785833397073</v>
      </c>
      <c r="EI6" s="476">
        <f>EI5</f>
        <v>2173</v>
      </c>
      <c r="EJ6" s="476">
        <f>EJ5</f>
        <v>1166</v>
      </c>
      <c r="EK6" s="476">
        <f>EK5</f>
        <v>371</v>
      </c>
      <c r="EL6" s="476">
        <f t="shared" ref="EL6:EL13" si="31">SUM(EI6:EK6)</f>
        <v>3710</v>
      </c>
      <c r="EM6" s="476">
        <f>EE6+EL6</f>
        <v>29057.193245850223</v>
      </c>
      <c r="EN6" s="482">
        <f t="shared" ref="EN6:EN13" si="32">EG6+$EN$1</f>
        <v>1096.4978583339707</v>
      </c>
      <c r="EO6" s="731">
        <v>100</v>
      </c>
      <c r="EP6" s="731">
        <f t="shared" ref="EP6:EP13" si="33">EN6+EO6</f>
        <v>1196.4978583339707</v>
      </c>
      <c r="ER6" s="731">
        <f>SUM(DV6,EA6,DX6:DZ6)/$EG$1</f>
        <v>600.44994513275299</v>
      </c>
      <c r="ES6" s="731">
        <f t="shared" ref="ES6:ES13" si="34">(SUM(DW6,EB6,EC6,EI6:EK6))/$EG$1</f>
        <v>496.0479132012178</v>
      </c>
      <c r="ET6" s="731">
        <f>EO6</f>
        <v>100</v>
      </c>
      <c r="EU6" s="731">
        <f>SUM(ER6:ET6)</f>
        <v>1196.4978583339707</v>
      </c>
      <c r="EW6" s="731">
        <f t="shared" ref="EW6:EW13" si="35">SUM(DV6,EA6,DX6:DZ6)</f>
        <v>15911.923546017953</v>
      </c>
      <c r="EX6" s="731">
        <f t="shared" ref="EX6:EX13" si="36">SUM(DW6,EB6,EC6,EI6:EK6)</f>
        <v>13145.269699832272</v>
      </c>
      <c r="EY6" s="731">
        <f>EO6*$EG$1</f>
        <v>2650</v>
      </c>
      <c r="EZ6" s="731">
        <f>SUM(EW6:EY6)</f>
        <v>31707.193245850227</v>
      </c>
      <c r="FB6" s="731">
        <f t="shared" ref="FB6:FB13" si="37">DV6/$EG$1</f>
        <v>571.87902955310426</v>
      </c>
      <c r="FC6" s="731">
        <f t="shared" ref="FC6:FC13" si="38">SUM(DX6:EA6)/$EG$1</f>
        <v>28.570915579648755</v>
      </c>
      <c r="FD6" s="731">
        <f t="shared" ref="FD6:FD13" si="39">SUM(DW6,EB6,EC6)/$EG$1</f>
        <v>356.0479132012178</v>
      </c>
      <c r="FE6" s="731">
        <f t="shared" ref="FE6:FE13" si="40">SUM(EI6:EK6)/$EG$1</f>
        <v>140</v>
      </c>
      <c r="FF6" s="731">
        <f>ET6</f>
        <v>100</v>
      </c>
      <c r="FG6" s="731">
        <f>SUM(FB6:FF6)</f>
        <v>1196.4978583339707</v>
      </c>
      <c r="FH6" s="735">
        <f>FG6-EU6</f>
        <v>0</v>
      </c>
      <c r="FI6" s="731">
        <f>DV6</f>
        <v>15154.794283157262</v>
      </c>
      <c r="FJ6" s="731">
        <f t="shared" ref="FJ6:FJ13" si="41">SUM(DX6:EA6)</f>
        <v>757.12926286069205</v>
      </c>
      <c r="FK6" s="731">
        <f t="shared" ref="FK6:FK13" si="42">SUM(DW6,EB6,EC6)</f>
        <v>9435.2696998322717</v>
      </c>
      <c r="FL6" s="731">
        <f t="shared" ref="FL6:FL13" si="43">SUM(EI6:EK6)</f>
        <v>3710</v>
      </c>
      <c r="FM6" s="731">
        <f>EY6</f>
        <v>2650</v>
      </c>
      <c r="FN6" s="731">
        <f>SUM(FI6:FM6)</f>
        <v>31707.193245850227</v>
      </c>
      <c r="FO6" s="463">
        <f>FN6-EZ6</f>
        <v>0</v>
      </c>
      <c r="FP6" s="526">
        <f>(FF6+FE6)/FG6</f>
        <v>0.20058539873542369</v>
      </c>
      <c r="FQ6" s="526">
        <f t="shared" ref="FQ6:FQ13" si="44">FF6/FG6</f>
        <v>8.3577249473093196E-2</v>
      </c>
      <c r="FS6" s="731">
        <f>'Hảo_R&amp;D (Vảy sạch) (-PS)'!CN2</f>
        <v>1470</v>
      </c>
      <c r="FT6" s="463">
        <f>FS6-SUM(FB6:FD6)</f>
        <v>513.50214166602927</v>
      </c>
      <c r="FU6" s="945">
        <f>FT6/FS6</f>
        <v>0.34932118480682262</v>
      </c>
      <c r="FV6" s="279">
        <f>FS6-FG6</f>
        <v>273.50214166602927</v>
      </c>
      <c r="FW6" s="296">
        <f>FV6/FS6</f>
        <v>0.18605587868437365</v>
      </c>
    </row>
    <row r="7" spans="2:179" ht="15.75" customHeight="1" x14ac:dyDescent="0.35">
      <c r="D7" s="878"/>
      <c r="E7" s="841" t="s">
        <v>548</v>
      </c>
      <c r="F7" s="842"/>
      <c r="G7" s="346"/>
      <c r="H7" s="862" t="s">
        <v>549</v>
      </c>
      <c r="I7" s="863"/>
      <c r="J7" s="346">
        <v>530</v>
      </c>
      <c r="K7" s="459">
        <v>0.53</v>
      </c>
      <c r="L7" s="575">
        <f>'Giá mua Chai-Vảy (Giá giảm)'!H14</f>
        <v>0.61465670579864828</v>
      </c>
      <c r="M7" s="866"/>
      <c r="N7" s="868" t="s">
        <v>14</v>
      </c>
      <c r="O7" s="869"/>
      <c r="P7" s="346"/>
      <c r="Q7" s="346"/>
      <c r="R7" s="845"/>
      <c r="S7" s="873" t="s">
        <v>550</v>
      </c>
      <c r="T7" s="873"/>
      <c r="U7" s="347"/>
      <c r="V7" s="408">
        <v>0.53</v>
      </c>
      <c r="W7" s="862" t="s">
        <v>551</v>
      </c>
      <c r="X7" s="863"/>
      <c r="Y7" s="346"/>
      <c r="Z7" s="348">
        <v>0.43017945530235618</v>
      </c>
      <c r="AA7" s="835"/>
      <c r="AB7" s="841" t="s">
        <v>552</v>
      </c>
      <c r="AC7" s="842"/>
      <c r="AG7" s="675">
        <f>$AI$5*AL7</f>
        <v>20207.546988988332</v>
      </c>
      <c r="AH7" s="348">
        <v>0.46161476898244669</v>
      </c>
      <c r="AI7" s="835" t="s">
        <v>700</v>
      </c>
      <c r="AJ7" s="841" t="s">
        <v>553</v>
      </c>
      <c r="AK7" s="842"/>
      <c r="AL7" s="522">
        <f>AI7/$AI$7</f>
        <v>1</v>
      </c>
      <c r="AM7" s="862" t="s">
        <v>554</v>
      </c>
      <c r="AN7" s="863"/>
      <c r="AO7" s="346"/>
      <c r="AP7" s="346"/>
      <c r="AQ7" s="346"/>
      <c r="AR7" s="880" t="s">
        <v>555</v>
      </c>
      <c r="AS7" s="881"/>
      <c r="AT7" s="349"/>
      <c r="AU7" s="349"/>
      <c r="AV7" s="349"/>
      <c r="AW7" s="349"/>
      <c r="AX7" s="349"/>
      <c r="AY7" s="761"/>
      <c r="AZ7" s="467">
        <f>$AZ$6/$BB$6*BB7</f>
        <v>21887.285298430081</v>
      </c>
      <c r="BA7" s="350">
        <v>0.90700000000000003</v>
      </c>
      <c r="BB7" s="449">
        <f>'Hảo_R&amp;D (Vảy sạch)'!$BH$2</f>
        <v>1.1467889908256881</v>
      </c>
      <c r="BC7" s="422" t="s">
        <v>556</v>
      </c>
      <c r="BD7" s="423"/>
      <c r="BE7" s="349"/>
      <c r="BF7" s="349"/>
      <c r="BG7" s="349"/>
      <c r="BH7" s="344"/>
      <c r="BJ7" s="349"/>
      <c r="BK7" s="349"/>
      <c r="BL7" s="463"/>
      <c r="BM7" s="349"/>
      <c r="BN7" s="349"/>
      <c r="BO7" s="349"/>
      <c r="BP7" s="349"/>
      <c r="BR7" s="349"/>
      <c r="BS7" s="754"/>
      <c r="BT7" s="349"/>
      <c r="BU7" s="356"/>
      <c r="BV7" s="349"/>
      <c r="BW7" s="755"/>
      <c r="BX7" s="387">
        <f>$Z42</f>
        <v>0.9093</v>
      </c>
      <c r="BY7" s="772" t="s">
        <v>873</v>
      </c>
      <c r="BZ7" s="484">
        <f t="shared" ref="BZ7:CD7" si="45">BZ6</f>
        <v>19031.539551812475</v>
      </c>
      <c r="CA7" s="484">
        <f t="shared" si="45"/>
        <v>13535.017988946352</v>
      </c>
      <c r="CB7" s="484">
        <f t="shared" si="45"/>
        <v>3593.3676076848728</v>
      </c>
      <c r="CC7" s="456">
        <f>[6]TH!$Q$6</f>
        <v>3240.9192930660097</v>
      </c>
      <c r="CD7" s="484">
        <f t="shared" si="45"/>
        <v>-699.9292850887249</v>
      </c>
      <c r="CE7" s="453">
        <f>CE6</f>
        <v>1903.1539551812473</v>
      </c>
      <c r="CG7" s="456">
        <f t="shared" si="24"/>
        <v>21572.529559789757</v>
      </c>
      <c r="CH7" s="465"/>
      <c r="CI7" s="387">
        <f>AH42</f>
        <v>0.94030000000000002</v>
      </c>
      <c r="CJ7" s="772" t="s">
        <v>873</v>
      </c>
      <c r="CK7" s="453">
        <f>CK6</f>
        <v>20520.664365184894</v>
      </c>
      <c r="CL7" s="453">
        <f>CL6</f>
        <v>14594.066894680444</v>
      </c>
      <c r="CM7" s="456">
        <f>AJ4</f>
        <v>3874.5310339859593</v>
      </c>
      <c r="CN7" s="456">
        <f>+CC7/$CI$5</f>
        <v>3494.5053639302755</v>
      </c>
      <c r="CO7" s="456">
        <f>[6]TH!$Q$7</f>
        <v>2013.5603276057439</v>
      </c>
      <c r="CP7" s="453">
        <f>CD7</f>
        <v>-699.9292850887249</v>
      </c>
      <c r="CQ7" s="453">
        <f t="shared" ref="CQ7:CR7" si="46">CQ6</f>
        <v>-313.11737619656105</v>
      </c>
      <c r="CR7" s="453">
        <f t="shared" si="46"/>
        <v>2052.0664365184894</v>
      </c>
      <c r="CT7" s="730">
        <f t="shared" si="25"/>
        <v>25015.683395435626</v>
      </c>
      <c r="CU7" s="453">
        <f t="shared" si="26"/>
        <v>943.98805265794817</v>
      </c>
      <c r="CV7" s="476">
        <f t="shared" si="27"/>
        <v>1013.9880526579482</v>
      </c>
      <c r="CX7" s="533"/>
      <c r="CY7" s="465"/>
      <c r="CZ7" s="387">
        <v>1</v>
      </c>
      <c r="DA7" s="772" t="s">
        <v>873</v>
      </c>
      <c r="DB7" s="453">
        <f>DB6</f>
        <v>20520.664365184894</v>
      </c>
      <c r="DC7" s="453">
        <f>DC6</f>
        <v>14594.066894680444</v>
      </c>
      <c r="DD7" s="456">
        <f>CM7</f>
        <v>3874.5310339859593</v>
      </c>
      <c r="DE7" s="456">
        <f>CN7</f>
        <v>3494.5053639302755</v>
      </c>
      <c r="DF7" s="456">
        <f>CO7</f>
        <v>2013.5603276057439</v>
      </c>
      <c r="DG7" s="456">
        <f>CP7</f>
        <v>-699.9292850887249</v>
      </c>
      <c r="DH7" s="453">
        <f t="shared" ref="DH7:DI7" si="47">DH6</f>
        <v>-313.11737619656105</v>
      </c>
      <c r="DI7" s="453">
        <f t="shared" si="47"/>
        <v>2052.0664365184894</v>
      </c>
      <c r="DK7" s="730">
        <f t="shared" si="29"/>
        <v>25015.683395435626</v>
      </c>
      <c r="DL7" s="453">
        <f t="shared" si="30"/>
        <v>943.98805265794817</v>
      </c>
      <c r="DM7" s="476">
        <f t="shared" ref="DM7:DM22" si="48">$CV$2+DL7</f>
        <v>1013.9880526579482</v>
      </c>
      <c r="DO7" s="533"/>
      <c r="DQ7" s="481"/>
      <c r="DR7" s="554"/>
      <c r="DS7" s="387">
        <f>AW42</f>
        <v>0</v>
      </c>
      <c r="DT7" s="772" t="s">
        <v>873</v>
      </c>
      <c r="DU7" s="482">
        <f>DU6</f>
        <v>21309.101106111</v>
      </c>
      <c r="DV7" s="482">
        <f t="shared" ref="DV7:EA7" si="49">DV6</f>
        <v>15154.794283157262</v>
      </c>
      <c r="DW7" s="482">
        <f>DD7/$DS$5+DF7</f>
        <v>6036.95703994838</v>
      </c>
      <c r="DX7" s="476">
        <f>DG7/$DS$5</f>
        <v>-726.82168752723248</v>
      </c>
      <c r="DY7" s="476">
        <f>DH7/$DS$5</f>
        <v>-325.14784651771652</v>
      </c>
      <c r="DZ7" s="482">
        <f t="shared" si="49"/>
        <v>-321.81131370545882</v>
      </c>
      <c r="EA7" s="482">
        <f t="shared" si="49"/>
        <v>2130.9101106110998</v>
      </c>
      <c r="EB7" s="476">
        <f>[6]TH!$Q$10</f>
        <v>2796.8565141477497</v>
      </c>
      <c r="EC7" s="476"/>
      <c r="ED7" s="476"/>
      <c r="EE7" s="476">
        <f>SUM(DV7:EC7)</f>
        <v>24745.737100114085</v>
      </c>
      <c r="EF7" s="463">
        <f>EE8-EF8</f>
        <v>2030.1446785607441</v>
      </c>
      <c r="EG7" s="476">
        <f t="shared" ref="EG7:EG13" si="50">EE7/$EG$1</f>
        <v>933.80140000430515</v>
      </c>
      <c r="EH7" s="476"/>
      <c r="EI7" s="476">
        <f>EI6</f>
        <v>2173</v>
      </c>
      <c r="EJ7" s="476">
        <f t="shared" ref="EJ7:EK7" si="51">EJ6</f>
        <v>1166</v>
      </c>
      <c r="EK7" s="476">
        <f t="shared" si="51"/>
        <v>371</v>
      </c>
      <c r="EL7" s="476">
        <f t="shared" si="31"/>
        <v>3710</v>
      </c>
      <c r="EM7" s="476">
        <f t="shared" ref="EM7:EM13" si="52">EE7+EL7</f>
        <v>28455.737100114085</v>
      </c>
      <c r="EN7" s="476">
        <f t="shared" si="32"/>
        <v>1073.8014000043052</v>
      </c>
      <c r="EO7" s="736">
        <v>100</v>
      </c>
      <c r="EP7" s="736">
        <f t="shared" si="33"/>
        <v>1173.8014000043052</v>
      </c>
      <c r="EQ7" s="411"/>
      <c r="ER7" s="736">
        <f>SUM(DV7,EA7,DX7:DZ7)/$EG$1</f>
        <v>600.44994513275299</v>
      </c>
      <c r="ES7" s="736">
        <f t="shared" si="34"/>
        <v>473.35145487155211</v>
      </c>
      <c r="ET7" s="736">
        <f t="shared" ref="ET7:ET13" si="53">EO7</f>
        <v>100</v>
      </c>
      <c r="EU7" s="736">
        <f t="shared" ref="EU7:EU13" si="54">SUM(ER7:ET7)</f>
        <v>1173.8014000043052</v>
      </c>
      <c r="EW7" s="736">
        <f t="shared" si="35"/>
        <v>15911.923546017953</v>
      </c>
      <c r="EX7" s="736">
        <f t="shared" si="36"/>
        <v>12543.81355409613</v>
      </c>
      <c r="EY7" s="736">
        <f t="shared" ref="EY7:EY13" si="55">EO7*$EG$1</f>
        <v>2650</v>
      </c>
      <c r="EZ7" s="736">
        <f t="shared" ref="EZ7:EZ13" si="56">SUM(EW7:EY7)</f>
        <v>31105.737100114085</v>
      </c>
      <c r="FB7" s="736">
        <f t="shared" si="37"/>
        <v>571.87902955310426</v>
      </c>
      <c r="FC7" s="736">
        <f t="shared" si="38"/>
        <v>28.570915579648755</v>
      </c>
      <c r="FD7" s="736">
        <f t="shared" si="39"/>
        <v>333.35145487155211</v>
      </c>
      <c r="FE7" s="736">
        <f t="shared" si="40"/>
        <v>140</v>
      </c>
      <c r="FF7" s="736">
        <f t="shared" ref="FF7:FF13" si="57">ET7</f>
        <v>100</v>
      </c>
      <c r="FG7" s="736">
        <f t="shared" ref="FG7:FG13" si="58">SUM(FB7:FF7)</f>
        <v>1173.8014000043052</v>
      </c>
      <c r="FH7" s="735">
        <f>FG7-EU7</f>
        <v>0</v>
      </c>
      <c r="FI7" s="736">
        <f t="shared" ref="FI6:FI13" si="59">DV7</f>
        <v>15154.794283157262</v>
      </c>
      <c r="FJ7" s="736">
        <f t="shared" si="41"/>
        <v>757.12926286069205</v>
      </c>
      <c r="FK7" s="736">
        <f t="shared" si="42"/>
        <v>8833.8135540961302</v>
      </c>
      <c r="FL7" s="736">
        <f t="shared" si="43"/>
        <v>3710</v>
      </c>
      <c r="FM7" s="736">
        <f t="shared" ref="FM7:FM13" si="60">EY7</f>
        <v>2650</v>
      </c>
      <c r="FN7" s="736">
        <f t="shared" ref="FN7:FN13" si="61">SUM(FI7:FM7)</f>
        <v>31105.737100114085</v>
      </c>
      <c r="FO7" s="463">
        <f t="shared" ref="FO7:FO13" si="62">FN7-EZ7</f>
        <v>0</v>
      </c>
      <c r="FP7" s="526">
        <f>(FF7+FE7)/FG7</f>
        <v>0.20446388971688034</v>
      </c>
      <c r="FQ7" s="526">
        <f t="shared" si="44"/>
        <v>8.5193287382033481E-2</v>
      </c>
      <c r="FS7" s="736">
        <f>FS6</f>
        <v>1470</v>
      </c>
      <c r="FT7" s="463">
        <f t="shared" ref="FT7:FT13" si="63">FS7-SUM(FB7:FD7)</f>
        <v>536.19859999569485</v>
      </c>
      <c r="FU7" s="945">
        <f t="shared" ref="FU7:FU13" si="64">FT7/FS7</f>
        <v>0.3647609523780237</v>
      </c>
      <c r="FV7" s="279">
        <f>FS7-FG7</f>
        <v>296.19859999569485</v>
      </c>
      <c r="FW7" s="296">
        <f>FV7/FS7</f>
        <v>0.20149564625557473</v>
      </c>
    </row>
    <row r="8" spans="2:179" x14ac:dyDescent="0.35">
      <c r="D8" s="879"/>
      <c r="E8" s="843"/>
      <c r="F8" s="844"/>
      <c r="H8" s="864"/>
      <c r="I8" s="865"/>
      <c r="K8" s="353"/>
      <c r="M8" s="867"/>
      <c r="N8" s="870"/>
      <c r="O8" s="871"/>
      <c r="R8" s="845"/>
      <c r="S8" s="873"/>
      <c r="T8" s="873"/>
      <c r="U8" s="354"/>
      <c r="V8" s="343"/>
      <c r="W8" s="864"/>
      <c r="X8" s="865"/>
      <c r="Z8" s="355"/>
      <c r="AA8" s="836"/>
      <c r="AB8" s="843"/>
      <c r="AC8" s="844"/>
      <c r="AD8" s="346"/>
      <c r="AE8" s="862" t="s">
        <v>557</v>
      </c>
      <c r="AF8" s="863"/>
      <c r="AG8" s="783"/>
      <c r="AH8" s="353"/>
      <c r="AI8" s="836"/>
      <c r="AJ8" s="843"/>
      <c r="AK8" s="844"/>
      <c r="AL8" s="546"/>
      <c r="AM8" s="864"/>
      <c r="AN8" s="865"/>
      <c r="AR8" s="882"/>
      <c r="AS8" s="883"/>
      <c r="AT8" s="349"/>
      <c r="AU8" s="349"/>
      <c r="AV8" s="349"/>
      <c r="AW8" s="349"/>
      <c r="AX8" s="349"/>
      <c r="AY8" s="349"/>
      <c r="AZ8" s="756">
        <f>$AZ$9-$BA$5</f>
        <v>-472.4055020055639</v>
      </c>
      <c r="BA8" s="356"/>
      <c r="BB8" s="356"/>
      <c r="BC8" s="424"/>
      <c r="BD8" s="425"/>
      <c r="BE8" s="349"/>
      <c r="BF8" s="349"/>
      <c r="BG8" s="349"/>
      <c r="BH8" s="344">
        <f>V43</f>
        <v>0.03</v>
      </c>
      <c r="BI8" s="340">
        <v>30</v>
      </c>
      <c r="BJ8" s="342">
        <f>'Giá mua Chai-Vảy (Giá giảm)'!H15</f>
        <v>3.1590181430096058E-2</v>
      </c>
      <c r="BK8" s="437" t="str">
        <f>N43</f>
        <v xml:space="preserve">Chai B2.2 </v>
      </c>
      <c r="BL8" s="743">
        <f>BJ8*$BH$4/(1-$BH$5)-BM8</f>
        <v>356.96905016008543</v>
      </c>
      <c r="BM8" s="743">
        <f>BJ8*$BH$4*$BH$5/(1-$BH$5)</f>
        <v>39.663227795565049</v>
      </c>
      <c r="BN8" s="742">
        <f>BL8+BM8</f>
        <v>396.63227795565047</v>
      </c>
      <c r="BO8" s="742">
        <f>BN8/(BI8/(1-$BH$5))*1000</f>
        <v>11898.968338669514</v>
      </c>
      <c r="BP8" s="744">
        <f>($BJ$5+$BJ$5*$BH$5/(1-$BH$5))*BJ8</f>
        <v>105.30060476698687</v>
      </c>
      <c r="BQ8" s="463">
        <f>BL8+BM8+BP8</f>
        <v>501.93288272263732</v>
      </c>
      <c r="BR8" s="744">
        <f>BQ8/(BI8/(1-$BH$5))*1000</f>
        <v>15057.986481679118</v>
      </c>
      <c r="BS8" s="520">
        <f>N41</f>
        <v>15057.98648167912</v>
      </c>
      <c r="BT8" s="463">
        <f>Q41</f>
        <v>10709.071504802563</v>
      </c>
      <c r="BU8" s="484">
        <f>S41</f>
        <v>2843.1163287086447</v>
      </c>
      <c r="BV8" s="463">
        <f>R41</f>
        <v>1505.7986481679118</v>
      </c>
      <c r="BW8" s="520" t="str">
        <f>LEFT($BW$2,3)&amp;" "&amp;RIGHT(BK8,5)&amp;"_"&amp;RIGHT($BW$2,3)</f>
        <v>Vảy B2.2 _ A0</v>
      </c>
      <c r="BX8" s="520"/>
      <c r="BY8" s="777" t="s">
        <v>872</v>
      </c>
      <c r="BZ8" s="748">
        <f>BS8/BX7</f>
        <v>16559.976335289914</v>
      </c>
      <c r="CA8" s="748">
        <f>Z40</f>
        <v>11777.269883209681</v>
      </c>
      <c r="CB8" s="748">
        <f>AB40</f>
        <v>3126.7088185512425</v>
      </c>
      <c r="CC8" s="485">
        <f>CC6</f>
        <v>1864.9499828812825</v>
      </c>
      <c r="CD8" s="748">
        <f>-AA48</f>
        <v>-707.44547994627874</v>
      </c>
      <c r="CE8" s="482">
        <f>AA40</f>
        <v>1655.9976335289914</v>
      </c>
      <c r="CG8" s="758">
        <f t="shared" si="24"/>
        <v>17717.480838224921</v>
      </c>
      <c r="CH8" s="766" t="str">
        <f>LEFT($CH$2,3)&amp;" "&amp;RIGHT(BK8,5)&amp;"_"&amp;RIGHT($CH$2,3)&amp;" DT"</f>
        <v>Vảy B2.2 _ A1 DT</v>
      </c>
      <c r="CI8" s="766"/>
      <c r="CJ8" s="777" t="s">
        <v>872</v>
      </c>
      <c r="CK8" s="463">
        <f>BZ8/CI7</f>
        <v>17611.375449633004</v>
      </c>
      <c r="CL8" s="482">
        <f>AH40</f>
        <v>12525.013169424312</v>
      </c>
      <c r="CM8" s="484">
        <f>AJ40</f>
        <v>3325.2247352453924</v>
      </c>
      <c r="CN8" s="456">
        <f>+CC8/$CI$7</f>
        <v>1983.3563574192092</v>
      </c>
      <c r="CO8" s="485">
        <f>CO6</f>
        <v>1273.8558498087386</v>
      </c>
      <c r="CP8" s="482">
        <f>CD8</f>
        <v>-707.44547994627874</v>
      </c>
      <c r="CQ8" s="482">
        <f>-AI50</f>
        <v>-45.990237210778169</v>
      </c>
      <c r="CR8" s="482">
        <f>AI40</f>
        <v>1761.1375449633003</v>
      </c>
      <c r="CT8" s="486">
        <f>SUM(CL8:CR8)</f>
        <v>20115.151939703897</v>
      </c>
      <c r="CU8" s="453">
        <f t="shared" si="26"/>
        <v>759.06233734731688</v>
      </c>
      <c r="CV8" s="494">
        <f t="shared" si="27"/>
        <v>829.06233734731688</v>
      </c>
      <c r="CW8" s="587">
        <f>CV8/$CV$12</f>
        <v>1.0640638307370587</v>
      </c>
      <c r="CX8" s="533"/>
      <c r="CY8" s="465" t="str">
        <f>LEFT($CH$2,3)&amp;" "&amp;RIGHT($BK$6,2)&amp;"_"&amp;"A"&amp;"2.1"&amp;" DT"</f>
        <v>Vảy B1_A2.1 DT</v>
      </c>
      <c r="CZ8" s="765"/>
      <c r="DA8" s="777" t="s">
        <v>872</v>
      </c>
      <c r="DB8" s="476">
        <f>DB6*$CZ$9</f>
        <v>16416.531492147915</v>
      </c>
      <c r="DC8" s="482">
        <f t="shared" ref="DC8:DE8" si="65">DC6*$CZ$9</f>
        <v>11675.253515744356</v>
      </c>
      <c r="DD8" s="484">
        <f t="shared" si="65"/>
        <v>3099.6248271887675</v>
      </c>
      <c r="DE8" s="484">
        <f t="shared" si="65"/>
        <v>1608.6985523110538</v>
      </c>
      <c r="DF8" s="476">
        <f>DF6*$CZ$9</f>
        <v>1019.084679846991</v>
      </c>
      <c r="DG8" s="476">
        <f>DG6*$CZ$9</f>
        <v>-559.94342807097996</v>
      </c>
      <c r="DH8" s="482">
        <f t="shared" ref="DH8" si="66">DH6*$CZ$9</f>
        <v>-250.49390095724885</v>
      </c>
      <c r="DI8" s="482">
        <f t="shared" ref="DI8" si="67">DI6*$CZ$9</f>
        <v>1641.6531492147915</v>
      </c>
      <c r="DK8" s="731">
        <f t="shared" si="29"/>
        <v>18233.877395277734</v>
      </c>
      <c r="DL8" s="453">
        <f t="shared" si="30"/>
        <v>688.07084510482014</v>
      </c>
      <c r="DM8" s="494">
        <f t="shared" si="48"/>
        <v>758.07084510482014</v>
      </c>
      <c r="DN8" s="587">
        <f>DM8/$DM$12</f>
        <v>1.516007438077317</v>
      </c>
      <c r="DO8" s="533"/>
      <c r="DQ8" s="384" t="str">
        <f>DQ6</f>
        <v>100%B1.A1,A2</v>
      </c>
      <c r="DR8" s="779" t="str">
        <f>BC9</f>
        <v>Hạt rPET iSS01G</v>
      </c>
      <c r="DS8" s="766"/>
      <c r="DT8" s="777" t="s">
        <v>872</v>
      </c>
      <c r="DU8" s="477">
        <f>AZ9</f>
        <v>20836.695604105436</v>
      </c>
      <c r="DV8" s="477">
        <f>DV$6/$DU$6*$DU8</f>
        <v>14818.82477578687</v>
      </c>
      <c r="DW8" s="477">
        <f>DW$6/$DU$6*$DU8</f>
        <v>7269.5172174579411</v>
      </c>
      <c r="DX8" s="477">
        <f t="shared" ref="DX8:DY8" si="68">DX$6/$DU$6*$DU8</f>
        <v>-710.7086397522437</v>
      </c>
      <c r="DY8" s="477">
        <f t="shared" si="68"/>
        <v>-317.939582269715</v>
      </c>
      <c r="DZ8" s="477">
        <f>DZ6</f>
        <v>-321.81131370545882</v>
      </c>
      <c r="EA8" s="477">
        <f>EA$6/$DU$6*$DU8</f>
        <v>2083.6695604105435</v>
      </c>
      <c r="EB8" s="477">
        <f t="shared" ref="EB8:EC13" si="69">EB6</f>
        <v>2000.939404729972</v>
      </c>
      <c r="EC8" s="477"/>
      <c r="ED8" s="477"/>
      <c r="EE8" s="477">
        <f t="shared" ref="EE8:EE13" si="70">SUM(DV8:EC8)</f>
        <v>24822.491422657909</v>
      </c>
      <c r="EF8" s="453">
        <f>EF6</f>
        <v>22792.346744097165</v>
      </c>
      <c r="EG8" s="477">
        <f t="shared" si="50"/>
        <v>936.69778953426078</v>
      </c>
      <c r="EI8" s="478">
        <f>EI6</f>
        <v>2173</v>
      </c>
      <c r="EJ8" s="478">
        <f t="shared" ref="EJ8:EK9" si="71">EJ6</f>
        <v>1166</v>
      </c>
      <c r="EK8" s="478">
        <f t="shared" si="71"/>
        <v>371</v>
      </c>
      <c r="EL8" s="477">
        <f t="shared" si="31"/>
        <v>3710</v>
      </c>
      <c r="EM8" s="477">
        <f t="shared" si="52"/>
        <v>28532.491422657909</v>
      </c>
      <c r="EN8" s="478">
        <f t="shared" si="32"/>
        <v>1076.6977895342607</v>
      </c>
      <c r="EO8" s="732">
        <v>70</v>
      </c>
      <c r="EP8" s="732">
        <f t="shared" si="33"/>
        <v>1146.6977895342607</v>
      </c>
      <c r="ER8" s="732">
        <f t="shared" ref="ER8:ER13" si="72">SUM(DV8,EA8,DX8:DZ8)/$EG$1</f>
        <v>586.8692377535848</v>
      </c>
      <c r="ES8" s="732">
        <f t="shared" si="34"/>
        <v>489.82855178067598</v>
      </c>
      <c r="ET8" s="732">
        <f t="shared" si="53"/>
        <v>70</v>
      </c>
      <c r="EU8" s="732">
        <f t="shared" si="54"/>
        <v>1146.6977895342607</v>
      </c>
      <c r="EW8" s="732">
        <f t="shared" si="35"/>
        <v>15552.034800469997</v>
      </c>
      <c r="EX8" s="732">
        <f t="shared" si="36"/>
        <v>12980.456622187914</v>
      </c>
      <c r="EY8" s="732">
        <f t="shared" si="55"/>
        <v>1855</v>
      </c>
      <c r="EZ8" s="732">
        <f t="shared" si="56"/>
        <v>30387.491422657913</v>
      </c>
      <c r="FB8" s="732">
        <f t="shared" si="37"/>
        <v>559.20093493535364</v>
      </c>
      <c r="FC8" s="732">
        <f t="shared" si="38"/>
        <v>27.668302818231169</v>
      </c>
      <c r="FD8" s="732">
        <f t="shared" si="39"/>
        <v>349.82855178067598</v>
      </c>
      <c r="FE8" s="732">
        <f t="shared" si="40"/>
        <v>140</v>
      </c>
      <c r="FF8" s="732">
        <f t="shared" si="57"/>
        <v>70</v>
      </c>
      <c r="FG8" s="732">
        <f t="shared" si="58"/>
        <v>1146.6977895342607</v>
      </c>
      <c r="FH8" s="735">
        <f t="shared" ref="FH8:FH13" si="73">FG8-EU8</f>
        <v>0</v>
      </c>
      <c r="FI8" s="732">
        <f t="shared" si="59"/>
        <v>14818.82477578687</v>
      </c>
      <c r="FJ8" s="732">
        <f t="shared" si="41"/>
        <v>733.21002468312599</v>
      </c>
      <c r="FK8" s="732">
        <f t="shared" si="42"/>
        <v>9270.456622187914</v>
      </c>
      <c r="FL8" s="732">
        <f t="shared" si="43"/>
        <v>3710</v>
      </c>
      <c r="FM8" s="732">
        <f t="shared" si="60"/>
        <v>1855</v>
      </c>
      <c r="FN8" s="732">
        <f t="shared" si="61"/>
        <v>30387.491422657909</v>
      </c>
      <c r="FO8" s="463">
        <f t="shared" si="62"/>
        <v>0</v>
      </c>
      <c r="FP8" s="526">
        <f t="shared" ref="FP8:FP13" si="74">(FF8+FE8)/FG8</f>
        <v>0.18313456423884183</v>
      </c>
      <c r="FQ8" s="526">
        <f t="shared" si="44"/>
        <v>6.1044854746280616E-2</v>
      </c>
      <c r="FS8" s="732">
        <f>'Hảo_R&amp;D (Vảy sạch) (-PS)'!DL3</f>
        <v>1410</v>
      </c>
      <c r="FT8" s="478">
        <f t="shared" si="63"/>
        <v>473.30221046573922</v>
      </c>
      <c r="FU8" s="946">
        <f t="shared" si="64"/>
        <v>0.33567532657144628</v>
      </c>
      <c r="FV8" s="943">
        <f t="shared" ref="FV8:FV13" si="75">FS8-FG8</f>
        <v>263.30221046573934</v>
      </c>
      <c r="FW8" s="296">
        <f t="shared" ref="FW8:FW13" si="76">FV8/FS8</f>
        <v>0.18673915635868038</v>
      </c>
    </row>
    <row r="9" spans="2:179" x14ac:dyDescent="0.35">
      <c r="K9" s="353"/>
      <c r="V9" s="343"/>
      <c r="Z9" s="357">
        <v>0.44122318214997169</v>
      </c>
      <c r="AA9" s="835"/>
      <c r="AB9" s="841" t="s">
        <v>558</v>
      </c>
      <c r="AC9" s="842"/>
      <c r="AE9" s="864"/>
      <c r="AF9" s="865"/>
      <c r="AG9" s="675">
        <f>$AI$5*AL9</f>
        <v>16166.037591190667</v>
      </c>
      <c r="AH9" s="357">
        <v>9.5080368552020983E-2</v>
      </c>
      <c r="AI9" s="835" t="s">
        <v>701</v>
      </c>
      <c r="AJ9" s="841" t="s">
        <v>559</v>
      </c>
      <c r="AK9" s="842"/>
      <c r="AL9" s="522">
        <f>AI9/$AI$7</f>
        <v>0.8</v>
      </c>
      <c r="AS9" s="353"/>
      <c r="AZ9" s="467">
        <f>$AZ$6/$BB$6*BB9</f>
        <v>20836.695604105436</v>
      </c>
      <c r="BA9" s="350">
        <v>2.3E-2</v>
      </c>
      <c r="BB9" s="449">
        <f>'Hảo_R&amp;D (Vảy sạch)'!BH3</f>
        <v>1.0917431192660549</v>
      </c>
      <c r="BC9" s="422" t="s">
        <v>560</v>
      </c>
      <c r="BD9" s="423"/>
      <c r="BH9" s="344"/>
      <c r="BL9" s="463"/>
      <c r="BM9" s="453"/>
      <c r="BN9" s="453"/>
      <c r="BO9" s="453"/>
      <c r="BS9" s="414"/>
      <c r="BU9" s="343"/>
      <c r="BW9" s="755"/>
      <c r="BX9" s="387">
        <f>$Z71</f>
        <v>0.873</v>
      </c>
      <c r="BY9" s="772" t="s">
        <v>873</v>
      </c>
      <c r="BZ9" s="484">
        <f t="shared" ref="BZ9" si="77">BZ8</f>
        <v>16559.976335289914</v>
      </c>
      <c r="CA9" s="484">
        <f t="shared" ref="CA9" si="78">CA8</f>
        <v>11777.269883209681</v>
      </c>
      <c r="CB9" s="484">
        <f t="shared" ref="CB9" si="79">CB8</f>
        <v>3126.7088185512425</v>
      </c>
      <c r="CC9" s="485">
        <f>CC7</f>
        <v>3240.9192930660097</v>
      </c>
      <c r="CD9" s="484">
        <f t="shared" ref="CD9" si="80">CD8</f>
        <v>-707.44547994627874</v>
      </c>
      <c r="CE9" s="453">
        <f>CE8</f>
        <v>1655.9976335289914</v>
      </c>
      <c r="CG9" s="485">
        <f t="shared" si="24"/>
        <v>19093.450148409644</v>
      </c>
      <c r="CH9" s="767"/>
      <c r="CI9" s="387">
        <f>AH71</f>
        <v>0.88600000000000001</v>
      </c>
      <c r="CJ9" s="772" t="s">
        <v>873</v>
      </c>
      <c r="CK9" s="453">
        <f t="shared" ref="CK9:CR9" si="81">CK8</f>
        <v>17611.375449633004</v>
      </c>
      <c r="CL9" s="453">
        <f t="shared" si="81"/>
        <v>12525.013169424312</v>
      </c>
      <c r="CM9" s="456">
        <f>AJ40</f>
        <v>3325.2247352453924</v>
      </c>
      <c r="CN9" s="456">
        <f>+CC9/$CI$7</f>
        <v>3446.6864756630966</v>
      </c>
      <c r="CO9" s="485">
        <f>CO7</f>
        <v>2013.5603276057439</v>
      </c>
      <c r="CP9" s="453">
        <f>CD9</f>
        <v>-707.44547994627874</v>
      </c>
      <c r="CQ9" s="453">
        <f t="shared" si="81"/>
        <v>-45.990237210778169</v>
      </c>
      <c r="CR9" s="453">
        <f t="shared" si="81"/>
        <v>1761.1375449633003</v>
      </c>
      <c r="CT9" s="730">
        <f t="shared" si="25"/>
        <v>22318.186535744786</v>
      </c>
      <c r="CU9" s="453">
        <f t="shared" si="26"/>
        <v>842.19571832999191</v>
      </c>
      <c r="CV9" s="476">
        <f t="shared" si="27"/>
        <v>912.19571832999191</v>
      </c>
      <c r="CW9" s="340"/>
      <c r="CX9" s="533"/>
      <c r="CY9" s="465"/>
      <c r="CZ9" s="387">
        <v>0.8</v>
      </c>
      <c r="DA9" s="772" t="s">
        <v>873</v>
      </c>
      <c r="DB9" s="453">
        <f>DB7*$CZ$9</f>
        <v>16416.531492147915</v>
      </c>
      <c r="DC9" s="453">
        <f t="shared" ref="DC9:DE9" si="82">DC7*$CZ$9</f>
        <v>11675.253515744356</v>
      </c>
      <c r="DD9" s="456">
        <f t="shared" si="82"/>
        <v>3099.6248271887675</v>
      </c>
      <c r="DE9" s="456">
        <f t="shared" si="82"/>
        <v>2795.6042911442205</v>
      </c>
      <c r="DF9" s="456">
        <f>DF7*$CZ$9</f>
        <v>1610.8482620845953</v>
      </c>
      <c r="DG9" s="456">
        <f>DG7*$CZ$9</f>
        <v>-559.94342807097996</v>
      </c>
      <c r="DH9" s="453">
        <f t="shared" ref="DH9" si="83">DH7*$CZ$9</f>
        <v>-250.49390095724885</v>
      </c>
      <c r="DI9" s="453">
        <f t="shared" ref="DI9" si="84">DI7*$CZ$9</f>
        <v>1641.6531492147915</v>
      </c>
      <c r="DK9" s="730">
        <f t="shared" si="29"/>
        <v>20012.546716348505</v>
      </c>
      <c r="DL9" s="453">
        <f t="shared" si="30"/>
        <v>755.19044212635868</v>
      </c>
      <c r="DM9" s="476">
        <f t="shared" si="48"/>
        <v>825.19044212635868</v>
      </c>
      <c r="DO9" s="533"/>
      <c r="DQ9" s="489"/>
      <c r="DR9" s="554"/>
      <c r="DS9" s="387">
        <f>AW71</f>
        <v>0</v>
      </c>
      <c r="DT9" s="772" t="s">
        <v>873</v>
      </c>
      <c r="DU9" s="478">
        <f>DU8</f>
        <v>20836.695604105436</v>
      </c>
      <c r="DV9" s="477">
        <f>DV7/$DU$7*$DU9</f>
        <v>14818.82477578687</v>
      </c>
      <c r="DW9" s="477">
        <f>DW7/$DU$7*$DU9</f>
        <v>5903.1225948987494</v>
      </c>
      <c r="DX9" s="477">
        <f t="shared" ref="DX9:DY9" si="85">DX7/$DU$7*$DU9</f>
        <v>-710.7086397522437</v>
      </c>
      <c r="DY9" s="477">
        <f t="shared" si="85"/>
        <v>-317.939582269715</v>
      </c>
      <c r="DZ9" s="477">
        <f>DZ8</f>
        <v>-321.81131370545882</v>
      </c>
      <c r="EA9" s="477">
        <f>EA8</f>
        <v>2083.6695604105435</v>
      </c>
      <c r="EB9" s="477">
        <f>EB7</f>
        <v>2796.8565141477497</v>
      </c>
      <c r="EC9" s="477"/>
      <c r="ED9" s="477"/>
      <c r="EE9" s="477">
        <f t="shared" si="70"/>
        <v>24252.013909516492</v>
      </c>
      <c r="EF9" s="463">
        <f>EE10-EF10</f>
        <v>2822.7608862970483</v>
      </c>
      <c r="EG9" s="477">
        <f t="shared" si="50"/>
        <v>915.17033620816949</v>
      </c>
      <c r="EH9" s="477"/>
      <c r="EI9" s="477">
        <f>EI7</f>
        <v>2173</v>
      </c>
      <c r="EJ9" s="477">
        <f t="shared" si="71"/>
        <v>1166</v>
      </c>
      <c r="EK9" s="477">
        <f t="shared" si="71"/>
        <v>371</v>
      </c>
      <c r="EL9" s="477">
        <f t="shared" si="31"/>
        <v>3710</v>
      </c>
      <c r="EM9" s="477">
        <f t="shared" si="52"/>
        <v>27962.013909516492</v>
      </c>
      <c r="EN9" s="477">
        <f t="shared" si="32"/>
        <v>1055.1703362081694</v>
      </c>
      <c r="EO9" s="737">
        <v>70</v>
      </c>
      <c r="EP9" s="737">
        <f t="shared" si="33"/>
        <v>1125.1703362081694</v>
      </c>
      <c r="EQ9" s="472"/>
      <c r="ER9" s="737">
        <f t="shared" si="72"/>
        <v>586.8692377535848</v>
      </c>
      <c r="ES9" s="737">
        <f t="shared" si="34"/>
        <v>468.30109845458486</v>
      </c>
      <c r="ET9" s="737">
        <f t="shared" si="53"/>
        <v>70</v>
      </c>
      <c r="EU9" s="737">
        <f t="shared" si="54"/>
        <v>1125.1703362081696</v>
      </c>
      <c r="EW9" s="737">
        <f t="shared" si="35"/>
        <v>15552.034800469997</v>
      </c>
      <c r="EX9" s="737">
        <f t="shared" si="36"/>
        <v>12409.979109046499</v>
      </c>
      <c r="EY9" s="737">
        <f t="shared" si="55"/>
        <v>1855</v>
      </c>
      <c r="EZ9" s="737">
        <f t="shared" si="56"/>
        <v>29817.013909516496</v>
      </c>
      <c r="FB9" s="737">
        <f t="shared" si="37"/>
        <v>559.20093493535364</v>
      </c>
      <c r="FC9" s="737">
        <f t="shared" si="38"/>
        <v>27.668302818231169</v>
      </c>
      <c r="FD9" s="737">
        <f t="shared" si="39"/>
        <v>328.30109845458486</v>
      </c>
      <c r="FE9" s="737">
        <f t="shared" si="40"/>
        <v>140</v>
      </c>
      <c r="FF9" s="737">
        <f t="shared" si="57"/>
        <v>70</v>
      </c>
      <c r="FG9" s="737">
        <f t="shared" si="58"/>
        <v>1125.1703362081696</v>
      </c>
      <c r="FH9" s="735">
        <f t="shared" si="73"/>
        <v>0</v>
      </c>
      <c r="FI9" s="737">
        <f t="shared" si="59"/>
        <v>14818.82477578687</v>
      </c>
      <c r="FJ9" s="737">
        <f t="shared" si="41"/>
        <v>733.21002468312599</v>
      </c>
      <c r="FK9" s="737">
        <f t="shared" si="42"/>
        <v>8699.9791090464987</v>
      </c>
      <c r="FL9" s="737">
        <f t="shared" si="43"/>
        <v>3710</v>
      </c>
      <c r="FM9" s="737">
        <f t="shared" si="60"/>
        <v>1855</v>
      </c>
      <c r="FN9" s="737">
        <f t="shared" si="61"/>
        <v>29817.013909516492</v>
      </c>
      <c r="FO9" s="463">
        <f t="shared" si="62"/>
        <v>0</v>
      </c>
      <c r="FP9" s="526">
        <f t="shared" si="74"/>
        <v>0.1866384077522886</v>
      </c>
      <c r="FQ9" s="526">
        <f t="shared" si="44"/>
        <v>6.22128025840962E-2</v>
      </c>
      <c r="FS9" s="737">
        <f>FS8</f>
        <v>1410</v>
      </c>
      <c r="FT9" s="478">
        <f t="shared" si="63"/>
        <v>494.8296637918304</v>
      </c>
      <c r="FU9" s="946">
        <f t="shared" si="64"/>
        <v>0.35094302396583715</v>
      </c>
      <c r="FV9" s="943">
        <f t="shared" si="75"/>
        <v>284.8296637918304</v>
      </c>
      <c r="FW9" s="296">
        <f t="shared" si="76"/>
        <v>0.2020068537530712</v>
      </c>
    </row>
    <row r="10" spans="2:179" x14ac:dyDescent="0.35">
      <c r="K10" s="353"/>
      <c r="V10" s="343"/>
      <c r="Z10" s="353"/>
      <c r="AA10" s="836"/>
      <c r="AB10" s="843"/>
      <c r="AC10" s="844"/>
      <c r="AG10" s="411"/>
      <c r="AH10" s="353"/>
      <c r="AI10" s="836"/>
      <c r="AJ10" s="843"/>
      <c r="AK10" s="844"/>
      <c r="AS10" s="353"/>
      <c r="AZ10" s="463">
        <f>$AZ$11-$BA$5</f>
        <v>-997.70034916788427</v>
      </c>
      <c r="BA10" s="343"/>
      <c r="BB10" s="343"/>
      <c r="BC10" s="424"/>
      <c r="BD10" s="425"/>
      <c r="BH10" s="344">
        <f>V71</f>
        <v>0.02</v>
      </c>
      <c r="BI10" s="340">
        <v>20</v>
      </c>
      <c r="BJ10" s="342">
        <f>'Giá mua Chai-Vảy (Giá giảm)'!H16</f>
        <v>1.8925649235147637E-2</v>
      </c>
      <c r="BK10" s="340" t="str">
        <f>N71</f>
        <v>Chai B4</v>
      </c>
      <c r="BL10" s="453">
        <f>BJ10*$BH$4/(1-$BH$5)-BM10</f>
        <v>213.85983635716829</v>
      </c>
      <c r="BM10" s="742">
        <f>BJ10*$BH$4*$BH$5/(1-$BH$5)</f>
        <v>23.762204039685365</v>
      </c>
      <c r="BN10" s="742">
        <f>BL10+BM10</f>
        <v>237.62204039685366</v>
      </c>
      <c r="BO10" s="742">
        <f>BN10/(BI10/(1-$BH$5))*1000</f>
        <v>10692.991817858416</v>
      </c>
      <c r="BP10" s="744">
        <f>($BJ$5+$BJ$5*$BH$5/(1-$BH$5))*BJ10</f>
        <v>63.085497450492127</v>
      </c>
      <c r="BQ10" s="463">
        <f>BL10+BM10+BP10</f>
        <v>300.7075378473458</v>
      </c>
      <c r="BR10" s="744">
        <f>BQ10/(BI10/(1-$BH$5))*1000</f>
        <v>13531.839203130561</v>
      </c>
      <c r="BS10" s="520">
        <f>N69</f>
        <v>13531.839203130559</v>
      </c>
      <c r="BT10" s="463">
        <f>Q69</f>
        <v>9623.692636072572</v>
      </c>
      <c r="BU10" s="484">
        <f>S69</f>
        <v>2554.9626467449307</v>
      </c>
      <c r="BV10" s="463">
        <f>R69</f>
        <v>1353.1839203130558</v>
      </c>
      <c r="BW10" s="520" t="str">
        <f>LEFT($BW$2,3)&amp;" "&amp;RIGHT(BK10,2)&amp;"_"&amp;RIGHT($BW$2,3)</f>
        <v>Vảy B4_ A0</v>
      </c>
      <c r="BX10" s="520"/>
      <c r="BY10" s="777" t="s">
        <v>872</v>
      </c>
      <c r="BZ10" s="748">
        <f>BS10/BX9</f>
        <v>15500.388548832256</v>
      </c>
      <c r="CA10" s="748">
        <f>Z68</f>
        <v>11023.702905008673</v>
      </c>
      <c r="CB10" s="748">
        <f>AB68</f>
        <v>2926.6467889403557</v>
      </c>
      <c r="CC10" s="484">
        <f>CC6</f>
        <v>1864.9499828812825</v>
      </c>
      <c r="CD10" s="748">
        <f>-AA73</f>
        <v>-673.19999999999993</v>
      </c>
      <c r="CE10" s="482">
        <f>AA68</f>
        <v>1550.0388548832254</v>
      </c>
      <c r="CG10" s="759">
        <f t="shared" si="24"/>
        <v>16692.138531713535</v>
      </c>
      <c r="CH10" s="768" t="str">
        <f>LEFT($CH$2,3)&amp;" "&amp;RIGHT(BK10,2)&amp;"_"&amp;RIGHT($CH$2,3)&amp;" DT"</f>
        <v>Vảy B4_ A1 DT</v>
      </c>
      <c r="CI10" s="768"/>
      <c r="CJ10" s="777" t="s">
        <v>872</v>
      </c>
      <c r="CK10" s="463">
        <f>BZ10/CI9</f>
        <v>17494.795201842277</v>
      </c>
      <c r="CL10" s="482">
        <f>AH68</f>
        <v>12442.102601589924</v>
      </c>
      <c r="CM10" s="484">
        <f>AJ68</f>
        <v>3303.2130800681216</v>
      </c>
      <c r="CN10" s="484">
        <f>+CC10/$CI$9</f>
        <v>2104.9096872249238</v>
      </c>
      <c r="CO10" s="484">
        <f>CO6</f>
        <v>1273.8558498087386</v>
      </c>
      <c r="CP10" s="482">
        <f>CD10</f>
        <v>-673.19999999999993</v>
      </c>
      <c r="CQ10" s="482">
        <f>-AI74</f>
        <v>-453</v>
      </c>
      <c r="CR10" s="482">
        <f>AI68</f>
        <v>1749.4795201842273</v>
      </c>
      <c r="CT10" s="486">
        <f t="shared" si="25"/>
        <v>19747.360738875937</v>
      </c>
      <c r="CU10" s="453">
        <f t="shared" si="26"/>
        <v>745.18342410852597</v>
      </c>
      <c r="CV10" s="494">
        <f t="shared" si="27"/>
        <v>815.18342410852597</v>
      </c>
      <c r="CW10" s="587">
        <f>CV10/$CV$12</f>
        <v>1.0462508763643064</v>
      </c>
      <c r="CX10" s="533"/>
      <c r="CY10" s="465" t="str">
        <f>LEFT($CH$2,3)&amp;" "&amp;RIGHT($BK$6,2)&amp;"_"&amp;"A"&amp;"2.2"&amp;" DT"</f>
        <v>Vảy B1_A2.2 DT</v>
      </c>
      <c r="CZ10" s="765"/>
      <c r="DA10" s="777" t="s">
        <v>872</v>
      </c>
      <c r="DB10" s="476">
        <f>DB6*$CZ$11</f>
        <v>12312.398619110936</v>
      </c>
      <c r="DC10" s="476">
        <f t="shared" ref="DC10:DI10" si="86">DC6*$CZ$11</f>
        <v>8756.4401368082654</v>
      </c>
      <c r="DD10" s="456">
        <f t="shared" si="86"/>
        <v>2324.7186203915753</v>
      </c>
      <c r="DE10" s="456">
        <f t="shared" ref="DE10" si="87">DE6*$CZ$11</f>
        <v>1206.5239142332903</v>
      </c>
      <c r="DF10" s="476">
        <f>DF6*$CZ$11</f>
        <v>764.31350988524321</v>
      </c>
      <c r="DG10" s="476">
        <f>DG6*$CZ$11</f>
        <v>-419.95757105323491</v>
      </c>
      <c r="DH10" s="476">
        <f t="shared" si="86"/>
        <v>-187.87042571793663</v>
      </c>
      <c r="DI10" s="476">
        <f t="shared" si="86"/>
        <v>1231.2398619110936</v>
      </c>
      <c r="DK10" s="731">
        <f t="shared" si="29"/>
        <v>13675.408046458297</v>
      </c>
      <c r="DL10" s="453">
        <f t="shared" si="30"/>
        <v>516.05313382861493</v>
      </c>
      <c r="DM10" s="494">
        <f t="shared" si="48"/>
        <v>586.05313382861493</v>
      </c>
      <c r="DN10" s="587">
        <f>DM10/$DM$12</f>
        <v>1.1720024793591053</v>
      </c>
      <c r="DO10" s="533"/>
      <c r="DQ10" s="384" t="str">
        <f>DQ8</f>
        <v>100%B1.A1,A2</v>
      </c>
      <c r="DR10" s="780" t="str">
        <f>BC11</f>
        <v>Hạt rPET WSS01G</v>
      </c>
      <c r="DS10" s="768"/>
      <c r="DT10" s="777" t="s">
        <v>872</v>
      </c>
      <c r="DU10" s="480">
        <f>AZ11</f>
        <v>20311.400756943116</v>
      </c>
      <c r="DV10" s="480">
        <f>DV$6/$DU$6*$DU10</f>
        <v>14445.240957909891</v>
      </c>
      <c r="DW10" s="480">
        <f>DW$6/$DU$6*$DU10</f>
        <v>7086.2520775220273</v>
      </c>
      <c r="DX10" s="480">
        <f t="shared" ref="DX10:DY10" si="88">DX$6/$DU$6*$DU10</f>
        <v>-692.79161522067454</v>
      </c>
      <c r="DY10" s="480">
        <f t="shared" si="88"/>
        <v>-309.92429868308352</v>
      </c>
      <c r="DZ10" s="480">
        <f>DZ6</f>
        <v>-321.81131370545882</v>
      </c>
      <c r="EA10" s="480">
        <f>EA$6/$DU$6*$DU10</f>
        <v>2031.1400756943115</v>
      </c>
      <c r="EB10" s="480">
        <f>EB8</f>
        <v>2000.939404729972</v>
      </c>
      <c r="EC10" s="480">
        <f>EC4</f>
        <v>1376.0623421472308</v>
      </c>
      <c r="ED10" s="480"/>
      <c r="EE10" s="480">
        <f>SUM(DV10:EC10)</f>
        <v>25615.107630394214</v>
      </c>
      <c r="EF10" s="453">
        <f>EF6</f>
        <v>22792.346744097165</v>
      </c>
      <c r="EG10" s="570">
        <f t="shared" si="50"/>
        <v>966.60783510921556</v>
      </c>
      <c r="EI10" s="479">
        <f>EI6</f>
        <v>2173</v>
      </c>
      <c r="EJ10" s="479">
        <f t="shared" ref="EJ10:EK11" si="89">EJ6</f>
        <v>1166</v>
      </c>
      <c r="EK10" s="479">
        <f t="shared" si="89"/>
        <v>371</v>
      </c>
      <c r="EL10" s="480">
        <f t="shared" si="31"/>
        <v>3710</v>
      </c>
      <c r="EM10" s="480">
        <f t="shared" si="52"/>
        <v>29325.107630394214</v>
      </c>
      <c r="EN10" s="521">
        <f t="shared" si="32"/>
        <v>1106.6078351092156</v>
      </c>
      <c r="EO10" s="733">
        <v>50</v>
      </c>
      <c r="EP10" s="733">
        <f t="shared" si="33"/>
        <v>1156.6078351092156</v>
      </c>
      <c r="ER10" s="733">
        <f t="shared" si="72"/>
        <v>571.76806815075429</v>
      </c>
      <c r="ES10" s="733">
        <f t="shared" si="34"/>
        <v>534.8397669584615</v>
      </c>
      <c r="ET10" s="733">
        <f t="shared" si="53"/>
        <v>50</v>
      </c>
      <c r="EU10" s="521">
        <f t="shared" si="54"/>
        <v>1156.6078351092158</v>
      </c>
      <c r="EV10" s="463"/>
      <c r="EW10" s="733">
        <f t="shared" si="35"/>
        <v>15151.853805994988</v>
      </c>
      <c r="EX10" s="733">
        <f t="shared" si="36"/>
        <v>14173.253824399229</v>
      </c>
      <c r="EY10" s="733">
        <f t="shared" si="55"/>
        <v>1325</v>
      </c>
      <c r="EZ10" s="521">
        <f t="shared" si="56"/>
        <v>30650.107630394217</v>
      </c>
      <c r="FB10" s="733">
        <f t="shared" si="37"/>
        <v>545.10343237395819</v>
      </c>
      <c r="FC10" s="733">
        <f t="shared" si="38"/>
        <v>26.664635776796022</v>
      </c>
      <c r="FD10" s="733">
        <f t="shared" si="39"/>
        <v>394.8397669584615</v>
      </c>
      <c r="FE10" s="733">
        <f t="shared" si="40"/>
        <v>140</v>
      </c>
      <c r="FF10" s="733">
        <f t="shared" si="57"/>
        <v>50</v>
      </c>
      <c r="FG10" s="521">
        <f t="shared" si="58"/>
        <v>1156.6078351092156</v>
      </c>
      <c r="FH10" s="735">
        <f t="shared" si="73"/>
        <v>0</v>
      </c>
      <c r="FI10" s="733">
        <f t="shared" si="59"/>
        <v>14445.240957909891</v>
      </c>
      <c r="FJ10" s="733">
        <f t="shared" si="41"/>
        <v>706.61284808509458</v>
      </c>
      <c r="FK10" s="733">
        <f t="shared" si="42"/>
        <v>10463.253824399229</v>
      </c>
      <c r="FL10" s="733">
        <f t="shared" si="43"/>
        <v>3710</v>
      </c>
      <c r="FM10" s="733">
        <f t="shared" si="60"/>
        <v>1325</v>
      </c>
      <c r="FN10" s="521">
        <f t="shared" si="61"/>
        <v>30650.107630394217</v>
      </c>
      <c r="FO10" s="463">
        <f t="shared" si="62"/>
        <v>0</v>
      </c>
      <c r="FP10" s="526">
        <f t="shared" si="74"/>
        <v>0.16427348512822307</v>
      </c>
      <c r="FQ10" s="526">
        <f t="shared" si="44"/>
        <v>4.3229864507427121E-2</v>
      </c>
      <c r="FS10" s="521">
        <f>'Hảo_R&amp;D (Vảy sạch) (-PS)'!DL4</f>
        <v>1380</v>
      </c>
      <c r="FT10" s="479">
        <f>FS10-SUM(FB10:FD10)</f>
        <v>413.39216489078433</v>
      </c>
      <c r="FU10" s="947">
        <f t="shared" si="64"/>
        <v>0.29955953977593069</v>
      </c>
      <c r="FV10" s="295">
        <f t="shared" si="75"/>
        <v>223.39216489078444</v>
      </c>
      <c r="FW10" s="296">
        <f t="shared" si="76"/>
        <v>0.16187838035564089</v>
      </c>
    </row>
    <row r="11" spans="2:179" ht="15.75" customHeight="1" x14ac:dyDescent="0.35">
      <c r="K11" s="353"/>
      <c r="V11" s="343"/>
      <c r="X11" s="342"/>
      <c r="Z11" s="353"/>
      <c r="AG11" s="675">
        <f>$AI$5*AL11</f>
        <v>12124.528193392998</v>
      </c>
      <c r="AH11" s="357">
        <v>0.29600174860447914</v>
      </c>
      <c r="AI11" s="835" t="s">
        <v>702</v>
      </c>
      <c r="AJ11" s="841" t="s">
        <v>561</v>
      </c>
      <c r="AK11" s="842"/>
      <c r="AL11" s="522">
        <f>AI11/$AI$7</f>
        <v>0.6</v>
      </c>
      <c r="AS11" s="358"/>
      <c r="AT11" s="862" t="s">
        <v>562</v>
      </c>
      <c r="AU11" s="863"/>
      <c r="AV11" s="359"/>
      <c r="AW11" s="359"/>
      <c r="AX11" s="874" t="s">
        <v>563</v>
      </c>
      <c r="AY11" s="875"/>
      <c r="AZ11" s="467">
        <f>$AZ$6/$BB$6*BB11</f>
        <v>20311.400756943116</v>
      </c>
      <c r="BA11" s="348">
        <v>0</v>
      </c>
      <c r="BB11" s="449">
        <f>'Hảo_R&amp;D (Vảy sạch)'!BH4</f>
        <v>1.0642201834862386</v>
      </c>
      <c r="BC11" s="422" t="s">
        <v>564</v>
      </c>
      <c r="BD11" s="423"/>
      <c r="BH11" s="344"/>
      <c r="BL11" s="463"/>
      <c r="BM11" s="453"/>
      <c r="BN11" s="453"/>
      <c r="BO11" s="453"/>
      <c r="BS11" s="414"/>
      <c r="BU11" s="343"/>
      <c r="BW11" s="755"/>
      <c r="BX11" s="387">
        <f>$Z95</f>
        <v>0.89880000000000004</v>
      </c>
      <c r="BY11" s="772" t="s">
        <v>873</v>
      </c>
      <c r="BZ11" s="484">
        <f>BZ10</f>
        <v>15500.388548832256</v>
      </c>
      <c r="CA11" s="484">
        <f t="shared" ref="CA11" si="90">CA10</f>
        <v>11023.702905008673</v>
      </c>
      <c r="CB11" s="484">
        <f t="shared" ref="CB11" si="91">CB10</f>
        <v>2926.6467889403557</v>
      </c>
      <c r="CC11" s="484">
        <f>CC7</f>
        <v>3240.9192930660097</v>
      </c>
      <c r="CD11" s="484">
        <f t="shared" ref="CD11" si="92">CD10</f>
        <v>-673.19999999999993</v>
      </c>
      <c r="CE11" s="453">
        <f>CE10</f>
        <v>1550.0388548832254</v>
      </c>
      <c r="CG11" s="484">
        <f t="shared" si="24"/>
        <v>18068.107841898265</v>
      </c>
      <c r="CH11" s="768"/>
      <c r="CI11" s="387">
        <f>AH95</f>
        <v>0.91300000000000003</v>
      </c>
      <c r="CJ11" s="772" t="s">
        <v>873</v>
      </c>
      <c r="CK11" s="453">
        <f t="shared" ref="CK11:CR11" si="93">CK10</f>
        <v>17494.795201842277</v>
      </c>
      <c r="CL11" s="453">
        <f t="shared" si="93"/>
        <v>12442.102601589924</v>
      </c>
      <c r="CM11" s="456">
        <f>AJ68</f>
        <v>3303.2130800681216</v>
      </c>
      <c r="CN11" s="484">
        <f>+CC11/$CI$9</f>
        <v>3657.9224526704397</v>
      </c>
      <c r="CO11" s="484">
        <f>CO7</f>
        <v>2013.5603276057439</v>
      </c>
      <c r="CP11" s="453">
        <f>CD11</f>
        <v>-673.19999999999993</v>
      </c>
      <c r="CQ11" s="453">
        <f t="shared" si="93"/>
        <v>-453</v>
      </c>
      <c r="CR11" s="453">
        <f t="shared" si="93"/>
        <v>1749.4795201842273</v>
      </c>
      <c r="CT11" s="730">
        <f t="shared" si="25"/>
        <v>22040.077982118455</v>
      </c>
      <c r="CU11" s="453">
        <f t="shared" si="26"/>
        <v>831.70105592899836</v>
      </c>
      <c r="CV11" s="476">
        <f t="shared" si="27"/>
        <v>901.70105592899836</v>
      </c>
      <c r="CW11" s="340"/>
      <c r="CX11" s="533"/>
      <c r="CY11" s="465"/>
      <c r="CZ11" s="387">
        <v>0.6</v>
      </c>
      <c r="DA11" s="772" t="s">
        <v>873</v>
      </c>
      <c r="DB11" s="453">
        <f>DB7*$CZ$11</f>
        <v>12312.398619110936</v>
      </c>
      <c r="DC11" s="453">
        <f t="shared" ref="DC11:DI11" si="94">DC7*$CZ$11</f>
        <v>8756.4401368082654</v>
      </c>
      <c r="DD11" s="456">
        <f t="shared" si="94"/>
        <v>2324.7186203915753</v>
      </c>
      <c r="DE11" s="456">
        <f t="shared" ref="DE11" si="95">DE7*$CZ$11</f>
        <v>2096.703218358165</v>
      </c>
      <c r="DF11" s="456">
        <f>DF7*$CZ$11</f>
        <v>1208.1361965634462</v>
      </c>
      <c r="DG11" s="456">
        <f>DG7*$CZ$11</f>
        <v>-419.95757105323491</v>
      </c>
      <c r="DH11" s="453">
        <f t="shared" si="94"/>
        <v>-187.87042571793663</v>
      </c>
      <c r="DI11" s="453">
        <f t="shared" si="94"/>
        <v>1231.2398619110936</v>
      </c>
      <c r="DK11" s="730">
        <f t="shared" si="29"/>
        <v>15009.410037261374</v>
      </c>
      <c r="DL11" s="453">
        <f t="shared" si="30"/>
        <v>566.39283159476884</v>
      </c>
      <c r="DM11" s="476">
        <f t="shared" si="48"/>
        <v>636.39283159476884</v>
      </c>
      <c r="DO11" s="533"/>
      <c r="DQ11" s="489"/>
      <c r="DR11" s="554"/>
      <c r="DS11" s="387">
        <f>AW95</f>
        <v>0</v>
      </c>
      <c r="DT11" s="772" t="s">
        <v>873</v>
      </c>
      <c r="DU11" s="479">
        <f>DU10</f>
        <v>20311.400756943116</v>
      </c>
      <c r="DV11" s="480">
        <f>DV$7/$DU$7*$DU11</f>
        <v>14445.240957909891</v>
      </c>
      <c r="DW11" s="480">
        <f>DW$7/$DU$7*$DU11</f>
        <v>5754.3043782206305</v>
      </c>
      <c r="DX11" s="480">
        <f t="shared" ref="DX11:DY11" si="96">DX$7/$DU$7*$DU11</f>
        <v>-692.79161522067454</v>
      </c>
      <c r="DY11" s="480">
        <f t="shared" si="96"/>
        <v>-309.92429868308352</v>
      </c>
      <c r="DZ11" s="480">
        <f t="shared" ref="DZ11:EA11" si="97">DZ10</f>
        <v>-321.81131370545882</v>
      </c>
      <c r="EA11" s="480">
        <f t="shared" si="97"/>
        <v>2031.1400756943115</v>
      </c>
      <c r="EB11" s="480">
        <f t="shared" si="69"/>
        <v>2796.8565141477497</v>
      </c>
      <c r="EC11" s="480">
        <f>EC5</f>
        <v>2064.9528218457522</v>
      </c>
      <c r="ED11" s="480"/>
      <c r="EE11" s="480">
        <f t="shared" si="70"/>
        <v>25767.967520209117</v>
      </c>
      <c r="EF11" s="463">
        <f>EE12-EF12</f>
        <v>2239.3147518861224</v>
      </c>
      <c r="EG11" s="740">
        <f t="shared" si="50"/>
        <v>972.37613283807991</v>
      </c>
      <c r="EH11" s="480"/>
      <c r="EI11" s="480">
        <f>EI7</f>
        <v>2173</v>
      </c>
      <c r="EJ11" s="480">
        <f t="shared" si="89"/>
        <v>1166</v>
      </c>
      <c r="EK11" s="480">
        <f t="shared" si="89"/>
        <v>371</v>
      </c>
      <c r="EL11" s="480">
        <f t="shared" si="31"/>
        <v>3710</v>
      </c>
      <c r="EM11" s="480">
        <f t="shared" si="52"/>
        <v>29477.967520209117</v>
      </c>
      <c r="EN11" s="740">
        <f t="shared" si="32"/>
        <v>1112.3761328380799</v>
      </c>
      <c r="EO11" s="738">
        <v>50</v>
      </c>
      <c r="EP11" s="738">
        <f t="shared" si="33"/>
        <v>1162.3761328380799</v>
      </c>
      <c r="EQ11" s="473"/>
      <c r="ER11" s="738">
        <f t="shared" si="72"/>
        <v>571.76806815075429</v>
      </c>
      <c r="ES11" s="738">
        <f t="shared" si="34"/>
        <v>540.60806468732574</v>
      </c>
      <c r="ET11" s="738">
        <f t="shared" si="53"/>
        <v>50</v>
      </c>
      <c r="EU11" s="738">
        <f t="shared" si="54"/>
        <v>1162.3761328380801</v>
      </c>
      <c r="EW11" s="738">
        <f t="shared" si="35"/>
        <v>15151.853805994988</v>
      </c>
      <c r="EX11" s="738">
        <f t="shared" si="36"/>
        <v>14326.113714214132</v>
      </c>
      <c r="EY11" s="738">
        <f t="shared" si="55"/>
        <v>1325</v>
      </c>
      <c r="EZ11" s="738">
        <f t="shared" si="56"/>
        <v>30802.96752020912</v>
      </c>
      <c r="FB11" s="738">
        <f t="shared" si="37"/>
        <v>545.10343237395819</v>
      </c>
      <c r="FC11" s="738">
        <f t="shared" si="38"/>
        <v>26.664635776796022</v>
      </c>
      <c r="FD11" s="738">
        <f t="shared" si="39"/>
        <v>400.60806468732574</v>
      </c>
      <c r="FE11" s="738">
        <f t="shared" si="40"/>
        <v>140</v>
      </c>
      <c r="FF11" s="738">
        <f t="shared" si="57"/>
        <v>50</v>
      </c>
      <c r="FG11" s="738">
        <f t="shared" si="58"/>
        <v>1162.3761328380799</v>
      </c>
      <c r="FH11" s="735">
        <f t="shared" si="73"/>
        <v>0</v>
      </c>
      <c r="FI11" s="738">
        <f t="shared" si="59"/>
        <v>14445.240957909891</v>
      </c>
      <c r="FJ11" s="738">
        <f t="shared" si="41"/>
        <v>706.61284808509458</v>
      </c>
      <c r="FK11" s="738">
        <f t="shared" si="42"/>
        <v>10616.113714214132</v>
      </c>
      <c r="FL11" s="738">
        <f t="shared" si="43"/>
        <v>3710</v>
      </c>
      <c r="FM11" s="738">
        <f t="shared" si="60"/>
        <v>1325</v>
      </c>
      <c r="FN11" s="738">
        <f t="shared" si="61"/>
        <v>30802.967520209117</v>
      </c>
      <c r="FO11" s="463">
        <f t="shared" si="62"/>
        <v>0</v>
      </c>
      <c r="FP11" s="526">
        <f t="shared" si="74"/>
        <v>0.16345827708634411</v>
      </c>
      <c r="FQ11" s="526">
        <f t="shared" si="44"/>
        <v>4.3015336075353718E-2</v>
      </c>
      <c r="FS11" s="738">
        <f>FS10</f>
        <v>1380</v>
      </c>
      <c r="FT11" s="479">
        <f t="shared" si="63"/>
        <v>407.62386716192009</v>
      </c>
      <c r="FU11" s="947">
        <f t="shared" si="64"/>
        <v>0.29537961388544937</v>
      </c>
      <c r="FV11" s="295">
        <f t="shared" si="75"/>
        <v>217.62386716192009</v>
      </c>
      <c r="FW11" s="296">
        <f t="shared" si="76"/>
        <v>0.15769845446515948</v>
      </c>
    </row>
    <row r="12" spans="2:179" x14ac:dyDescent="0.35">
      <c r="K12" s="353"/>
      <c r="V12" s="343"/>
      <c r="Z12" s="390">
        <f>SUM(Z13:Z27)</f>
        <v>8.5635161543429192E-2</v>
      </c>
      <c r="AA12" s="564">
        <f>SUM(AA13:AA27)</f>
        <v>699.9292850887249</v>
      </c>
      <c r="AH12" s="360"/>
      <c r="AI12" s="836"/>
      <c r="AJ12" s="843"/>
      <c r="AK12" s="844"/>
      <c r="AS12" s="353"/>
      <c r="AT12" s="864"/>
      <c r="AU12" s="865"/>
      <c r="AV12" s="349"/>
      <c r="AW12" s="349"/>
      <c r="AX12" s="876"/>
      <c r="AY12" s="877"/>
      <c r="AZ12" s="463">
        <f>$AZ$13-$BA$5</f>
        <v>-1522.9951963302046</v>
      </c>
      <c r="BA12" s="361"/>
      <c r="BB12" s="361"/>
      <c r="BC12" s="424"/>
      <c r="BD12" s="425"/>
      <c r="BH12" s="344">
        <f>V96</f>
        <v>0.02</v>
      </c>
      <c r="BI12" s="340">
        <v>20</v>
      </c>
      <c r="BJ12" s="342">
        <f>'Giá mua Chai-Vảy (Giá giảm)'!G17</f>
        <v>2.2222222222222223E-2</v>
      </c>
      <c r="BK12" s="340" t="str">
        <f>N96</f>
        <v>Chai B5</v>
      </c>
      <c r="BL12" s="453">
        <f>BJ12*$BH$4/(1-$BH$5)-BM12</f>
        <v>251.11111111111111</v>
      </c>
      <c r="BM12" s="453">
        <f>BJ12*$BH$4*$BH$5/(1-$BH$5)</f>
        <v>27.901234567901238</v>
      </c>
      <c r="BN12" s="742">
        <f>BL12+BM12</f>
        <v>279.01234567901236</v>
      </c>
      <c r="BO12" s="742">
        <f>BN12/(BI12/(1-$BH$5))*1000</f>
        <v>12555.555555555557</v>
      </c>
      <c r="BP12" s="744">
        <f>($BJ$5+$BJ$5*$BH$5/(1-$BH$5))*BJ12</f>
        <v>74.074074074074076</v>
      </c>
      <c r="BQ12" s="463">
        <f>BL12+BM12+BP12</f>
        <v>353.08641975308643</v>
      </c>
      <c r="BR12" s="744">
        <f>BQ12/(BI12/(1-$BH$5))*1000</f>
        <v>15888.888888888889</v>
      </c>
      <c r="BS12" s="520">
        <f>N94</f>
        <v>13531.839203130559</v>
      </c>
      <c r="BT12" s="463">
        <f>Q94</f>
        <v>9623.692636072572</v>
      </c>
      <c r="BU12" s="484">
        <f>S94</f>
        <v>2554.9626467449307</v>
      </c>
      <c r="BV12" s="463">
        <f>R94</f>
        <v>1353.1839203130558</v>
      </c>
      <c r="BW12" s="520" t="str">
        <f>LEFT($BW$2,3)&amp;" "&amp;RIGHT(BK12,2)&amp;"_"&amp;RIGHT($BW$2,3)</f>
        <v>Vảy B5_ A0</v>
      </c>
      <c r="BX12" s="520"/>
      <c r="BY12" s="777" t="s">
        <v>872</v>
      </c>
      <c r="BZ12" s="748">
        <f>BS12/BX11</f>
        <v>15055.450826803024</v>
      </c>
      <c r="CA12" s="748">
        <f>Z93</f>
        <v>10707.268175425646</v>
      </c>
      <c r="CB12" s="748">
        <f>AB93</f>
        <v>2842.6375686970746</v>
      </c>
      <c r="CC12" s="484">
        <f>CC8</f>
        <v>1864.9499828812825</v>
      </c>
      <c r="CD12" s="748">
        <f>-AA101</f>
        <v>-479.05615653759764</v>
      </c>
      <c r="CE12" s="482">
        <f>AA93</f>
        <v>1505.5450826803024</v>
      </c>
      <c r="CG12" s="759">
        <f t="shared" si="24"/>
        <v>16441.344653146709</v>
      </c>
      <c r="CH12" s="768" t="str">
        <f>LEFT($CH$2,3)&amp;" "&amp;RIGHT(BK12,2)&amp;"_"&amp;RIGHT($CH$2,3)&amp;" DT"</f>
        <v>Vảy B5_ A1 DT</v>
      </c>
      <c r="CI12" s="768"/>
      <c r="CJ12" s="777" t="s">
        <v>872</v>
      </c>
      <c r="CK12" s="463">
        <f>BZ12/CI11</f>
        <v>16490.088528809447</v>
      </c>
      <c r="CL12" s="482">
        <f>AH93</f>
        <v>11727.566457202242</v>
      </c>
      <c r="CM12" s="484">
        <f>AJ93</f>
        <v>3113.5132187262589</v>
      </c>
      <c r="CN12" s="484">
        <f>+CC12/$CI$11</f>
        <v>2042.6615365621933</v>
      </c>
      <c r="CO12" s="484">
        <f>CO8</f>
        <v>1273.8558498087386</v>
      </c>
      <c r="CP12" s="482">
        <f>CD12/$CI$11</f>
        <v>-524.70553837633918</v>
      </c>
      <c r="CQ12" s="482">
        <f>-AI103</f>
        <v>-489.5</v>
      </c>
      <c r="CR12" s="482">
        <f>AI93</f>
        <v>1649.0088528809445</v>
      </c>
      <c r="CT12" s="486">
        <f t="shared" si="25"/>
        <v>18792.400376804038</v>
      </c>
      <c r="CU12" s="453">
        <f t="shared" si="26"/>
        <v>709.14718403034112</v>
      </c>
      <c r="CV12" s="494">
        <f t="shared" si="27"/>
        <v>779.14718403034112</v>
      </c>
      <c r="CW12" s="587">
        <f>CV12/$CV$12</f>
        <v>1</v>
      </c>
      <c r="CX12" s="533"/>
      <c r="CY12" s="465" t="str">
        <f>LEFT($CH$2,3)&amp;" "&amp;RIGHT($BK$6,2)&amp;"_"&amp;"A"&amp;"3"&amp;" DT"</f>
        <v>Vảy B1_A3 DT</v>
      </c>
      <c r="CZ12" s="765"/>
      <c r="DA12" s="777" t="s">
        <v>872</v>
      </c>
      <c r="DB12" s="476">
        <f>DB6*$CZ$13</f>
        <v>10260.332182592447</v>
      </c>
      <c r="DC12" s="476">
        <f t="shared" ref="DC12:DI12" si="98">DC6*$CZ$13</f>
        <v>7297.0334473402218</v>
      </c>
      <c r="DD12" s="456">
        <f t="shared" si="98"/>
        <v>1937.2655169929797</v>
      </c>
      <c r="DE12" s="456">
        <f t="shared" ref="DE12" si="99">DE6*$CZ$13</f>
        <v>1005.4365951944086</v>
      </c>
      <c r="DF12" s="476">
        <f>DF6*$CZ$13</f>
        <v>636.92792490436932</v>
      </c>
      <c r="DG12" s="476">
        <f>DG6*$CZ$13</f>
        <v>-349.96464254436245</v>
      </c>
      <c r="DH12" s="476">
        <f t="shared" si="98"/>
        <v>-156.55868809828053</v>
      </c>
      <c r="DI12" s="476">
        <f t="shared" si="98"/>
        <v>1026.0332182592447</v>
      </c>
      <c r="DK12" s="731">
        <f t="shared" si="29"/>
        <v>11396.173372048583</v>
      </c>
      <c r="DL12" s="453">
        <f t="shared" si="30"/>
        <v>430.04427819051256</v>
      </c>
      <c r="DM12" s="494">
        <f t="shared" si="48"/>
        <v>500.04427819051256</v>
      </c>
      <c r="DN12" s="587">
        <f>DM12/$DM$12</f>
        <v>1</v>
      </c>
      <c r="DO12" s="533"/>
      <c r="DQ12" s="384" t="str">
        <f>DQ10</f>
        <v>100%B1.A1,A2</v>
      </c>
      <c r="DR12" s="781" t="str">
        <f>BC13</f>
        <v>Hạt rPET WSS03G</v>
      </c>
      <c r="DS12" s="768"/>
      <c r="DT12" s="777" t="s">
        <v>872</v>
      </c>
      <c r="DU12" s="475">
        <f>AZ13</f>
        <v>19786.105909780796</v>
      </c>
      <c r="DV12" s="475">
        <f>DV$6/$DU$6*$DU12</f>
        <v>14071.657140032912</v>
      </c>
      <c r="DW12" s="475">
        <f>DW$6/$DU$6*$DU12</f>
        <v>6902.9869375861126</v>
      </c>
      <c r="DX12" s="475">
        <f t="shared" ref="DX12:DY12" si="100">DX$6/$DU$6*$DU12</f>
        <v>-674.87459068910539</v>
      </c>
      <c r="DY12" s="475">
        <f t="shared" si="100"/>
        <v>-301.90901509645209</v>
      </c>
      <c r="DZ12" s="475">
        <f>DZ6</f>
        <v>-321.81131370545882</v>
      </c>
      <c r="EA12" s="475">
        <f>EA$6/$DU$6*$DU12</f>
        <v>1978.6105909780795</v>
      </c>
      <c r="EB12" s="475">
        <f t="shared" si="69"/>
        <v>2000.939404729972</v>
      </c>
      <c r="EC12" s="475">
        <f>EC4</f>
        <v>1376.0623421472308</v>
      </c>
      <c r="ED12" s="475"/>
      <c r="EE12" s="475">
        <f t="shared" si="70"/>
        <v>25031.661495983288</v>
      </c>
      <c r="EF12" s="453">
        <f>EF6</f>
        <v>22792.346744097165</v>
      </c>
      <c r="EG12" s="475">
        <f t="shared" si="50"/>
        <v>944.59099984842601</v>
      </c>
      <c r="EI12" s="474">
        <f>EI6</f>
        <v>2173</v>
      </c>
      <c r="EJ12" s="474">
        <f t="shared" ref="EJ12:EK13" si="101">EJ6</f>
        <v>1166</v>
      </c>
      <c r="EK12" s="474">
        <f t="shared" si="101"/>
        <v>371</v>
      </c>
      <c r="EL12" s="475">
        <f t="shared" si="31"/>
        <v>3710</v>
      </c>
      <c r="EM12" s="475">
        <f t="shared" si="52"/>
        <v>28741.661495983288</v>
      </c>
      <c r="EN12" s="474">
        <f t="shared" si="32"/>
        <v>1084.590999848426</v>
      </c>
      <c r="EO12" s="734">
        <v>50</v>
      </c>
      <c r="EP12" s="734">
        <f t="shared" si="33"/>
        <v>1134.590999848426</v>
      </c>
      <c r="ER12" s="734">
        <f t="shared" si="72"/>
        <v>556.66689854792355</v>
      </c>
      <c r="ES12" s="734">
        <f t="shared" si="34"/>
        <v>527.92410130050246</v>
      </c>
      <c r="ET12" s="734">
        <f t="shared" si="53"/>
        <v>50</v>
      </c>
      <c r="EU12" s="734">
        <f t="shared" si="54"/>
        <v>1134.590999848426</v>
      </c>
      <c r="EW12" s="734">
        <f t="shared" si="35"/>
        <v>14751.672811519975</v>
      </c>
      <c r="EX12" s="734">
        <f t="shared" si="36"/>
        <v>13989.988684463315</v>
      </c>
      <c r="EY12" s="734">
        <f t="shared" si="55"/>
        <v>1325</v>
      </c>
      <c r="EZ12" s="734">
        <f t="shared" si="56"/>
        <v>30066.661495983288</v>
      </c>
      <c r="FB12" s="734">
        <f t="shared" si="37"/>
        <v>531.00592981256273</v>
      </c>
      <c r="FC12" s="734">
        <f t="shared" si="38"/>
        <v>25.660968735360875</v>
      </c>
      <c r="FD12" s="734">
        <f t="shared" si="39"/>
        <v>387.92410130050246</v>
      </c>
      <c r="FE12" s="734">
        <f t="shared" si="40"/>
        <v>140</v>
      </c>
      <c r="FF12" s="734">
        <f t="shared" si="57"/>
        <v>50</v>
      </c>
      <c r="FG12" s="734">
        <f t="shared" si="58"/>
        <v>1134.590999848426</v>
      </c>
      <c r="FH12" s="735">
        <f t="shared" si="73"/>
        <v>0</v>
      </c>
      <c r="FI12" s="734">
        <f t="shared" si="59"/>
        <v>14071.657140032912</v>
      </c>
      <c r="FJ12" s="734">
        <f t="shared" si="41"/>
        <v>680.01567148706317</v>
      </c>
      <c r="FK12" s="734">
        <f t="shared" si="42"/>
        <v>10279.988684463315</v>
      </c>
      <c r="FL12" s="734">
        <f t="shared" si="43"/>
        <v>3710</v>
      </c>
      <c r="FM12" s="734">
        <f t="shared" si="60"/>
        <v>1325</v>
      </c>
      <c r="FN12" s="734">
        <f t="shared" si="61"/>
        <v>30066.661495983288</v>
      </c>
      <c r="FO12" s="463">
        <f t="shared" si="62"/>
        <v>0</v>
      </c>
      <c r="FP12" s="526">
        <f t="shared" si="74"/>
        <v>0.16746122613821435</v>
      </c>
      <c r="FQ12" s="526">
        <f t="shared" si="44"/>
        <v>4.4068743720582726E-2</v>
      </c>
      <c r="FS12" s="734">
        <f>'Hảo_R&amp;D (Vảy sạch) (-PS)'!DL5</f>
        <v>1310</v>
      </c>
      <c r="FT12" s="474">
        <f t="shared" si="63"/>
        <v>365.40900015157399</v>
      </c>
      <c r="FU12" s="948">
        <f t="shared" si="64"/>
        <v>0.27893816805463661</v>
      </c>
      <c r="FV12" s="944">
        <f t="shared" si="75"/>
        <v>175.40900015157399</v>
      </c>
      <c r="FW12" s="296">
        <f t="shared" si="76"/>
        <v>0.13390000011570533</v>
      </c>
    </row>
    <row r="13" spans="2:179" ht="19" customHeight="1" x14ac:dyDescent="0.35">
      <c r="K13" s="353"/>
      <c r="V13" s="343"/>
      <c r="X13" s="342"/>
      <c r="Y13" s="453">
        <v>10000</v>
      </c>
      <c r="Z13" s="362">
        <v>4.6699187812774122E-2</v>
      </c>
      <c r="AA13" s="927">
        <f>Y13*Z13</f>
        <v>466.99187812774124</v>
      </c>
      <c r="AB13" s="851" t="s">
        <v>565</v>
      </c>
      <c r="AC13" s="842"/>
      <c r="AG13" s="675">
        <f>$AI$5*AI13</f>
        <v>10103.773494494166</v>
      </c>
      <c r="AH13" s="357">
        <v>6.3639114937117491E-2</v>
      </c>
      <c r="AI13" s="835" t="s">
        <v>703</v>
      </c>
      <c r="AJ13" s="841" t="s">
        <v>566</v>
      </c>
      <c r="AK13" s="842"/>
      <c r="AL13" s="522">
        <f>AI13/$AI$7</f>
        <v>0.5</v>
      </c>
      <c r="AS13" s="353"/>
      <c r="AZ13" s="467">
        <f>$AZ$6/$BB$6*BB13</f>
        <v>19786.105909780796</v>
      </c>
      <c r="BA13" s="357">
        <v>3.3000000000000002E-2</v>
      </c>
      <c r="BB13" s="449">
        <f>'Hảo_R&amp;D (Vảy sạch)'!BH5</f>
        <v>1.036697247706422</v>
      </c>
      <c r="BC13" s="422" t="s">
        <v>567</v>
      </c>
      <c r="BD13" s="423"/>
      <c r="BL13" s="463"/>
      <c r="BM13" s="453"/>
      <c r="BN13" s="453"/>
      <c r="BO13" s="453"/>
      <c r="BS13" s="414"/>
      <c r="BU13" s="343"/>
      <c r="BW13" s="755"/>
      <c r="BX13" s="387">
        <f>$Z124</f>
        <v>0.84436654203297834</v>
      </c>
      <c r="BY13" s="772" t="s">
        <v>873</v>
      </c>
      <c r="BZ13" s="484">
        <f t="shared" ref="BZ13" si="102">BZ12</f>
        <v>15055.450826803024</v>
      </c>
      <c r="CA13" s="484">
        <f t="shared" ref="CA13" si="103">CA12</f>
        <v>10707.268175425646</v>
      </c>
      <c r="CB13" s="484">
        <f t="shared" ref="CB13" si="104">CB12</f>
        <v>2842.6375686970746</v>
      </c>
      <c r="CC13" s="484">
        <f>CC9</f>
        <v>3240.9192930660097</v>
      </c>
      <c r="CD13" s="484">
        <f t="shared" ref="CD13" si="105">CD12</f>
        <v>-479.05615653759764</v>
      </c>
      <c r="CE13" s="453">
        <f>CE12</f>
        <v>1505.5450826803024</v>
      </c>
      <c r="CG13" s="484">
        <f t="shared" si="24"/>
        <v>17817.313963331435</v>
      </c>
      <c r="CH13" s="768"/>
      <c r="CI13" s="387">
        <f>AH124</f>
        <v>0.92119999999999991</v>
      </c>
      <c r="CJ13" s="772" t="s">
        <v>873</v>
      </c>
      <c r="CK13" s="453">
        <f t="shared" ref="CK13:CR13" si="106">CK12</f>
        <v>16490.088528809447</v>
      </c>
      <c r="CL13" s="453">
        <f t="shared" si="106"/>
        <v>11727.566457202242</v>
      </c>
      <c r="CM13" s="456">
        <f>AJ93</f>
        <v>3113.5132187262589</v>
      </c>
      <c r="CN13" s="484">
        <f>+CC13/$CI$11</f>
        <v>3549.7473089441505</v>
      </c>
      <c r="CO13" s="484">
        <f>CO9</f>
        <v>2013.5603276057439</v>
      </c>
      <c r="CP13" s="453">
        <f>CD13</f>
        <v>-479.05615653759764</v>
      </c>
      <c r="CQ13" s="453">
        <f t="shared" si="106"/>
        <v>-489.5</v>
      </c>
      <c r="CR13" s="453">
        <f t="shared" si="106"/>
        <v>1649.0088528809445</v>
      </c>
      <c r="CT13" s="730">
        <f t="shared" si="25"/>
        <v>21084.840008821742</v>
      </c>
      <c r="CU13" s="453">
        <f t="shared" si="26"/>
        <v>795.65433995553747</v>
      </c>
      <c r="CV13" s="476">
        <f t="shared" si="27"/>
        <v>865.65433995553747</v>
      </c>
      <c r="CW13" s="340"/>
      <c r="CX13" s="533"/>
      <c r="CY13" s="465"/>
      <c r="CZ13" s="387">
        <v>0.5</v>
      </c>
      <c r="DA13" s="772" t="s">
        <v>873</v>
      </c>
      <c r="DB13" s="453">
        <f>DB7*$CZ$13</f>
        <v>10260.332182592447</v>
      </c>
      <c r="DC13" s="453">
        <f t="shared" ref="DC13:DI13" si="107">DC7*$CZ$13</f>
        <v>7297.0334473402218</v>
      </c>
      <c r="DD13" s="456">
        <f t="shared" si="107"/>
        <v>1937.2655169929797</v>
      </c>
      <c r="DE13" s="456">
        <f t="shared" ref="DE13" si="108">DE7*$CZ$13</f>
        <v>1747.2526819651378</v>
      </c>
      <c r="DF13" s="456">
        <f>DF7*$CZ$13</f>
        <v>1006.7801638028719</v>
      </c>
      <c r="DG13" s="456">
        <f>DG7*$CZ$13</f>
        <v>-349.96464254436245</v>
      </c>
      <c r="DH13" s="453">
        <f t="shared" si="107"/>
        <v>-156.55868809828053</v>
      </c>
      <c r="DI13" s="453">
        <f t="shared" si="107"/>
        <v>1026.0332182592447</v>
      </c>
      <c r="DK13" s="730">
        <f t="shared" si="29"/>
        <v>12507.841697717813</v>
      </c>
      <c r="DL13" s="453">
        <f t="shared" si="30"/>
        <v>471.99402632897409</v>
      </c>
      <c r="DM13" s="476">
        <f t="shared" si="48"/>
        <v>541.99402632897409</v>
      </c>
      <c r="DO13" s="533"/>
      <c r="DQ13" s="489"/>
      <c r="DR13" s="554"/>
      <c r="DS13" s="387">
        <f>AW124</f>
        <v>0</v>
      </c>
      <c r="DT13" s="772" t="s">
        <v>873</v>
      </c>
      <c r="DU13" s="474">
        <f>DU12</f>
        <v>19786.105909780796</v>
      </c>
      <c r="DV13" s="475">
        <f>DV11/$DU$7*$DU13</f>
        <v>13412.816714429253</v>
      </c>
      <c r="DW13" s="475">
        <f>DW11/$DU$7*$DU13</f>
        <v>5343.0351330933172</v>
      </c>
      <c r="DX13" s="475">
        <f t="shared" ref="DX13:DY13" si="109">DX11/$DU$7*$DU13</f>
        <v>-643.27670153262864</v>
      </c>
      <c r="DY13" s="475">
        <f t="shared" si="109"/>
        <v>-287.77351833013</v>
      </c>
      <c r="DZ13" s="475">
        <f t="shared" ref="DZ13" si="110">DZ12</f>
        <v>-321.81131370545882</v>
      </c>
      <c r="EA13" s="475">
        <f>EA12</f>
        <v>1978.6105909780795</v>
      </c>
      <c r="EB13" s="475">
        <f>EB11</f>
        <v>2796.8565141477497</v>
      </c>
      <c r="EC13" s="475">
        <f>EC5</f>
        <v>2064.9528218457522</v>
      </c>
      <c r="ED13" s="475"/>
      <c r="EE13" s="475">
        <f t="shared" si="70"/>
        <v>24343.410240925932</v>
      </c>
      <c r="EF13" s="471"/>
      <c r="EG13" s="475">
        <f t="shared" si="50"/>
        <v>918.61925437456352</v>
      </c>
      <c r="EH13" s="475"/>
      <c r="EI13" s="475">
        <f>EI7</f>
        <v>2173</v>
      </c>
      <c r="EJ13" s="475">
        <f t="shared" si="101"/>
        <v>1166</v>
      </c>
      <c r="EK13" s="475">
        <f t="shared" si="101"/>
        <v>371</v>
      </c>
      <c r="EL13" s="475">
        <f t="shared" si="31"/>
        <v>3710</v>
      </c>
      <c r="EM13" s="475">
        <f t="shared" si="52"/>
        <v>28053.410240925932</v>
      </c>
      <c r="EN13" s="475">
        <f t="shared" si="32"/>
        <v>1058.6192543745635</v>
      </c>
      <c r="EO13" s="739">
        <v>50</v>
      </c>
      <c r="EP13" s="739">
        <f t="shared" si="33"/>
        <v>1108.6192543745635</v>
      </c>
      <c r="EQ13" s="471"/>
      <c r="ER13" s="739">
        <f t="shared" si="72"/>
        <v>533.53078384298556</v>
      </c>
      <c r="ES13" s="739">
        <f t="shared" si="34"/>
        <v>525.08847053157808</v>
      </c>
      <c r="ET13" s="739">
        <f t="shared" si="53"/>
        <v>50</v>
      </c>
      <c r="EU13" s="739">
        <f t="shared" si="54"/>
        <v>1108.6192543745638</v>
      </c>
      <c r="EW13" s="739">
        <f t="shared" si="35"/>
        <v>14138.565771839116</v>
      </c>
      <c r="EX13" s="739">
        <f t="shared" si="36"/>
        <v>13914.84446908682</v>
      </c>
      <c r="EY13" s="739">
        <f t="shared" si="55"/>
        <v>1325</v>
      </c>
      <c r="EZ13" s="739">
        <f t="shared" si="56"/>
        <v>29378.410240925936</v>
      </c>
      <c r="FB13" s="739">
        <f t="shared" si="37"/>
        <v>506.14402695959444</v>
      </c>
      <c r="FC13" s="739">
        <f t="shared" si="38"/>
        <v>27.386756883391019</v>
      </c>
      <c r="FD13" s="739">
        <f t="shared" si="39"/>
        <v>385.08847053157814</v>
      </c>
      <c r="FE13" s="739">
        <f t="shared" si="40"/>
        <v>140</v>
      </c>
      <c r="FF13" s="739">
        <f t="shared" si="57"/>
        <v>50</v>
      </c>
      <c r="FG13" s="739">
        <f t="shared" si="58"/>
        <v>1108.6192543745635</v>
      </c>
      <c r="FH13" s="735">
        <f t="shared" si="73"/>
        <v>0</v>
      </c>
      <c r="FI13" s="739">
        <f t="shared" si="59"/>
        <v>13412.816714429253</v>
      </c>
      <c r="FJ13" s="739">
        <f t="shared" si="41"/>
        <v>725.74905740986196</v>
      </c>
      <c r="FK13" s="739">
        <f t="shared" si="42"/>
        <v>10204.84446908682</v>
      </c>
      <c r="FL13" s="739">
        <f t="shared" si="43"/>
        <v>3710</v>
      </c>
      <c r="FM13" s="739">
        <f t="shared" si="60"/>
        <v>1325</v>
      </c>
      <c r="FN13" s="739">
        <f t="shared" si="61"/>
        <v>29378.410240925936</v>
      </c>
      <c r="FO13" s="463">
        <f t="shared" si="62"/>
        <v>0</v>
      </c>
      <c r="FP13" s="526">
        <f t="shared" si="74"/>
        <v>0.1713843587419831</v>
      </c>
      <c r="FQ13" s="526">
        <f t="shared" si="44"/>
        <v>4.5101147037363974E-2</v>
      </c>
      <c r="FS13" s="739">
        <f>FS12</f>
        <v>1310</v>
      </c>
      <c r="FT13" s="474">
        <f t="shared" si="63"/>
        <v>391.38074562543648</v>
      </c>
      <c r="FU13" s="948">
        <f t="shared" si="64"/>
        <v>0.29876392795834844</v>
      </c>
      <c r="FV13" s="944">
        <f t="shared" si="75"/>
        <v>201.38074562543648</v>
      </c>
      <c r="FW13" s="296">
        <f t="shared" si="76"/>
        <v>0.15372576001941715</v>
      </c>
    </row>
    <row r="14" spans="2:179" x14ac:dyDescent="0.35">
      <c r="K14" s="353"/>
      <c r="V14" s="343"/>
      <c r="X14" s="342"/>
      <c r="Y14" s="453"/>
      <c r="Z14" s="341"/>
      <c r="AA14" s="928"/>
      <c r="AB14" s="852"/>
      <c r="AC14" s="844"/>
      <c r="AG14" s="411"/>
      <c r="AH14" s="363"/>
      <c r="AI14" s="836"/>
      <c r="AJ14" s="843"/>
      <c r="AK14" s="844"/>
      <c r="AS14" s="353"/>
      <c r="BA14" s="361"/>
      <c r="BB14" s="361"/>
      <c r="BC14" s="424"/>
      <c r="BD14" s="425"/>
      <c r="BH14" s="341">
        <f>V125</f>
        <v>0.3</v>
      </c>
      <c r="BI14" s="340">
        <v>300</v>
      </c>
      <c r="BJ14" s="342">
        <f>'Giá mua Chai-Vảy (Giá giảm)'!H18</f>
        <v>0.31590181430096054</v>
      </c>
      <c r="BK14" s="483" t="str">
        <f>N125</f>
        <v>Chai B6.2</v>
      </c>
      <c r="BL14" s="475">
        <f>BJ14*$BH$4/(1-$BH$5)-BM14</f>
        <v>3569.6905016008541</v>
      </c>
      <c r="BM14" s="475">
        <f>BJ14*$BH$4*$BH$5/(1-$BH$5)</f>
        <v>396.63227795565047</v>
      </c>
      <c r="BN14" s="742">
        <f>BL14+BM14</f>
        <v>3966.3227795565044</v>
      </c>
      <c r="BO14" s="742">
        <f>BN14/(BI14/(1-$BH$5))*1000</f>
        <v>11898.968338669514</v>
      </c>
      <c r="BP14" s="744">
        <f>($BJ$5+$BJ$5*$BH$5/(1-$BH$5))*BJ14</f>
        <v>1053.0060476698684</v>
      </c>
      <c r="BQ14" s="463">
        <f>BL14+BM14+BP14</f>
        <v>5019.3288272263726</v>
      </c>
      <c r="BR14" s="744">
        <f>BQ14/(BI14/(1-$BH$5))*1000</f>
        <v>15057.98648167912</v>
      </c>
      <c r="BS14" s="734">
        <f>N123</f>
        <v>15057.98648167912</v>
      </c>
      <c r="BT14" s="474">
        <f>Q123</f>
        <v>10709.071504802563</v>
      </c>
      <c r="BU14" s="484">
        <f>S123</f>
        <v>2843.1163287086447</v>
      </c>
      <c r="BV14" s="474">
        <f>R123</f>
        <v>1505.7986481679118</v>
      </c>
      <c r="BW14" s="520" t="str">
        <f>LEFT($BW$2,3)&amp;" "&amp;RIGHT(BK14,5)&amp;"_"&amp;RIGHT($BW$2,3)</f>
        <v>Vảy  B6.2_ A0</v>
      </c>
      <c r="BX14" s="520"/>
      <c r="BY14" s="777" t="s">
        <v>872</v>
      </c>
      <c r="BZ14" s="748">
        <f>BS14/BX13</f>
        <v>17833.471285378098</v>
      </c>
      <c r="CA14" s="748">
        <f>Z122</f>
        <v>12682.965242817852</v>
      </c>
      <c r="CB14" s="748">
        <f>AB122</f>
        <v>3367.1589140224382</v>
      </c>
      <c r="CC14" s="484">
        <f>CC6</f>
        <v>1864.9499828812825</v>
      </c>
      <c r="CD14" s="748">
        <f>-AA130</f>
        <v>-855.64166666666654</v>
      </c>
      <c r="CE14" s="482">
        <f>AA122</f>
        <v>1783.3471285378098</v>
      </c>
      <c r="CG14" s="759">
        <f t="shared" si="24"/>
        <v>18842.77960159272</v>
      </c>
      <c r="CH14" s="768" t="str">
        <f>LEFT($CH$2,3)&amp;" "&amp;RIGHT(BK14,5)&amp;"_"&amp;RIGHT($CH$2,3)&amp;" DT"</f>
        <v>Vảy  B6.2_ A1 DT</v>
      </c>
      <c r="CI14" s="768"/>
      <c r="CJ14" s="777" t="s">
        <v>872</v>
      </c>
      <c r="CK14" s="463">
        <f>BZ14/CI13</f>
        <v>19358.957105273665</v>
      </c>
      <c r="CL14" s="482">
        <f>AH122</f>
        <v>13767.87368955477</v>
      </c>
      <c r="CM14" s="484">
        <f>AJ122</f>
        <v>3655.1877051915312</v>
      </c>
      <c r="CN14" s="484">
        <f>+CC14/$CI$13</f>
        <v>2024.4789219293125</v>
      </c>
      <c r="CO14" s="484">
        <f>CO6</f>
        <v>1273.8558498087386</v>
      </c>
      <c r="CP14" s="482">
        <f>CD14</f>
        <v>-855.64166666666654</v>
      </c>
      <c r="CQ14" s="482">
        <f>-AI138</f>
        <v>-239.66666666666666</v>
      </c>
      <c r="CR14" s="482">
        <f>AI122</f>
        <v>1935.8957105273664</v>
      </c>
      <c r="CT14" s="486">
        <f t="shared" si="25"/>
        <v>21561.983543678383</v>
      </c>
      <c r="CU14" s="453">
        <f t="shared" si="26"/>
        <v>813.65975636522205</v>
      </c>
      <c r="CV14" s="494">
        <f t="shared" si="27"/>
        <v>883.65975636522205</v>
      </c>
      <c r="CW14" s="587">
        <f>CV14/$CV$12</f>
        <v>1.1341371367015183</v>
      </c>
      <c r="CX14" s="533"/>
      <c r="CY14" s="387"/>
      <c r="CZ14" s="387"/>
      <c r="DA14" s="772"/>
      <c r="DB14" s="453"/>
      <c r="DC14" s="453"/>
      <c r="DD14" s="456"/>
      <c r="DE14" s="456"/>
      <c r="DF14" s="456"/>
      <c r="DG14" s="456"/>
      <c r="DH14" s="453"/>
      <c r="DI14" s="453"/>
      <c r="DK14" s="730"/>
      <c r="DL14" s="453"/>
      <c r="DM14" s="476"/>
      <c r="DO14" s="533"/>
      <c r="DR14" s="554"/>
      <c r="DS14" s="768"/>
      <c r="DV14" s="342"/>
      <c r="DW14" s="342"/>
      <c r="DX14" s="342"/>
      <c r="DY14" s="342"/>
      <c r="DZ14" s="342"/>
      <c r="EA14" s="342"/>
      <c r="EB14" s="342"/>
      <c r="EC14" s="342"/>
      <c r="ED14" s="342"/>
      <c r="EE14" s="342"/>
      <c r="EG14" s="342"/>
    </row>
    <row r="15" spans="2:179" x14ac:dyDescent="0.35">
      <c r="K15" s="353"/>
      <c r="V15" s="343"/>
      <c r="X15" s="342"/>
      <c r="Y15" s="453">
        <v>2000</v>
      </c>
      <c r="Z15" s="350">
        <v>6.7787447174173249E-3</v>
      </c>
      <c r="AA15" s="927">
        <f>Y15*Z15</f>
        <v>13.55748943483465</v>
      </c>
      <c r="AB15" s="851" t="s">
        <v>568</v>
      </c>
      <c r="AC15" s="842"/>
      <c r="AF15" s="343"/>
      <c r="AG15" s="675">
        <f>$AI$5*AI15</f>
        <v>8083.0187955953334</v>
      </c>
      <c r="AH15" s="364">
        <v>1.1096913040554173E-2</v>
      </c>
      <c r="AI15" s="835" t="s">
        <v>809</v>
      </c>
      <c r="AJ15" s="841" t="s">
        <v>569</v>
      </c>
      <c r="AK15" s="842"/>
      <c r="AL15" s="522">
        <f>AI15/$AI$7</f>
        <v>0.4</v>
      </c>
      <c r="AM15" s="340" t="s">
        <v>704</v>
      </c>
      <c r="AS15" s="353"/>
      <c r="AZ15" s="467">
        <f>$BC$6*BA15*BB15</f>
        <v>0</v>
      </c>
      <c r="BA15" s="665">
        <v>1.4E-2</v>
      </c>
      <c r="BB15" s="449"/>
      <c r="BC15" s="426" t="s">
        <v>570</v>
      </c>
      <c r="BD15" s="427"/>
      <c r="BH15" s="341"/>
      <c r="BI15" s="341"/>
      <c r="BY15" s="772" t="s">
        <v>873</v>
      </c>
      <c r="BZ15" s="484">
        <f t="shared" ref="BZ15" si="111">BZ14</f>
        <v>17833.471285378098</v>
      </c>
      <c r="CA15" s="484">
        <f t="shared" ref="CA15" si="112">CA14</f>
        <v>12682.965242817852</v>
      </c>
      <c r="CB15" s="484">
        <f t="shared" ref="CB15" si="113">CB14</f>
        <v>3367.1589140224382</v>
      </c>
      <c r="CC15" s="484">
        <f>CC7</f>
        <v>3240.9192930660097</v>
      </c>
      <c r="CD15" s="484">
        <f t="shared" ref="CD15" si="114">CD14</f>
        <v>-855.64166666666654</v>
      </c>
      <c r="CE15" s="453">
        <f>CE14</f>
        <v>1783.3471285378098</v>
      </c>
      <c r="CG15" s="484">
        <f t="shared" si="24"/>
        <v>20218.748911777446</v>
      </c>
      <c r="CH15" s="343"/>
      <c r="CI15" s="343"/>
      <c r="CJ15" s="772" t="s">
        <v>873</v>
      </c>
      <c r="CK15" s="484">
        <f>CK14</f>
        <v>19358.957105273665</v>
      </c>
      <c r="CL15" s="453">
        <f t="shared" ref="CL15" si="115">CL14</f>
        <v>13767.87368955477</v>
      </c>
      <c r="CM15" s="456">
        <f>AJ122</f>
        <v>3655.1877051915312</v>
      </c>
      <c r="CN15" s="484">
        <f>+CC15/$CI$13</f>
        <v>3518.1494714133846</v>
      </c>
      <c r="CO15" s="484">
        <f>CO11</f>
        <v>2013.5603276057439</v>
      </c>
      <c r="CP15" s="453">
        <f>CD15</f>
        <v>-855.64166666666654</v>
      </c>
      <c r="CQ15" s="453">
        <f t="shared" ref="CQ15" si="116">CQ14</f>
        <v>-239.66666666666666</v>
      </c>
      <c r="CR15" s="453">
        <f t="shared" ref="CR15" si="117">CR14</f>
        <v>1935.8957105273664</v>
      </c>
      <c r="CT15" s="730">
        <f t="shared" si="25"/>
        <v>23795.358570959463</v>
      </c>
      <c r="CU15" s="453">
        <f t="shared" si="26"/>
        <v>897.93805928148913</v>
      </c>
      <c r="CV15" s="476">
        <f t="shared" si="27"/>
        <v>967.93805928148913</v>
      </c>
      <c r="CX15" s="533"/>
      <c r="CY15" s="791"/>
      <c r="CZ15" s="790" t="s">
        <v>712</v>
      </c>
      <c r="DA15" s="772"/>
      <c r="DB15" s="453"/>
      <c r="DC15" s="453"/>
      <c r="DD15" s="456"/>
      <c r="DE15" s="456"/>
      <c r="DF15" s="456"/>
      <c r="DG15" s="456"/>
      <c r="DH15" s="453"/>
      <c r="DI15" s="453"/>
      <c r="DK15" s="730"/>
      <c r="DL15" s="453"/>
      <c r="DM15" s="476"/>
      <c r="DO15" s="533"/>
      <c r="DS15" s="341">
        <f>BA25</f>
        <v>0.94070114023266149</v>
      </c>
      <c r="DT15" s="777"/>
      <c r="DU15" s="342">
        <f>BD25</f>
        <v>0.75310955749669795</v>
      </c>
      <c r="DV15" s="453">
        <f>0.75*DC12+0.25*DC48+0.5*DV12</f>
        <v>14573.784708954838</v>
      </c>
      <c r="DW15" s="342"/>
      <c r="DX15" s="342"/>
      <c r="DY15" s="342"/>
      <c r="DZ15" s="342"/>
      <c r="EA15" s="342"/>
      <c r="EB15" s="342"/>
      <c r="EC15" s="342"/>
      <c r="ED15" s="342"/>
      <c r="EE15" s="342"/>
      <c r="EG15" s="342"/>
    </row>
    <row r="16" spans="2:179" x14ac:dyDescent="0.35">
      <c r="K16" s="353"/>
      <c r="V16" s="343"/>
      <c r="X16" s="342"/>
      <c r="Y16" s="453"/>
      <c r="Z16" s="341"/>
      <c r="AA16" s="928"/>
      <c r="AB16" s="852"/>
      <c r="AC16" s="844"/>
      <c r="AH16" s="353"/>
      <c r="AI16" s="836"/>
      <c r="AJ16" s="843"/>
      <c r="AK16" s="844"/>
      <c r="AS16" s="353"/>
      <c r="BA16" s="361"/>
      <c r="BB16" s="361"/>
      <c r="BC16" s="428"/>
      <c r="BD16" s="429"/>
      <c r="BH16" s="341"/>
      <c r="BI16" s="341"/>
      <c r="BL16" s="453">
        <f>SUM(BL6:BL15)</f>
        <v>11337.251274753944</v>
      </c>
      <c r="BM16" s="453">
        <f>SUM(BM6:BM15)</f>
        <v>1259.6945860837718</v>
      </c>
      <c r="BN16" s="453"/>
      <c r="BO16" s="453"/>
      <c r="BP16" s="453">
        <f>SUM(BP6:BP15)</f>
        <v>3344.321909956916</v>
      </c>
      <c r="BQ16" s="453">
        <f>SUM(BQ6:BQ15)</f>
        <v>15941.267770794633</v>
      </c>
      <c r="BR16" s="463">
        <f>AVERAGE(BR6,BR8,BR10,BR12,BR14)</f>
        <v>15224.166963121073</v>
      </c>
      <c r="BS16" s="463">
        <f>BL16+BM16+BP16</f>
        <v>15941.267770794631</v>
      </c>
      <c r="BT16" s="463"/>
      <c r="BU16" s="463"/>
      <c r="BV16" s="463"/>
      <c r="BW16" s="463"/>
      <c r="BX16" s="463"/>
      <c r="BY16" s="773"/>
      <c r="CK16" s="387">
        <f>$AK6</f>
        <v>0.8081674874213195</v>
      </c>
      <c r="CL16" s="387"/>
      <c r="CM16" s="387"/>
      <c r="CN16" s="387"/>
      <c r="CY16" s="465"/>
      <c r="CZ16" s="387">
        <f>AH42</f>
        <v>0.94030000000000002</v>
      </c>
      <c r="DC16" s="453"/>
      <c r="DD16" s="456"/>
      <c r="DE16" s="456"/>
      <c r="DF16" s="456"/>
      <c r="DG16" s="456"/>
      <c r="DH16" s="453"/>
      <c r="DI16" s="453"/>
      <c r="DK16" s="730"/>
      <c r="DL16" s="453"/>
      <c r="DM16" s="476"/>
      <c r="DP16" s="472" t="str">
        <f>AT28</f>
        <v xml:space="preserve">Tạo hạt iSS01G </v>
      </c>
      <c r="DQ16" s="490"/>
      <c r="DR16" s="472" t="str">
        <f>BC26</f>
        <v>Hạt nhựa rPET iSS01G 2</v>
      </c>
      <c r="DS16" s="472"/>
      <c r="DT16" s="777" t="s">
        <v>872</v>
      </c>
      <c r="DU16" s="478">
        <f>AZ26</f>
        <v>22537.826072084663</v>
      </c>
      <c r="DV16" s="478">
        <f>0.7*$DC$12+0.25*$DC$48+0.05*$DV$12</f>
        <v>7876.6873235730154</v>
      </c>
      <c r="DW16" s="478">
        <f>0.7*($DD$12+$DE$12+$DF$12)+0.25*($DD$48+$DE$48+$DF$48)+0.05*($DW$12)</f>
        <v>3893.9187443829728</v>
      </c>
      <c r="DX16" s="478">
        <f>0.7*$DG$12+0.25*$DG$48+0.05*$DX$12</f>
        <v>-381.39597931550895</v>
      </c>
      <c r="DY16" s="478">
        <f>0.7*$DH$12+0.25*$DH$48+0.05*$DY$12</f>
        <v>-160.63653242361895</v>
      </c>
      <c r="DZ16" s="478">
        <f>-BB34</f>
        <v>-493.05795916764248</v>
      </c>
      <c r="EA16" s="478">
        <f>0.7*$DI$12+0.25*$DI$48+0.05*$EA$12</f>
        <v>1107.5381389094803</v>
      </c>
      <c r="EB16" s="478">
        <f>EB6</f>
        <v>2000.939404729972</v>
      </c>
      <c r="EC16" s="478">
        <f>EC6</f>
        <v>0</v>
      </c>
      <c r="ED16" s="478"/>
      <c r="EE16" s="478">
        <f>SUM(DV16:EC16)</f>
        <v>13843.99314068867</v>
      </c>
      <c r="EF16" s="478">
        <v>24986.472927073384</v>
      </c>
      <c r="EG16" s="478">
        <f>EE16/$EG$1</f>
        <v>522.41483549768566</v>
      </c>
      <c r="EI16" s="478">
        <f>EI6</f>
        <v>2173</v>
      </c>
      <c r="EJ16" s="478">
        <f>EJ6</f>
        <v>1166</v>
      </c>
      <c r="EK16" s="478">
        <f>EK6</f>
        <v>371</v>
      </c>
      <c r="EL16" s="477">
        <f>SUM(EI16:EK16)</f>
        <v>3710</v>
      </c>
      <c r="EM16" s="477">
        <f t="shared" ref="EM16" si="118">EE16+EL16</f>
        <v>17553.993140688668</v>
      </c>
      <c r="EN16" s="478">
        <f>EG16+$EN$1</f>
        <v>662.41483549768566</v>
      </c>
      <c r="EO16" s="463">
        <f>EO9</f>
        <v>70</v>
      </c>
      <c r="EP16" s="739">
        <f t="shared" ref="EP16" si="119">EN16+EO16</f>
        <v>732.41483549768566</v>
      </c>
      <c r="EQ16" s="471"/>
      <c r="ER16" s="739">
        <f t="shared" ref="ER16" si="120">SUM(DV16,EA16,DX16:DZ16)/$EG$1</f>
        <v>299.96735817266892</v>
      </c>
      <c r="ES16" s="739">
        <f>(SUM(DW16,EB16,EC16,EI16:EK16))/$EG$1</f>
        <v>362.44747732501679</v>
      </c>
      <c r="ET16" s="739">
        <f t="shared" ref="ET16" si="121">EO16</f>
        <v>70</v>
      </c>
      <c r="EU16" s="739">
        <f t="shared" ref="EU16" si="122">SUM(ER16:ET16)</f>
        <v>732.41483549768577</v>
      </c>
      <c r="EW16" s="739">
        <f>SUM(DV16,EA16,DX16:DZ16)</f>
        <v>7949.1349915757264</v>
      </c>
      <c r="EX16" s="739">
        <f>SUM(DW16,EB16,EC16,EI16:EK16)</f>
        <v>9604.8581491129444</v>
      </c>
      <c r="EY16" s="739">
        <f t="shared" ref="EY16" si="123">EO16*$EG$1</f>
        <v>1855</v>
      </c>
      <c r="EZ16" s="739">
        <f t="shared" ref="EZ16" si="124">SUM(EW16:EY16)</f>
        <v>19408.993140688672</v>
      </c>
      <c r="FB16" s="739">
        <f>DV16/$EG$1</f>
        <v>297.23348390841568</v>
      </c>
      <c r="FC16" s="739">
        <f>SUM(DX16:EA16)/$EG$1</f>
        <v>2.7338742642532021</v>
      </c>
      <c r="FD16" s="739">
        <f>SUM(DW16,EB16,EC16)/$EG$1</f>
        <v>222.44747732501676</v>
      </c>
      <c r="FE16" s="739">
        <f>SUM(EI16:EK16)/$EG$1</f>
        <v>140</v>
      </c>
      <c r="FF16" s="739">
        <f t="shared" ref="FF16" si="125">ET16</f>
        <v>70</v>
      </c>
      <c r="FG16" s="739">
        <f t="shared" ref="FG16" si="126">SUM(FB16:FF16)</f>
        <v>732.41483549768566</v>
      </c>
      <c r="FH16" s="735">
        <f t="shared" ref="FH16:FH20" si="127">FG16-EU16</f>
        <v>0</v>
      </c>
      <c r="FI16" s="739">
        <f>DV16</f>
        <v>7876.6873235730154</v>
      </c>
      <c r="FJ16" s="739">
        <f>SUM(DX16:EA16)</f>
        <v>72.447668002709861</v>
      </c>
      <c r="FK16" s="739">
        <f>SUM(DW16,EB16,EC16)</f>
        <v>5894.8581491129444</v>
      </c>
      <c r="FL16" s="739">
        <f>SUM(EI16:EK16)</f>
        <v>3710</v>
      </c>
      <c r="FM16" s="739">
        <f t="shared" ref="FM16" si="128">EY16</f>
        <v>1855</v>
      </c>
      <c r="FN16" s="739">
        <f t="shared" ref="FN16" si="129">SUM(FI16:FM16)</f>
        <v>19408.993140688668</v>
      </c>
      <c r="FO16" s="463">
        <f>FN16-EZ16</f>
        <v>0</v>
      </c>
      <c r="FP16" s="526">
        <f>(FF16+FE16)/FG16</f>
        <v>0.28672275576900652</v>
      </c>
      <c r="FQ16" s="526">
        <f>FF16/FG16</f>
        <v>9.5574251923002174E-2</v>
      </c>
      <c r="FS16" s="739">
        <f>FS15</f>
        <v>0</v>
      </c>
      <c r="FT16" s="474">
        <f t="shared" ref="FT16" si="130">FS16-SUM(FB16:FD16)</f>
        <v>-522.41483549768566</v>
      </c>
      <c r="FU16" s="948" t="e">
        <f t="shared" ref="FU16" si="131">FT16/FS16</f>
        <v>#DIV/0!</v>
      </c>
      <c r="FV16" s="944">
        <f t="shared" ref="FV16" si="132">FS16-FG16</f>
        <v>-732.41483549768566</v>
      </c>
      <c r="FW16" s="296" t="e">
        <f t="shared" ref="FW16" si="133">FV16/FS16</f>
        <v>#DIV/0!</v>
      </c>
    </row>
    <row r="17" spans="11:179" ht="30.5" x14ac:dyDescent="0.35">
      <c r="K17" s="353"/>
      <c r="V17" s="343"/>
      <c r="X17" s="342"/>
      <c r="Y17" s="453">
        <v>4166.6666666666661</v>
      </c>
      <c r="Z17" s="350">
        <v>5.1852927008328017E-4</v>
      </c>
      <c r="AA17" s="927">
        <f>Y17*Z17</f>
        <v>2.1605386253470003</v>
      </c>
      <c r="AB17" s="851" t="s">
        <v>571</v>
      </c>
      <c r="AC17" s="842"/>
      <c r="AH17" s="353"/>
      <c r="AI17" s="409"/>
      <c r="AS17" s="353"/>
      <c r="BA17" s="391">
        <f>SUM(BA18:BA23)</f>
        <v>4.0976414213182349E-2</v>
      </c>
      <c r="BB17" s="684">
        <f>SUM(BB18:BB22)</f>
        <v>321.81131370545882</v>
      </c>
      <c r="BH17" s="341"/>
      <c r="BI17" s="341"/>
      <c r="BM17" s="453"/>
      <c r="BN17" s="453"/>
      <c r="BO17" s="453"/>
      <c r="BR17" s="463">
        <f>BR16-BQ16</f>
        <v>-717.10080767355976</v>
      </c>
      <c r="CK17" s="482">
        <f>BS6/CK16</f>
        <v>20520.664365184897</v>
      </c>
      <c r="CL17" s="482"/>
      <c r="CM17" s="482"/>
      <c r="CN17" s="482"/>
      <c r="CY17" s="765" t="str">
        <f>LEFT($CH$2,3)&amp;" "&amp;RIGHT(BK8,5)&amp;"_"&amp;RIGHT($CH$2,3)&amp;" DT"</f>
        <v>Vảy B2.2 _ A1 DT</v>
      </c>
      <c r="CZ17" s="765"/>
      <c r="DA17" s="777" t="s">
        <v>872</v>
      </c>
      <c r="DB17" s="482">
        <f>BZ8/CZ16</f>
        <v>17611.375449633004</v>
      </c>
      <c r="DC17" s="482">
        <f>CL8</f>
        <v>12525.013169424312</v>
      </c>
      <c r="DD17" s="484">
        <f t="shared" ref="DD17:DF17" si="134">CM8</f>
        <v>3325.2247352453924</v>
      </c>
      <c r="DE17" s="484">
        <f t="shared" si="134"/>
        <v>1983.3563574192092</v>
      </c>
      <c r="DF17" s="476">
        <f t="shared" si="134"/>
        <v>1273.8558498087386</v>
      </c>
      <c r="DG17" s="476">
        <f t="shared" ref="DG17" si="135">CP8</f>
        <v>-707.44547994627874</v>
      </c>
      <c r="DH17" s="482">
        <f t="shared" ref="DH17" si="136">CQ8</f>
        <v>-45.990237210778169</v>
      </c>
      <c r="DI17" s="482">
        <f t="shared" ref="DI17" si="137">CR8</f>
        <v>1761.1375449633003</v>
      </c>
      <c r="DK17" s="731">
        <f>SUM(DC17:DI17)</f>
        <v>20115.151939703897</v>
      </c>
      <c r="DL17" s="453">
        <f>DK17/$CU$2</f>
        <v>759.06233734731688</v>
      </c>
      <c r="DM17" s="494">
        <f>$CV$2+DL17</f>
        <v>829.06233734731688</v>
      </c>
      <c r="DN17" s="587">
        <f>DM17/$DM$21</f>
        <v>1.5778517736789088</v>
      </c>
      <c r="DQ17" s="490" t="str">
        <f>AX28</f>
        <v>70% B1-A3 DT/MN + 25% B6.2-A3.1/Nạp Star + 5% Hạt WSS03G PL</v>
      </c>
      <c r="DT17" s="772" t="s">
        <v>873</v>
      </c>
      <c r="DU17" s="482">
        <f>DU16</f>
        <v>22537.826072084663</v>
      </c>
      <c r="DV17" s="482">
        <f t="shared" ref="DV17" si="138">DV16</f>
        <v>7876.6873235730154</v>
      </c>
      <c r="DW17" s="478">
        <f>0.7*($DD$12+$DE$12+$DF$12)+0.25*($DD$48+$DE$48+$DF$48)+0.05*($DW$12)</f>
        <v>3893.9187443829728</v>
      </c>
      <c r="DX17" s="478">
        <f>0.7*$DG$12+0.25*$DG$48+0.05*$DX$12</f>
        <v>-381.39597931550895</v>
      </c>
      <c r="DY17" s="478">
        <f>0.7*$DH$12+0.25*$DH$48+0.05*$DY$12</f>
        <v>-160.63653242361895</v>
      </c>
      <c r="DZ17" s="478">
        <f>-BB35</f>
        <v>-420.99009998208032</v>
      </c>
      <c r="EA17" s="478">
        <f>0.7*$DI$12+0.25*$DI$48+0.05*$EA$12</f>
        <v>1107.5381389094803</v>
      </c>
      <c r="EB17" s="478">
        <f>EB7</f>
        <v>2796.8565141477497</v>
      </c>
      <c r="EC17" s="478">
        <f>EC7</f>
        <v>0</v>
      </c>
      <c r="ED17" s="478"/>
      <c r="EE17" s="478">
        <f>SUM(DV17:EC17)</f>
        <v>14711.978109292011</v>
      </c>
      <c r="EF17" s="478">
        <v>24986.472927073384</v>
      </c>
    </row>
    <row r="18" spans="11:179" ht="20.5" customHeight="1" x14ac:dyDescent="0.35">
      <c r="K18" s="353"/>
      <c r="V18" s="343"/>
      <c r="X18" s="342"/>
      <c r="Y18" s="453"/>
      <c r="Z18" s="341"/>
      <c r="AA18" s="928"/>
      <c r="AB18" s="852"/>
      <c r="AC18" s="844"/>
      <c r="AH18" s="360"/>
      <c r="AS18" s="353"/>
      <c r="AZ18" s="453">
        <v>14000</v>
      </c>
      <c r="BA18" s="362">
        <v>4.0000000000000001E-3</v>
      </c>
      <c r="BB18" s="683">
        <f>AZ18*BA18</f>
        <v>56</v>
      </c>
      <c r="BC18" s="431" t="s">
        <v>573</v>
      </c>
      <c r="BD18" s="430"/>
      <c r="BH18" s="341"/>
      <c r="BI18" s="341"/>
      <c r="CK18" s="387">
        <f>$AK42</f>
        <v>0.85501479000000002</v>
      </c>
      <c r="CL18" s="387"/>
      <c r="CM18" s="387"/>
      <c r="CN18" s="387"/>
      <c r="CY18" s="465"/>
      <c r="CZ18" s="387">
        <v>1</v>
      </c>
      <c r="DA18" s="772" t="s">
        <v>873</v>
      </c>
      <c r="DB18" s="453">
        <f>DB17</f>
        <v>17611.375449633004</v>
      </c>
      <c r="DC18" s="453">
        <f>DC17</f>
        <v>12525.013169424312</v>
      </c>
      <c r="DD18" s="484">
        <f t="shared" ref="DD18" si="139">CM9</f>
        <v>3325.2247352453924</v>
      </c>
      <c r="DE18" s="484">
        <f t="shared" ref="DE18" si="140">CN9</f>
        <v>3446.6864756630966</v>
      </c>
      <c r="DF18" s="456">
        <f t="shared" ref="DF18" si="141">CO9</f>
        <v>2013.5603276057439</v>
      </c>
      <c r="DG18" s="456">
        <f>CP9</f>
        <v>-707.44547994627874</v>
      </c>
      <c r="DH18" s="453">
        <f t="shared" ref="DH18:DI18" si="142">DH17</f>
        <v>-45.990237210778169</v>
      </c>
      <c r="DI18" s="453">
        <f t="shared" si="142"/>
        <v>1761.1375449633003</v>
      </c>
      <c r="DK18" s="730">
        <f t="shared" ref="DK18:DK22" si="143">SUM(DC18:DI18)</f>
        <v>22318.186535744786</v>
      </c>
      <c r="DL18" s="453">
        <f t="shared" si="30"/>
        <v>842.19571832999191</v>
      </c>
      <c r="DM18" s="476">
        <f t="shared" si="48"/>
        <v>912.19571832999191</v>
      </c>
      <c r="DR18" s="473" t="str">
        <f>BC30</f>
        <v>Hạt nhựa rPET WSS01G 2</v>
      </c>
      <c r="DS18" s="473"/>
      <c r="DT18" s="777" t="s">
        <v>872</v>
      </c>
      <c r="DU18" s="479">
        <f>AZ30</f>
        <v>21969.645582872447</v>
      </c>
      <c r="DV18" s="479">
        <f>DV6</f>
        <v>15154.794283157262</v>
      </c>
      <c r="DW18" s="479">
        <f>DW6</f>
        <v>7434.3302951022997</v>
      </c>
      <c r="DX18" s="479"/>
      <c r="DY18" s="479"/>
      <c r="DZ18" s="479">
        <f>-BB93</f>
        <v>-616.83673469387759</v>
      </c>
      <c r="EA18" s="479">
        <f>EA6</f>
        <v>2130.9101106110998</v>
      </c>
      <c r="EB18" s="479">
        <f>EB6</f>
        <v>2000.939404729972</v>
      </c>
      <c r="EC18" s="479">
        <f>EC6</f>
        <v>0</v>
      </c>
      <c r="ED18" s="479"/>
      <c r="EE18" s="479">
        <f t="shared" ref="EE18:EE20" si="144">SUM(DV18:EC18)</f>
        <v>26104.137358906755</v>
      </c>
      <c r="EF18" s="479">
        <v>24986.472927073384</v>
      </c>
      <c r="EG18" s="479">
        <f>EE18/$EG$1</f>
        <v>985.06178712855683</v>
      </c>
      <c r="EI18" s="479">
        <f>EI6</f>
        <v>2173</v>
      </c>
      <c r="EJ18" s="479">
        <f>EJ6</f>
        <v>1166</v>
      </c>
      <c r="EK18" s="479">
        <f>EK6</f>
        <v>371</v>
      </c>
      <c r="EL18" s="480">
        <f>SUM(EI18:EK18)</f>
        <v>3710</v>
      </c>
      <c r="EM18" s="480">
        <f t="shared" ref="EM18" si="145">EE18+EL18</f>
        <v>29814.137358906755</v>
      </c>
      <c r="EN18" s="479">
        <f>EG18+$EN$1</f>
        <v>1125.0617871285567</v>
      </c>
      <c r="EO18" s="479">
        <f>EO11</f>
        <v>50</v>
      </c>
      <c r="EP18" s="739">
        <f t="shared" ref="EP18" si="146">EN18+EO18</f>
        <v>1175.0617871285567</v>
      </c>
      <c r="EQ18" s="471"/>
      <c r="ER18" s="739">
        <f t="shared" ref="ER18" si="147">SUM(DV18,EA18,DX18:DZ18)/$EG$1</f>
        <v>629.01387392733909</v>
      </c>
      <c r="ES18" s="739">
        <f>(SUM(DW18,EB18,EC18,EI18:EK18))/$EG$1</f>
        <v>496.0479132012178</v>
      </c>
      <c r="ET18" s="739">
        <f t="shared" ref="ET18" si="148">EO18</f>
        <v>50</v>
      </c>
      <c r="EU18" s="739">
        <f t="shared" ref="EU18" si="149">SUM(ER18:ET18)</f>
        <v>1175.0617871285569</v>
      </c>
      <c r="EW18" s="739">
        <f>SUM(DV18,EA18,DX18:DZ18)</f>
        <v>16668.867659074487</v>
      </c>
      <c r="EX18" s="739">
        <f>SUM(DW18,EB18,EC18,EI18:EK18)</f>
        <v>13145.269699832272</v>
      </c>
      <c r="EY18" s="739">
        <f t="shared" ref="EY18" si="150">EO18*$EG$1</f>
        <v>1325</v>
      </c>
      <c r="EZ18" s="739">
        <f t="shared" ref="EZ18" si="151">SUM(EW18:EY18)</f>
        <v>31139.137358906759</v>
      </c>
      <c r="FB18" s="739">
        <f>DV18/$EG$1</f>
        <v>571.87902955310426</v>
      </c>
      <c r="FC18" s="739">
        <f>SUM(DX18:EA18)/$EG$1</f>
        <v>57.134844374234795</v>
      </c>
      <c r="FD18" s="739">
        <f>(SUM(EL18,EP18,EQ18,EV18:EX18))/$EG$1</f>
        <v>1309.4037413598232</v>
      </c>
      <c r="FE18" s="739">
        <f>SUM(EI18:EK18)/$EG$1</f>
        <v>140</v>
      </c>
      <c r="FF18" s="739">
        <f t="shared" ref="FF18" si="152">ET18</f>
        <v>50</v>
      </c>
      <c r="FG18" s="739">
        <f t="shared" ref="FG18" si="153">SUM(FB18:FD18)</f>
        <v>1938.4176152871623</v>
      </c>
      <c r="FH18" s="735">
        <f t="shared" si="127"/>
        <v>763.35582815860539</v>
      </c>
      <c r="FI18" s="739">
        <f>DV18</f>
        <v>15154.794283157262</v>
      </c>
      <c r="FJ18" s="739">
        <f>SUM(DX18:EA18)</f>
        <v>1514.0733759172222</v>
      </c>
      <c r="FK18" s="739">
        <f>SUM(DW18,EB18,EC18)</f>
        <v>9435.2696998322717</v>
      </c>
      <c r="FL18" s="739">
        <f>SUM(EI18:EK18)</f>
        <v>3710</v>
      </c>
      <c r="FM18" s="739">
        <f t="shared" ref="FM18" si="154">EY18</f>
        <v>1325</v>
      </c>
      <c r="FN18" s="739">
        <f t="shared" ref="FN18" si="155">SUM(FI18:FM18)</f>
        <v>31139.137358906755</v>
      </c>
      <c r="FP18" s="526">
        <f>(FF18+FE18)/FG18</f>
        <v>9.8018093986343022E-2</v>
      </c>
      <c r="FQ18" s="526">
        <f>FF18/FG18</f>
        <v>2.5794235259563956E-2</v>
      </c>
      <c r="FS18" s="739">
        <f>FS17</f>
        <v>0</v>
      </c>
      <c r="FT18" s="474">
        <f t="shared" ref="FT18" si="156">FS18-SUM(FB18:FD18)</f>
        <v>-1938.4176152871623</v>
      </c>
      <c r="FU18" s="948" t="e">
        <f t="shared" ref="FU18" si="157">FT18/FS18</f>
        <v>#DIV/0!</v>
      </c>
      <c r="FV18" s="944">
        <f t="shared" ref="FV18" si="158">FS18-FG18</f>
        <v>-1938.4176152871623</v>
      </c>
      <c r="FW18" s="296" t="e">
        <f t="shared" ref="FW18" si="159">FV18/FS18</f>
        <v>#DIV/0!</v>
      </c>
    </row>
    <row r="19" spans="11:179" ht="30.5" customHeight="1" x14ac:dyDescent="0.35">
      <c r="K19" s="353"/>
      <c r="V19" s="343"/>
      <c r="X19" s="342"/>
      <c r="Y19" s="453">
        <v>7000</v>
      </c>
      <c r="Z19" s="350">
        <v>2.6484960547600567E-2</v>
      </c>
      <c r="AA19" s="927">
        <f>Y19*Z19</f>
        <v>185.39472383320398</v>
      </c>
      <c r="AB19" s="851" t="s">
        <v>572</v>
      </c>
      <c r="AC19" s="842"/>
      <c r="AH19" s="353"/>
      <c r="AS19" s="353"/>
      <c r="AZ19" s="453"/>
      <c r="BA19" s="343"/>
      <c r="BB19" s="343"/>
      <c r="BC19" s="430"/>
      <c r="BD19" s="430"/>
      <c r="BH19" s="341"/>
      <c r="BI19" s="341"/>
      <c r="BR19" s="463"/>
      <c r="CK19" s="482">
        <f>BS8/CK18</f>
        <v>17611.375449633004</v>
      </c>
      <c r="CL19" s="482"/>
      <c r="CM19" s="482"/>
      <c r="CN19" s="482"/>
      <c r="CY19" s="465" t="str">
        <f>LEFT($CH$2,3)&amp;" "&amp;RIGHT($BK$8,5)&amp;"_"&amp;"A"&amp;"2"&amp;" DT"</f>
        <v>Vảy B2.2 _A2 DT</v>
      </c>
      <c r="CZ19" s="765"/>
      <c r="DA19" s="777" t="s">
        <v>872</v>
      </c>
      <c r="DB19" s="476">
        <f t="shared" ref="DB19:DI20" si="160">DB17*$CZ$20</f>
        <v>14089.100359706405</v>
      </c>
      <c r="DC19" s="482">
        <f t="shared" si="160"/>
        <v>10020.01053553945</v>
      </c>
      <c r="DD19" s="484">
        <f>DD17*$CZ$20</f>
        <v>2660.1797881963139</v>
      </c>
      <c r="DE19" s="484">
        <f t="shared" ref="DE19" si="161">DE17*$CZ$20</f>
        <v>1586.6850859353674</v>
      </c>
      <c r="DF19" s="476">
        <f>DF17*$CZ$20</f>
        <v>1019.084679846991</v>
      </c>
      <c r="DG19" s="476">
        <f>DG17*$CZ$20</f>
        <v>-565.95638395702304</v>
      </c>
      <c r="DH19" s="482">
        <f t="shared" si="160"/>
        <v>-36.792189768622535</v>
      </c>
      <c r="DI19" s="482">
        <f t="shared" si="160"/>
        <v>1408.9100359706404</v>
      </c>
      <c r="DK19" s="731">
        <f t="shared" si="143"/>
        <v>16092.121551763115</v>
      </c>
      <c r="DL19" s="453">
        <f t="shared" si="30"/>
        <v>607.24986987785337</v>
      </c>
      <c r="DM19" s="494">
        <f t="shared" si="48"/>
        <v>677.24986987785337</v>
      </c>
      <c r="DN19" s="587">
        <f>DM19/$DM$21</f>
        <v>1.2889258868394542</v>
      </c>
      <c r="DQ19" s="491" t="str">
        <f>AX49</f>
        <v>85.5% B1-A1/A2 MN + 9.5% B2.2-A1/A2 + 5% Hạt WSS03G PL</v>
      </c>
      <c r="DT19" s="772" t="s">
        <v>873</v>
      </c>
      <c r="DU19" s="463">
        <f>DU16-DU20</f>
        <v>1136.3609784244363</v>
      </c>
    </row>
    <row r="20" spans="11:179" x14ac:dyDescent="0.35">
      <c r="K20" s="353"/>
      <c r="V20" s="343"/>
      <c r="X20" s="342"/>
      <c r="Y20" s="453"/>
      <c r="Z20" s="341"/>
      <c r="AA20" s="928"/>
      <c r="AB20" s="852"/>
      <c r="AC20" s="844"/>
      <c r="AH20" s="390">
        <f>SUM(AH21:AH34)</f>
        <v>4.5253487120855473E-2</v>
      </c>
      <c r="AI20" s="564">
        <f>SUM(AI21:AI34)</f>
        <v>313.11737619656105</v>
      </c>
      <c r="AS20" s="353"/>
      <c r="AZ20" s="453">
        <v>6500</v>
      </c>
      <c r="BA20" s="350">
        <v>0.02</v>
      </c>
      <c r="BB20" s="683">
        <f>AZ20*BA20</f>
        <v>130</v>
      </c>
      <c r="BC20" s="431" t="s">
        <v>576</v>
      </c>
      <c r="BD20" s="432"/>
      <c r="BH20" s="341"/>
      <c r="BI20" s="341"/>
      <c r="CK20" s="387">
        <f>$AK70</f>
        <v>0.773478</v>
      </c>
      <c r="CL20" s="387"/>
      <c r="CM20" s="387"/>
      <c r="CN20" s="387"/>
      <c r="CY20" s="465"/>
      <c r="CZ20" s="387">
        <v>0.8</v>
      </c>
      <c r="DA20" s="772" t="s">
        <v>873</v>
      </c>
      <c r="DB20" s="453">
        <f t="shared" si="160"/>
        <v>14089.100359706405</v>
      </c>
      <c r="DC20" s="453">
        <f t="shared" si="160"/>
        <v>10020.01053553945</v>
      </c>
      <c r="DD20" s="456">
        <f t="shared" si="160"/>
        <v>2660.1797881963139</v>
      </c>
      <c r="DE20" s="456">
        <f t="shared" ref="DE20" si="162">DE18*$CZ$20</f>
        <v>2757.3491805304775</v>
      </c>
      <c r="DF20" s="456">
        <f>DF18*$CZ$20</f>
        <v>1610.8482620845953</v>
      </c>
      <c r="DG20" s="456">
        <f>DG18*$CZ$20</f>
        <v>-565.95638395702304</v>
      </c>
      <c r="DH20" s="453">
        <f t="shared" si="160"/>
        <v>-36.792189768622535</v>
      </c>
      <c r="DI20" s="453">
        <f t="shared" si="160"/>
        <v>1408.9100359706404</v>
      </c>
      <c r="DK20" s="730">
        <f t="shared" si="143"/>
        <v>17854.549228595835</v>
      </c>
      <c r="DL20" s="453">
        <f t="shared" si="30"/>
        <v>673.75657466399377</v>
      </c>
      <c r="DM20" s="476">
        <f t="shared" si="48"/>
        <v>743.75657466399377</v>
      </c>
      <c r="DR20" s="471" t="str">
        <f>BC32</f>
        <v>Hạt nhựa rPET WSS03G</v>
      </c>
      <c r="DS20" s="471"/>
      <c r="DT20" s="777" t="s">
        <v>872</v>
      </c>
      <c r="DU20" s="474">
        <f>AZ32</f>
        <v>21401.465093660227</v>
      </c>
      <c r="DV20" s="474">
        <f>DV6</f>
        <v>15154.794283157262</v>
      </c>
      <c r="DW20" s="474">
        <f>DW6</f>
        <v>7434.3302951022997</v>
      </c>
      <c r="DX20" s="474"/>
      <c r="DY20" s="474"/>
      <c r="DZ20" s="474">
        <f>-BB215</f>
        <v>-127.5808797526078</v>
      </c>
      <c r="EA20" s="474">
        <f>EA6</f>
        <v>2130.9101106110998</v>
      </c>
      <c r="EB20" s="474">
        <f>EB6</f>
        <v>2000.939404729972</v>
      </c>
      <c r="EC20" s="474">
        <f>EC6</f>
        <v>0</v>
      </c>
      <c r="ED20" s="474"/>
      <c r="EE20" s="474">
        <f t="shared" si="144"/>
        <v>26593.393213848027</v>
      </c>
      <c r="EF20" s="474">
        <v>24986.472927073384</v>
      </c>
      <c r="EG20" s="474">
        <f>EE20/$EG$1</f>
        <v>1003.5242722206802</v>
      </c>
      <c r="EI20" s="474">
        <f>EI6</f>
        <v>2173</v>
      </c>
      <c r="EJ20" s="474">
        <f>EJ6</f>
        <v>1166</v>
      </c>
      <c r="EK20" s="474">
        <f>EK6</f>
        <v>371</v>
      </c>
      <c r="EL20" s="475">
        <f>SUM(EI20:EK20)</f>
        <v>3710</v>
      </c>
      <c r="EM20" s="475">
        <f t="shared" ref="EM20" si="163">EE20+EL20</f>
        <v>30303.393213848027</v>
      </c>
      <c r="EN20" s="474">
        <f>EG20+$EN$1</f>
        <v>1143.5242722206804</v>
      </c>
      <c r="EO20" s="463">
        <f>EO12</f>
        <v>50</v>
      </c>
      <c r="EP20" s="739">
        <f t="shared" ref="EP20" si="164">EN20+EO20</f>
        <v>1193.5242722206804</v>
      </c>
      <c r="EQ20" s="471"/>
      <c r="ER20" s="739">
        <f t="shared" ref="ER20" si="165">SUM(DV20,EA20,DX20:DZ20)/$EG$1</f>
        <v>647.47635901946251</v>
      </c>
      <c r="ES20" s="739">
        <f>(SUM(DW20,EB20,EC20,EI20:EK20))/$EG$1</f>
        <v>496.0479132012178</v>
      </c>
      <c r="ET20" s="739">
        <f t="shared" ref="ET20" si="166">EO20</f>
        <v>50</v>
      </c>
      <c r="EU20" s="739">
        <f t="shared" ref="EU20" si="167">SUM(ER20:ET20)</f>
        <v>1193.5242722206804</v>
      </c>
      <c r="EW20" s="739">
        <f>SUM(DV20,EA20,DX20:DZ20)</f>
        <v>17158.123514015755</v>
      </c>
      <c r="EX20" s="739">
        <f>SUM(DW20,EB20,EC20,EI20:EK20)</f>
        <v>13145.269699832272</v>
      </c>
      <c r="EY20" s="739">
        <f t="shared" ref="EY20" si="168">EO20*$EG$1</f>
        <v>1325</v>
      </c>
      <c r="EZ20" s="739">
        <f t="shared" ref="EZ20" si="169">SUM(EW20:EX20)</f>
        <v>30303.393213848027</v>
      </c>
      <c r="FB20" s="739">
        <f>DV20/$EG$1</f>
        <v>571.87902955310426</v>
      </c>
      <c r="FC20" s="739">
        <f>SUM(DX20:EA20)/$EG$1</f>
        <v>75.59732946635819</v>
      </c>
      <c r="FD20" s="739">
        <f>(SUM(EL20,EP20,EQ20,EV20:EX20))/$EG$1</f>
        <v>1328.5629240025926</v>
      </c>
      <c r="FE20" s="739">
        <f>SUM(EI20:EK20)/$EG$1</f>
        <v>140</v>
      </c>
      <c r="FF20" s="739">
        <f t="shared" ref="FF20" si="170">ET20</f>
        <v>50</v>
      </c>
      <c r="FG20" s="739">
        <f t="shared" ref="FG20" si="171">SUM(FB20:FD20)</f>
        <v>1976.0392830220551</v>
      </c>
      <c r="FH20" s="735">
        <f t="shared" si="127"/>
        <v>782.51501080137473</v>
      </c>
      <c r="FI20" s="739">
        <f>DV20</f>
        <v>15154.794283157262</v>
      </c>
      <c r="FJ20" s="739">
        <f>SUM(DX20:EA20)</f>
        <v>2003.3292308584919</v>
      </c>
      <c r="FK20" s="739">
        <f>SUM(DW20,EB20,EC20)</f>
        <v>9435.2696998322717</v>
      </c>
      <c r="FL20" s="739">
        <f>SUM(EI20:EK20)</f>
        <v>3710</v>
      </c>
      <c r="FM20" s="739">
        <f t="shared" ref="FM20" si="172">EY20</f>
        <v>1325</v>
      </c>
      <c r="FN20" s="739">
        <f t="shared" ref="FN20" si="173">SUM(FI20:FM20)</f>
        <v>31628.393213848027</v>
      </c>
      <c r="FP20" s="526">
        <f>(FF20+FE20)/FG20</f>
        <v>9.6151934646472995E-2</v>
      </c>
      <c r="FQ20" s="526">
        <f>FF20/FG20</f>
        <v>2.5303140696440261E-2</v>
      </c>
      <c r="FS20" s="739">
        <f>FS19</f>
        <v>0</v>
      </c>
      <c r="FT20" s="474">
        <f t="shared" ref="FT20" si="174">FS20-SUM(FB20:FD20)</f>
        <v>-1976.0392830220551</v>
      </c>
      <c r="FU20" s="948" t="e">
        <f t="shared" ref="FU20" si="175">FT20/FS20</f>
        <v>#DIV/0!</v>
      </c>
      <c r="FV20" s="944">
        <f t="shared" ref="FV20" si="176">FS20-FG20</f>
        <v>-1976.0392830220551</v>
      </c>
      <c r="FW20" s="296" t="e">
        <f t="shared" ref="FW20" si="177">FV20/FS20</f>
        <v>#DIV/0!</v>
      </c>
    </row>
    <row r="21" spans="11:179" ht="15" customHeight="1" x14ac:dyDescent="0.35">
      <c r="K21" s="353"/>
      <c r="V21" s="343"/>
      <c r="Y21" s="453">
        <v>-300</v>
      </c>
      <c r="Z21" s="350">
        <v>1.0507317257874176E-3</v>
      </c>
      <c r="AA21" s="927">
        <f>Y21*Z21</f>
        <v>-0.31521951773622531</v>
      </c>
      <c r="AB21" s="841" t="s">
        <v>574</v>
      </c>
      <c r="AC21" s="842"/>
      <c r="AG21" s="463">
        <f>AG75</f>
        <v>8000</v>
      </c>
      <c r="AH21" s="362">
        <v>2.2100000000000002E-2</v>
      </c>
      <c r="AI21" s="927">
        <f>AG21*AH21</f>
        <v>176.8</v>
      </c>
      <c r="AJ21" s="841" t="s">
        <v>575</v>
      </c>
      <c r="AK21" s="842"/>
      <c r="AS21" s="353"/>
      <c r="BA21" s="343"/>
      <c r="BB21" s="343"/>
      <c r="BC21" s="424"/>
      <c r="BD21" s="425"/>
      <c r="BH21" s="341"/>
      <c r="BI21" s="341"/>
      <c r="CK21" s="482">
        <f>BS10/CK20</f>
        <v>17494.795201842277</v>
      </c>
      <c r="CL21" s="482"/>
      <c r="CM21" s="482"/>
      <c r="CN21" s="482"/>
      <c r="CY21" s="465" t="str">
        <f>LEFT($CH$2,3)&amp;" "&amp;RIGHT($BK$8,5)&amp;"_"&amp;"A"&amp;"3"&amp;" DT"</f>
        <v>Vảy B2.2 _A3 DT</v>
      </c>
      <c r="CZ21" s="765"/>
      <c r="DA21" s="777" t="s">
        <v>872</v>
      </c>
      <c r="DB21" s="476">
        <f>DB17*$CZ$22</f>
        <v>10566.825269779802</v>
      </c>
      <c r="DC21" s="476">
        <f t="shared" ref="DC21:DI21" si="178">DC17*$CZ$22</f>
        <v>7515.0079016545869</v>
      </c>
      <c r="DD21" s="456">
        <f t="shared" si="178"/>
        <v>1995.1348411472354</v>
      </c>
      <c r="DE21" s="456">
        <f t="shared" ref="DE21" si="179">DE17*$CZ$22</f>
        <v>1190.0138144515254</v>
      </c>
      <c r="DF21" s="476">
        <f t="shared" ref="DF21" si="180">DF17*$CZ$22</f>
        <v>764.31350988524321</v>
      </c>
      <c r="DG21" s="476">
        <f>DG17*$CZ$22</f>
        <v>-424.46728796776722</v>
      </c>
      <c r="DH21" s="476">
        <f t="shared" si="178"/>
        <v>-27.594142326466901</v>
      </c>
      <c r="DI21" s="476">
        <f t="shared" si="178"/>
        <v>1056.6825269779802</v>
      </c>
      <c r="DK21" s="731">
        <f t="shared" si="143"/>
        <v>12069.091163822337</v>
      </c>
      <c r="DL21" s="453">
        <f t="shared" si="30"/>
        <v>455.43740240839008</v>
      </c>
      <c r="DM21" s="494">
        <f t="shared" si="48"/>
        <v>525.43740240839008</v>
      </c>
      <c r="DN21" s="587">
        <f>DM21/$DM$21</f>
        <v>1</v>
      </c>
      <c r="DQ21" s="489"/>
      <c r="DT21" s="772" t="s">
        <v>873</v>
      </c>
    </row>
    <row r="22" spans="11:179" x14ac:dyDescent="0.35">
      <c r="K22" s="353"/>
      <c r="V22" s="343"/>
      <c r="W22" s="343"/>
      <c r="Z22" s="341"/>
      <c r="AA22" s="928"/>
      <c r="AB22" s="843"/>
      <c r="AC22" s="844"/>
      <c r="AI22" s="928"/>
      <c r="AJ22" s="843"/>
      <c r="AK22" s="844"/>
      <c r="AS22" s="353"/>
      <c r="AZ22" s="453">
        <v>8000</v>
      </c>
      <c r="BA22" s="350">
        <v>1.6976414213182352E-2</v>
      </c>
      <c r="BB22" s="683">
        <f>AZ22*BA22</f>
        <v>135.81131370545882</v>
      </c>
      <c r="BC22" s="422" t="s">
        <v>579</v>
      </c>
      <c r="BD22" s="423"/>
      <c r="CK22" s="387">
        <f>$AK95</f>
        <v>0.82060440000000012</v>
      </c>
      <c r="CL22" s="387"/>
      <c r="CM22" s="387"/>
      <c r="CN22" s="387"/>
      <c r="CY22" s="465"/>
      <c r="CZ22" s="387">
        <v>0.6</v>
      </c>
      <c r="DA22" s="772" t="s">
        <v>873</v>
      </c>
      <c r="DB22" s="453">
        <f>DB18*$CZ$22</f>
        <v>10566.825269779802</v>
      </c>
      <c r="DC22" s="453">
        <f t="shared" ref="DC22:DI22" si="181">DC18*$CZ$22</f>
        <v>7515.0079016545869</v>
      </c>
      <c r="DD22" s="456">
        <f t="shared" si="181"/>
        <v>1995.1348411472354</v>
      </c>
      <c r="DE22" s="456">
        <f t="shared" ref="DE22" si="182">DE18*$CZ$22</f>
        <v>2068.0118853978579</v>
      </c>
      <c r="DF22" s="456">
        <f t="shared" ref="DF22" si="183">DF18*$CZ$22</f>
        <v>1208.1361965634462</v>
      </c>
      <c r="DG22" s="456">
        <f>DG18*$CZ$22</f>
        <v>-424.46728796776722</v>
      </c>
      <c r="DH22" s="453">
        <f t="shared" si="181"/>
        <v>-27.594142326466901</v>
      </c>
      <c r="DI22" s="453">
        <f t="shared" si="181"/>
        <v>1056.6825269779802</v>
      </c>
      <c r="DK22" s="730">
        <f t="shared" si="143"/>
        <v>13390.911921446872</v>
      </c>
      <c r="DL22" s="453">
        <f t="shared" si="30"/>
        <v>505.31743099799519</v>
      </c>
      <c r="DM22" s="476">
        <f t="shared" si="48"/>
        <v>575.31743099799519</v>
      </c>
      <c r="DU22" s="453">
        <f>BS6/DU23</f>
        <v>23438.521069791601</v>
      </c>
      <c r="DV22" s="453"/>
      <c r="DW22" s="453"/>
      <c r="DX22" s="453"/>
      <c r="DY22" s="453"/>
      <c r="DZ22" s="453"/>
      <c r="EA22" s="453"/>
      <c r="EB22" s="453"/>
      <c r="EC22" s="453"/>
      <c r="ED22" s="453"/>
      <c r="EE22" s="453"/>
      <c r="EG22" s="453"/>
    </row>
    <row r="23" spans="11:179" ht="15" customHeight="1" x14ac:dyDescent="0.35">
      <c r="K23" s="353"/>
      <c r="V23" s="343"/>
      <c r="Y23" s="453">
        <v>2500</v>
      </c>
      <c r="Z23" s="350">
        <v>1.7996015844066785E-3</v>
      </c>
      <c r="AA23" s="927">
        <f>Y23*Z23</f>
        <v>4.4990039610166965</v>
      </c>
      <c r="AB23" s="841" t="s">
        <v>577</v>
      </c>
      <c r="AC23" s="842"/>
      <c r="AG23" s="463">
        <f>AG77</f>
        <v>10500</v>
      </c>
      <c r="AH23" s="365">
        <v>3.4888022059318042E-3</v>
      </c>
      <c r="AI23" s="927">
        <f>AG23*AH23</f>
        <v>36.632423162283942</v>
      </c>
      <c r="AJ23" s="841" t="s">
        <v>578</v>
      </c>
      <c r="AK23" s="842"/>
      <c r="AS23" s="353"/>
      <c r="CK23" s="482">
        <f>BS12/CK22</f>
        <v>16490.088528809443</v>
      </c>
      <c r="CL23" s="482"/>
      <c r="CM23" s="482"/>
      <c r="CN23" s="482"/>
      <c r="CY23" s="387"/>
      <c r="CZ23" s="387"/>
      <c r="DA23" s="772"/>
      <c r="DB23" s="453"/>
      <c r="DC23" s="453"/>
      <c r="DD23" s="456"/>
      <c r="DE23" s="456"/>
      <c r="DF23" s="456"/>
      <c r="DG23" s="456"/>
      <c r="DH23" s="453"/>
      <c r="DI23" s="453"/>
      <c r="DK23" s="730"/>
      <c r="DL23" s="453"/>
      <c r="DM23" s="476"/>
      <c r="DP23" s="473" t="str">
        <f>AT88</f>
        <v xml:space="preserve">Tạo hạt WSS01G </v>
      </c>
      <c r="DQ23" s="491"/>
      <c r="DR23" s="343" t="str">
        <f>AX88</f>
        <v>100% B1.2_A2 DT (STAR 1)</v>
      </c>
      <c r="DS23" s="343"/>
      <c r="DT23" s="343"/>
      <c r="DU23" s="387">
        <f>BD85</f>
        <v>0.70755888184437987</v>
      </c>
      <c r="DV23" s="387"/>
      <c r="DW23" s="387"/>
      <c r="DX23" s="387"/>
      <c r="DY23" s="387"/>
      <c r="DZ23" s="387"/>
      <c r="EA23" s="387"/>
      <c r="EB23" s="387"/>
      <c r="EC23" s="387"/>
      <c r="ED23" s="387"/>
      <c r="EE23" s="387"/>
      <c r="EG23" s="387"/>
    </row>
    <row r="24" spans="11:179" ht="15.75" customHeight="1" x14ac:dyDescent="0.35">
      <c r="K24" s="353"/>
      <c r="V24" s="343"/>
      <c r="Z24" s="341"/>
      <c r="AA24" s="928"/>
      <c r="AB24" s="886"/>
      <c r="AC24" s="887"/>
      <c r="AH24" s="341"/>
      <c r="AI24" s="928"/>
      <c r="AJ24" s="843"/>
      <c r="AK24" s="844"/>
      <c r="AN24" s="888"/>
      <c r="AO24" s="888"/>
      <c r="AP24" s="349"/>
      <c r="AQ24" s="349"/>
      <c r="AS24" s="353"/>
      <c r="AZ24" s="463">
        <f>AZ26-AZ25</f>
        <v>1345.6726890639948</v>
      </c>
      <c r="BA24" s="343"/>
      <c r="BB24" s="580" t="s">
        <v>712</v>
      </c>
      <c r="BC24" s="518">
        <f>'Hảo_R&amp;D (Vảy sạch)'!BR3</f>
        <v>0.13333333333333333</v>
      </c>
      <c r="BD24" s="425"/>
      <c r="BZ24" s="387">
        <f>$AK25</f>
        <v>0</v>
      </c>
      <c r="CA24" s="387"/>
      <c r="CB24" s="387"/>
      <c r="CD24" s="387"/>
      <c r="CE24" s="387"/>
      <c r="CK24" s="387">
        <f>$AK124</f>
        <v>0.77783045852077959</v>
      </c>
      <c r="CL24" s="387"/>
      <c r="CM24" s="387"/>
      <c r="CN24" s="387"/>
      <c r="CY24" s="570"/>
      <c r="CZ24" s="790" t="s">
        <v>712</v>
      </c>
      <c r="DA24" s="772"/>
      <c r="DB24" s="453"/>
      <c r="DC24" s="453"/>
      <c r="DD24" s="456"/>
      <c r="DE24" s="456"/>
      <c r="DF24" s="456"/>
      <c r="DG24" s="456"/>
      <c r="DH24" s="453"/>
      <c r="DI24" s="453"/>
      <c r="DK24" s="730"/>
      <c r="DL24" s="453"/>
      <c r="DM24" s="476"/>
      <c r="DR24" s="473" t="str">
        <f>BC86</f>
        <v>Hạt nhựa rPET WSS01G 1</v>
      </c>
      <c r="DS24" s="473"/>
      <c r="DT24" s="777" t="s">
        <v>872</v>
      </c>
      <c r="DU24" s="479">
        <f>AZ86</f>
        <v>26380.27158225506</v>
      </c>
      <c r="DV24" s="479">
        <f>DV6</f>
        <v>15154.794283157262</v>
      </c>
      <c r="DW24" s="479">
        <f>DW6</f>
        <v>7434.3302951022997</v>
      </c>
      <c r="DX24" s="479"/>
      <c r="DY24" s="479"/>
      <c r="DZ24" s="479">
        <f>-BB93</f>
        <v>-616.83673469387759</v>
      </c>
      <c r="EA24" s="479">
        <f>EA6</f>
        <v>2130.9101106110998</v>
      </c>
      <c r="EB24" s="479">
        <f>EB6</f>
        <v>2000.939404729972</v>
      </c>
      <c r="EC24" s="479">
        <f>EC6</f>
        <v>0</v>
      </c>
      <c r="ED24" s="479"/>
      <c r="EE24" s="487">
        <f t="shared" ref="EE24" si="184">SUM(DV24:EC24)</f>
        <v>26104.137358906755</v>
      </c>
      <c r="EF24" s="479">
        <v>24986.472927073384</v>
      </c>
      <c r="EG24" s="487">
        <f>EE24/$EG$1</f>
        <v>985.06178712855683</v>
      </c>
      <c r="EI24" s="479">
        <f>EI6</f>
        <v>2173</v>
      </c>
      <c r="EJ24" s="479">
        <f>EJ6</f>
        <v>1166</v>
      </c>
      <c r="EK24" s="479">
        <f>EK6</f>
        <v>371</v>
      </c>
      <c r="EL24" s="480">
        <f>SUM(EI24:EK24)</f>
        <v>3710</v>
      </c>
      <c r="EM24" s="475">
        <f t="shared" ref="EM24" si="185">EE24+EL24</f>
        <v>29814.137358906755</v>
      </c>
      <c r="EN24" s="479">
        <f>EG24+$EN$1</f>
        <v>1125.0617871285567</v>
      </c>
      <c r="EO24" s="463">
        <f>EO10</f>
        <v>50</v>
      </c>
      <c r="EP24" s="739">
        <f t="shared" ref="EP24" si="186">EN24+EO24</f>
        <v>1175.0617871285567</v>
      </c>
      <c r="EQ24" s="471"/>
      <c r="ER24" s="739">
        <f t="shared" ref="ER24" si="187">SUM(DV24,EA24,DX24:DZ24)/$EG$1</f>
        <v>629.01387392733909</v>
      </c>
      <c r="ES24" s="739">
        <f>(SUM(DW24,EB24,EC24,EI24:EK24))/$EG$1</f>
        <v>496.0479132012178</v>
      </c>
      <c r="ET24" s="739">
        <f t="shared" ref="ET24" si="188">EO24</f>
        <v>50</v>
      </c>
      <c r="EU24" s="739">
        <f t="shared" ref="EU24" si="189">SUM(ER24:ET24)</f>
        <v>1175.0617871285569</v>
      </c>
      <c r="EW24" s="739">
        <f>SUM(DV24,DZ24,EA24)</f>
        <v>16668.867659074484</v>
      </c>
      <c r="EX24" s="739">
        <f>(SUM(DW24,EB24,EC24,EI24:EK24))+EO24*$EG$1</f>
        <v>14470.269699832272</v>
      </c>
      <c r="EY24" s="739">
        <f t="shared" ref="EY24" si="190">EO24*$EG$1</f>
        <v>1325</v>
      </c>
      <c r="EZ24" s="739">
        <f t="shared" ref="EZ24" si="191">SUM(EW24:EX24)</f>
        <v>31139.137358906755</v>
      </c>
      <c r="FB24" s="739">
        <f>DV24/$EG$1</f>
        <v>571.87902955310426</v>
      </c>
      <c r="FC24" s="739">
        <f>SUM(DX24:EA24)/$EG$1</f>
        <v>57.134844374234795</v>
      </c>
      <c r="FD24" s="739">
        <f>(SUM(EL24,EP24,EQ24,EV24:EX24))/$EG$1</f>
        <v>1359.4037413598232</v>
      </c>
      <c r="FE24" s="739">
        <f>SUM(EI24:EK24)/$EG$1</f>
        <v>140</v>
      </c>
      <c r="FF24" s="739">
        <f t="shared" ref="FF24" si="192">ET24</f>
        <v>50</v>
      </c>
      <c r="FG24" s="739">
        <f t="shared" ref="FG24" si="193">SUM(FB24:FD24)</f>
        <v>1988.4176152871623</v>
      </c>
      <c r="FH24" s="735">
        <f t="shared" ref="FH24" si="194">FG24-EU24</f>
        <v>813.35582815860539</v>
      </c>
      <c r="FI24" s="739">
        <f>DV24</f>
        <v>15154.794283157262</v>
      </c>
      <c r="FJ24" s="739">
        <f>SUM(DX24:EA24)</f>
        <v>1514.0733759172222</v>
      </c>
      <c r="FK24" s="739">
        <f>SUM(DW24,EB24,EC24)</f>
        <v>9435.2696998322717</v>
      </c>
      <c r="FL24" s="739">
        <f>SUM(EI24:EK24)</f>
        <v>3710</v>
      </c>
      <c r="FM24" s="739">
        <f t="shared" ref="FM24" si="195">EY24</f>
        <v>1325</v>
      </c>
      <c r="FN24" s="739">
        <f t="shared" ref="FN24" si="196">SUM(FI24:FM24)</f>
        <v>31139.137358906755</v>
      </c>
      <c r="FP24" s="526">
        <f>(FF24+FE24)/FG24</f>
        <v>9.5553367934009509E-2</v>
      </c>
      <c r="FQ24" s="526">
        <f>FF24/FG24</f>
        <v>2.514562314052882E-2</v>
      </c>
      <c r="FS24" s="739">
        <f>FS23</f>
        <v>0</v>
      </c>
      <c r="FT24" s="474">
        <f t="shared" ref="FT24" si="197">FS24-SUM(FB24:FD24)</f>
        <v>-1988.4176152871623</v>
      </c>
      <c r="FU24" s="948" t="e">
        <f t="shared" ref="FU24" si="198">FT24/FS24</f>
        <v>#DIV/0!</v>
      </c>
      <c r="FV24" s="944">
        <f t="shared" ref="FV24" si="199">FS24-FG24</f>
        <v>-1988.4176152871623</v>
      </c>
      <c r="FW24" s="296" t="e">
        <f t="shared" ref="FW24" si="200">FV24/FS24</f>
        <v>#DIV/0!</v>
      </c>
    </row>
    <row r="25" spans="11:179" ht="15" customHeight="1" x14ac:dyDescent="0.35">
      <c r="K25" s="353"/>
      <c r="V25" s="343"/>
      <c r="Y25" s="453">
        <v>12000</v>
      </c>
      <c r="Z25" s="560">
        <v>2.9975830014956364E-4</v>
      </c>
      <c r="AA25" s="563">
        <f>Y25*Z25</f>
        <v>3.5970996017947638</v>
      </c>
      <c r="AB25" s="889" t="s">
        <v>719</v>
      </c>
      <c r="AC25" s="889"/>
      <c r="AG25" s="463">
        <f>Y59</f>
        <v>4166.6666666666661</v>
      </c>
      <c r="AH25" s="350">
        <v>4.0949290470105593E-3</v>
      </c>
      <c r="AI25" s="927">
        <f>AG25*AH25</f>
        <v>17.062204362543994</v>
      </c>
      <c r="AJ25" s="841" t="s">
        <v>581</v>
      </c>
      <c r="AK25" s="842"/>
      <c r="AN25" s="888"/>
      <c r="AO25" s="888"/>
      <c r="AP25" s="349"/>
      <c r="AQ25" s="349"/>
      <c r="AS25" s="353"/>
      <c r="AZ25" s="466">
        <f>($AI$5*0.7+$AI$123*0.25+$AI$5*0.05)/BA25</f>
        <v>21192.153383020668</v>
      </c>
      <c r="BA25" s="388">
        <f>SUM(BA26,BA30:BA32)</f>
        <v>0.94070114023266149</v>
      </c>
      <c r="BB25" s="581">
        <f>SUM(BA26*BB26,BA30*BB30,BA32*BB32)</f>
        <v>1.026558087916047</v>
      </c>
      <c r="BC25" s="368"/>
      <c r="BD25" s="421">
        <f>(AK6*0.7+AK124*0.25+AK6*0.05)*BA25</f>
        <v>0.75310955749669795</v>
      </c>
      <c r="BE25" s="468">
        <f>($N$5/BD25)*0.75+($N$123/BD25)*0.25</f>
        <v>21514.262804534366</v>
      </c>
      <c r="BF25" s="682">
        <f>BE25-AZ25</f>
        <v>322.10942151369818</v>
      </c>
      <c r="BG25" s="463"/>
      <c r="BS25" s="463">
        <f>N24</f>
        <v>0</v>
      </c>
      <c r="BT25" s="463"/>
      <c r="BU25" s="463"/>
      <c r="BV25" s="463"/>
      <c r="BW25" s="463"/>
      <c r="BX25" s="463"/>
      <c r="BY25" s="773"/>
      <c r="BZ25" s="463">
        <f>AK24</f>
        <v>0</v>
      </c>
      <c r="CA25" s="463"/>
      <c r="CB25" s="463"/>
      <c r="CD25" s="463"/>
      <c r="CE25" s="463"/>
      <c r="CK25" s="482">
        <f>BS14/CK24</f>
        <v>19358.957105273665</v>
      </c>
      <c r="CL25" s="482"/>
      <c r="CM25" s="482"/>
      <c r="CN25" s="482"/>
      <c r="CY25" s="465"/>
      <c r="CZ25" s="387">
        <f>AH71</f>
        <v>0.88600000000000001</v>
      </c>
      <c r="DA25" s="772"/>
      <c r="DB25" s="453"/>
      <c r="DC25" s="453"/>
      <c r="DD25" s="456"/>
      <c r="DE25" s="456"/>
      <c r="DF25" s="456"/>
      <c r="DG25" s="456"/>
      <c r="DH25" s="453"/>
      <c r="DI25" s="453"/>
      <c r="DK25" s="730"/>
      <c r="DL25" s="453"/>
      <c r="DM25" s="476"/>
      <c r="DQ25" s="492" t="str">
        <f>AX88</f>
        <v>100% B1.2_A2 DT (STAR 1)</v>
      </c>
      <c r="DT25" s="772" t="s">
        <v>873</v>
      </c>
    </row>
    <row r="26" spans="11:179" ht="15.75" customHeight="1" x14ac:dyDescent="0.35">
      <c r="K26" s="353"/>
      <c r="V26" s="343"/>
      <c r="Y26" s="453">
        <v>12000</v>
      </c>
      <c r="Z26" s="560">
        <v>1.9121424199014269E-3</v>
      </c>
      <c r="AA26" s="563">
        <f t="shared" ref="AA26:AA27" si="201">Y26*Z26</f>
        <v>22.945709038817125</v>
      </c>
      <c r="AB26" s="889" t="s">
        <v>720</v>
      </c>
      <c r="AC26" s="889"/>
      <c r="AH26" s="341"/>
      <c r="AI26" s="928"/>
      <c r="AJ26" s="843"/>
      <c r="AK26" s="844"/>
      <c r="AN26" s="888"/>
      <c r="AO26" s="888"/>
      <c r="AP26" s="349"/>
      <c r="AQ26" s="349"/>
      <c r="AS26" s="353"/>
      <c r="AZ26" s="467">
        <f>$AZ$25/$BB$25*BB26</f>
        <v>22537.826072084663</v>
      </c>
      <c r="BA26" s="577">
        <v>0.92720000000000002</v>
      </c>
      <c r="BB26" s="581">
        <f>BB9</f>
        <v>1.0917431192660549</v>
      </c>
      <c r="BC26" s="433" t="s">
        <v>582</v>
      </c>
      <c r="BD26" s="423"/>
      <c r="BE26" s="368"/>
      <c r="BF26" s="368"/>
      <c r="BG26" s="368"/>
      <c r="BH26" s="368"/>
      <c r="BI26" s="368"/>
      <c r="BJ26" s="368"/>
      <c r="BK26" s="368"/>
      <c r="BL26" s="368"/>
      <c r="BM26" s="368"/>
      <c r="BN26" s="368"/>
      <c r="BO26" s="368"/>
      <c r="BP26" s="368"/>
      <c r="BQ26" s="368"/>
      <c r="BR26" s="368"/>
      <c r="BS26" s="368"/>
      <c r="BT26" s="368"/>
      <c r="BU26" s="368"/>
      <c r="BV26" s="368"/>
      <c r="BW26" s="368"/>
      <c r="BX26" s="368"/>
      <c r="BY26" s="774"/>
      <c r="CY26" s="765" t="str">
        <f>LEFT($CH$2,3)&amp;" "&amp;RIGHT(BK10,2)&amp;"_"&amp;RIGHT($CH$2,3)&amp;" DT"</f>
        <v>Vảy B4_ A1 DT</v>
      </c>
      <c r="CZ26" s="765"/>
      <c r="DA26" s="777" t="s">
        <v>872</v>
      </c>
      <c r="DB26" s="482">
        <f>BZ10/CZ25</f>
        <v>17494.795201842277</v>
      </c>
      <c r="DC26" s="482">
        <f>CL10</f>
        <v>12442.102601589924</v>
      </c>
      <c r="DD26" s="484">
        <f t="shared" ref="DD26:DI26" si="202">CM10</f>
        <v>3303.2130800681216</v>
      </c>
      <c r="DE26" s="484">
        <f t="shared" si="202"/>
        <v>2104.9096872249238</v>
      </c>
      <c r="DF26" s="485">
        <f t="shared" si="202"/>
        <v>1273.8558498087386</v>
      </c>
      <c r="DG26" s="485">
        <f t="shared" si="202"/>
        <v>-673.19999999999993</v>
      </c>
      <c r="DH26" s="482">
        <f t="shared" si="202"/>
        <v>-453</v>
      </c>
      <c r="DI26" s="482">
        <f t="shared" si="202"/>
        <v>1749.4795201842273</v>
      </c>
      <c r="DK26" s="486">
        <f t="shared" ref="DK26:DK31" si="203">SUM(DC26:DI26)</f>
        <v>19747.360738875937</v>
      </c>
      <c r="DL26" s="453">
        <f t="shared" ref="DL26:DL31" si="204">DK26/$CU$2</f>
        <v>745.18342410852597</v>
      </c>
      <c r="DM26" s="494">
        <f t="shared" ref="DM26:DM31" si="205">$CV$2+DL26</f>
        <v>815.18342410852597</v>
      </c>
      <c r="DN26" s="587">
        <f>DM26/$DM$30</f>
        <v>1.5764215316829011</v>
      </c>
      <c r="DR26" s="471" t="str">
        <f>BC88</f>
        <v>Hạt nhựa rPET WSS03G</v>
      </c>
      <c r="DS26" s="471"/>
      <c r="DT26" s="777" t="s">
        <v>872</v>
      </c>
      <c r="DU26" s="474">
        <f>AZ88</f>
        <v>25698.023179265703</v>
      </c>
      <c r="DV26" s="474">
        <f>DV6</f>
        <v>15154.794283157262</v>
      </c>
      <c r="DW26" s="474">
        <f>DW6</f>
        <v>7434.3302951022997</v>
      </c>
      <c r="DX26" s="474"/>
      <c r="DY26" s="474"/>
      <c r="DZ26" s="474"/>
      <c r="EA26" s="474"/>
      <c r="EB26" s="474">
        <f>EB6</f>
        <v>2000.939404729972</v>
      </c>
      <c r="EC26" s="474">
        <f>EC6</f>
        <v>0</v>
      </c>
      <c r="ED26" s="474"/>
      <c r="EE26" s="488">
        <f t="shared" ref="EE26" si="206">SUM(DV26:EC26)</f>
        <v>24590.063982989534</v>
      </c>
      <c r="EF26" s="474">
        <v>24986.472927073384</v>
      </c>
      <c r="EG26" s="488">
        <f>EE26/$EG$1</f>
        <v>927.926942754322</v>
      </c>
      <c r="EI26" s="474">
        <f>EI6</f>
        <v>2173</v>
      </c>
      <c r="EJ26" s="474">
        <f>EJ6</f>
        <v>1166</v>
      </c>
      <c r="EK26" s="474">
        <f>EK6</f>
        <v>371</v>
      </c>
      <c r="EL26" s="475">
        <f>SUM(EI26:EK26)</f>
        <v>3710</v>
      </c>
      <c r="EM26" s="475">
        <f t="shared" ref="EM26" si="207">EE26+EL26</f>
        <v>28300.063982989534</v>
      </c>
      <c r="EN26" s="474">
        <f>EG26+$EN$1</f>
        <v>1067.926942754322</v>
      </c>
      <c r="EO26" s="463">
        <f>EO12</f>
        <v>50</v>
      </c>
      <c r="EP26" s="739">
        <f t="shared" ref="EP26" si="208">EN26+EO26</f>
        <v>1117.926942754322</v>
      </c>
      <c r="EQ26" s="471"/>
      <c r="ER26" s="739">
        <f t="shared" ref="ER26" si="209">SUM(DV26,EA26,DX26:DZ26)/$EG$1</f>
        <v>571.87902955310426</v>
      </c>
      <c r="ES26" s="739">
        <f>(SUM(DW26,EB26,EC26,EI26:EK26))/$EG$1</f>
        <v>496.0479132012178</v>
      </c>
      <c r="ET26" s="739">
        <f t="shared" ref="ET26" si="210">EO26</f>
        <v>50</v>
      </c>
      <c r="EU26" s="739">
        <f t="shared" ref="EU26" si="211">SUM(ER26:ET26)</f>
        <v>1117.926942754322</v>
      </c>
      <c r="EW26" s="739">
        <f>SUM(DV26,DZ26,EA26)</f>
        <v>15154.794283157262</v>
      </c>
      <c r="EX26" s="739">
        <f>(SUM(DW26,EB26,EC26,EI26:EK26))+EO26*$EG$1</f>
        <v>14470.269699832272</v>
      </c>
      <c r="EY26" s="739">
        <f t="shared" ref="EY26" si="212">EO26*$EG$1</f>
        <v>1325</v>
      </c>
      <c r="EZ26" s="739">
        <f t="shared" ref="EZ26" si="213">SUM(EW26:EX26)</f>
        <v>29625.063982989534</v>
      </c>
      <c r="FB26" s="739">
        <f>DV26/$EG$1</f>
        <v>571.87902955310426</v>
      </c>
      <c r="FC26" s="739">
        <f>SUM(DX26:EA26)/$EG$1</f>
        <v>0</v>
      </c>
      <c r="FD26" s="739">
        <f>(SUM(EL26,EP26,EQ26,EV26:EX26))/$EG$1</f>
        <v>1300.1128651224096</v>
      </c>
      <c r="FE26" s="739">
        <f>SUM(EI26:EK26)/$EG$1</f>
        <v>140</v>
      </c>
      <c r="FF26" s="739">
        <f t="shared" ref="FF26" si="214">ET26</f>
        <v>50</v>
      </c>
      <c r="FG26" s="739">
        <f t="shared" ref="FG26" si="215">SUM(FB26:FD26)</f>
        <v>1871.9918946755138</v>
      </c>
      <c r="FH26" s="735">
        <f t="shared" ref="FH26" si="216">FG26-EU26</f>
        <v>754.06495192119178</v>
      </c>
      <c r="FI26" s="739">
        <f>DV26</f>
        <v>15154.794283157262</v>
      </c>
      <c r="FJ26" s="739">
        <f>SUM(DX26:EA26)</f>
        <v>0</v>
      </c>
      <c r="FK26" s="739">
        <f>SUM(DW26,EB26,EC26)</f>
        <v>9435.2696998322717</v>
      </c>
      <c r="FL26" s="739">
        <f>SUM(EI26:EK26)</f>
        <v>3710</v>
      </c>
      <c r="FM26" s="739">
        <f t="shared" ref="FM26" si="217">EY26</f>
        <v>1325</v>
      </c>
      <c r="FN26" s="739">
        <f t="shared" ref="FN26" si="218">SUM(FI26:FM26)</f>
        <v>29625.063982989534</v>
      </c>
      <c r="FP26" s="526">
        <f>(FF26+FE26)/FG26</f>
        <v>0.10149616595051236</v>
      </c>
      <c r="FQ26" s="526">
        <f>FF26/FG26</f>
        <v>2.6709517355397991E-2</v>
      </c>
      <c r="FS26" s="739">
        <f>FS25</f>
        <v>0</v>
      </c>
      <c r="FT26" s="474">
        <f t="shared" ref="FT26" si="219">FS26-SUM(FB26:FD26)</f>
        <v>-1871.9918946755138</v>
      </c>
      <c r="FU26" s="948" t="e">
        <f t="shared" ref="FU26" si="220">FT26/FS26</f>
        <v>#DIV/0!</v>
      </c>
      <c r="FV26" s="944">
        <f t="shared" ref="FV26" si="221">FS26-FG26</f>
        <v>-1871.9918946755138</v>
      </c>
      <c r="FW26" s="296" t="e">
        <f t="shared" ref="FW26" si="222">FV26/FS26</f>
        <v>#DIV/0!</v>
      </c>
    </row>
    <row r="27" spans="11:179" ht="15.75" customHeight="1" x14ac:dyDescent="0.35">
      <c r="K27" s="353"/>
      <c r="V27" s="343"/>
      <c r="Y27" s="453">
        <v>12000</v>
      </c>
      <c r="Z27" s="560">
        <v>9.1505165308814162E-5</v>
      </c>
      <c r="AA27" s="563">
        <f t="shared" si="201"/>
        <v>1.0980619837057699</v>
      </c>
      <c r="AB27" s="889" t="s">
        <v>721</v>
      </c>
      <c r="AC27" s="889"/>
      <c r="AG27" s="463">
        <f>AG25</f>
        <v>4166.6666666666661</v>
      </c>
      <c r="AH27" s="350">
        <v>2.8650211850158049E-3</v>
      </c>
      <c r="AI27" s="927">
        <f>AG27*AH27</f>
        <v>11.937588270899186</v>
      </c>
      <c r="AJ27" s="841" t="s">
        <v>583</v>
      </c>
      <c r="AK27" s="842"/>
      <c r="AN27" s="888"/>
      <c r="AO27" s="888"/>
      <c r="AP27" s="349"/>
      <c r="AQ27" s="349"/>
      <c r="AS27" s="353"/>
      <c r="AZ27" s="349"/>
      <c r="BA27" s="356"/>
      <c r="BB27" s="356"/>
      <c r="BC27" s="424"/>
      <c r="BD27" s="425"/>
      <c r="BE27" s="368"/>
      <c r="BF27" s="368"/>
      <c r="BG27" s="368"/>
      <c r="BH27" s="368"/>
      <c r="BI27" s="368"/>
      <c r="BJ27" s="368"/>
      <c r="BK27" s="368"/>
      <c r="BL27" s="368"/>
      <c r="BM27" s="368"/>
      <c r="BN27" s="368"/>
      <c r="BO27" s="368"/>
      <c r="BP27" s="368"/>
      <c r="BQ27" s="368"/>
      <c r="BR27" s="368"/>
      <c r="BS27" s="368"/>
      <c r="BT27" s="368"/>
      <c r="BU27" s="368"/>
      <c r="BV27" s="368"/>
      <c r="BW27" s="368"/>
      <c r="BX27" s="368"/>
      <c r="BY27" s="774"/>
      <c r="CY27" s="465"/>
      <c r="CZ27" s="387">
        <v>1</v>
      </c>
      <c r="DA27" s="772" t="s">
        <v>873</v>
      </c>
      <c r="DB27" s="453">
        <f t="shared" ref="DB27:DC27" si="223">DB26</f>
        <v>17494.795201842277</v>
      </c>
      <c r="DC27" s="453">
        <f t="shared" si="223"/>
        <v>12442.102601589924</v>
      </c>
      <c r="DD27" s="456">
        <f>AJ68</f>
        <v>3303.2130800681216</v>
      </c>
      <c r="DE27" s="456">
        <f>+CC11</f>
        <v>3240.9192930660097</v>
      </c>
      <c r="DF27" s="485">
        <f>DF7</f>
        <v>2013.5603276057439</v>
      </c>
      <c r="DG27" s="485">
        <f>CP11</f>
        <v>-673.19999999999993</v>
      </c>
      <c r="DH27" s="453">
        <f t="shared" ref="DH27:DI27" si="224">DH26</f>
        <v>-453</v>
      </c>
      <c r="DI27" s="453">
        <f t="shared" si="224"/>
        <v>1749.4795201842273</v>
      </c>
      <c r="DK27" s="730">
        <f t="shared" si="203"/>
        <v>21623.074822514027</v>
      </c>
      <c r="DL27" s="453">
        <f t="shared" si="204"/>
        <v>815.96508764203872</v>
      </c>
      <c r="DM27" s="476">
        <f t="shared" si="205"/>
        <v>885.96508764203872</v>
      </c>
      <c r="DN27" s="340"/>
      <c r="DQ27" s="489"/>
      <c r="DT27" s="772" t="s">
        <v>873</v>
      </c>
      <c r="DU27" s="453">
        <f>BS6/DU28</f>
        <v>21532.70132758121</v>
      </c>
      <c r="DV27" s="453"/>
      <c r="DW27" s="453"/>
      <c r="DX27" s="453"/>
      <c r="DY27" s="453"/>
      <c r="DZ27" s="453"/>
      <c r="EA27" s="453"/>
      <c r="EB27" s="453"/>
      <c r="EC27" s="453"/>
      <c r="ED27" s="453"/>
      <c r="EE27" s="453"/>
      <c r="EG27" s="453"/>
    </row>
    <row r="28" spans="11:179" x14ac:dyDescent="0.35">
      <c r="K28" s="353"/>
      <c r="V28" s="343"/>
      <c r="AH28" s="341"/>
      <c r="AI28" s="928"/>
      <c r="AJ28" s="843"/>
      <c r="AK28" s="844"/>
      <c r="AN28" s="888"/>
      <c r="AO28" s="888"/>
      <c r="AP28" s="349"/>
      <c r="AQ28" s="349"/>
      <c r="AS28" s="358"/>
      <c r="AT28" s="862" t="s">
        <v>584</v>
      </c>
      <c r="AU28" s="863"/>
      <c r="AV28" s="359"/>
      <c r="AW28" s="359"/>
      <c r="AX28" s="894" t="s">
        <v>585</v>
      </c>
      <c r="AY28" s="895"/>
      <c r="AZ28" s="346"/>
      <c r="BA28" s="348">
        <v>1.89E-2</v>
      </c>
      <c r="BB28" s="350"/>
      <c r="BC28" s="433" t="s">
        <v>586</v>
      </c>
      <c r="BD28" s="423"/>
      <c r="CY28" s="465" t="str">
        <f>LEFT($CH$2,3)&amp;" "&amp;RIGHT($BK$10,2)&amp;"_"&amp;"A"&amp;"2"&amp;" DT"</f>
        <v>Vảy B4_A2 DT</v>
      </c>
      <c r="CZ28" s="765"/>
      <c r="DA28" s="777" t="s">
        <v>872</v>
      </c>
      <c r="DB28" s="476">
        <f>DB26*$CZ$29</f>
        <v>13995.836161473822</v>
      </c>
      <c r="DC28" s="482">
        <f t="shared" ref="DC28:DI28" si="225">DC26*$CZ$29</f>
        <v>9953.6820812719398</v>
      </c>
      <c r="DD28" s="484">
        <f t="shared" si="225"/>
        <v>2642.5704640544973</v>
      </c>
      <c r="DE28" s="484">
        <f t="shared" ref="DE28" si="226">DE26*$CZ$29</f>
        <v>1683.9277497799392</v>
      </c>
      <c r="DF28" s="484">
        <f>DF26*$CZ$29</f>
        <v>1019.084679846991</v>
      </c>
      <c r="DG28" s="484">
        <f>DG26*$CZ$29</f>
        <v>-538.55999999999995</v>
      </c>
      <c r="DH28" s="482">
        <f t="shared" si="225"/>
        <v>-362.40000000000003</v>
      </c>
      <c r="DI28" s="482">
        <f t="shared" si="225"/>
        <v>1399.5836161473819</v>
      </c>
      <c r="DK28" s="486">
        <f t="shared" si="203"/>
        <v>15797.888591100749</v>
      </c>
      <c r="DL28" s="453">
        <f t="shared" si="204"/>
        <v>596.14673928682078</v>
      </c>
      <c r="DM28" s="494">
        <f t="shared" si="205"/>
        <v>666.14673928682078</v>
      </c>
      <c r="DN28" s="587">
        <f>DM28/$DM$30</f>
        <v>1.2882107658414506</v>
      </c>
      <c r="DR28" s="343">
        <f>AX107</f>
        <v>0</v>
      </c>
      <c r="DS28" s="343"/>
      <c r="DT28" s="343"/>
      <c r="DU28" s="387">
        <f>BD104</f>
        <v>0.77018361551251757</v>
      </c>
      <c r="DV28" s="387"/>
      <c r="DW28" s="387"/>
      <c r="DX28" s="387"/>
      <c r="DY28" s="387"/>
      <c r="DZ28" s="387"/>
      <c r="EA28" s="387"/>
      <c r="EB28" s="387"/>
      <c r="EC28" s="387"/>
      <c r="ED28" s="387"/>
      <c r="EE28" s="387"/>
      <c r="EG28" s="387"/>
    </row>
    <row r="29" spans="11:179" x14ac:dyDescent="0.35">
      <c r="K29" s="353"/>
      <c r="V29" s="343"/>
      <c r="AG29" s="463">
        <f>AG151</f>
        <v>10000</v>
      </c>
      <c r="AH29" s="350">
        <v>2.1016880758625328E-3</v>
      </c>
      <c r="AI29" s="927">
        <f>AG29*AH29</f>
        <v>21.016880758625327</v>
      </c>
      <c r="AJ29" s="841" t="s">
        <v>587</v>
      </c>
      <c r="AK29" s="842"/>
      <c r="AN29" s="888"/>
      <c r="AO29" s="888"/>
      <c r="AP29" s="349"/>
      <c r="AQ29" s="349"/>
      <c r="AS29" s="353"/>
      <c r="AT29" s="864"/>
      <c r="AU29" s="865"/>
      <c r="AV29" s="349"/>
      <c r="AW29" s="369"/>
      <c r="AX29" s="896"/>
      <c r="AY29" s="897"/>
      <c r="BA29" s="361"/>
      <c r="BB29" s="361"/>
      <c r="BC29" s="431"/>
      <c r="BD29" s="432"/>
      <c r="CY29" s="465"/>
      <c r="CZ29" s="387">
        <v>0.8</v>
      </c>
      <c r="DA29" s="772" t="s">
        <v>873</v>
      </c>
      <c r="DB29" s="453">
        <f>DB27*$CZ$29</f>
        <v>13995.836161473822</v>
      </c>
      <c r="DC29" s="453">
        <f t="shared" ref="DC29:DI29" si="227">DC27*$CZ$29</f>
        <v>9953.6820812719398</v>
      </c>
      <c r="DD29" s="456">
        <f t="shared" si="227"/>
        <v>2642.5704640544973</v>
      </c>
      <c r="DE29" s="456">
        <f t="shared" ref="DE29" si="228">DE27*$CZ$29</f>
        <v>2592.735434452808</v>
      </c>
      <c r="DF29" s="484">
        <f>DF27*$CZ$29</f>
        <v>1610.8482620845953</v>
      </c>
      <c r="DG29" s="484">
        <f>DG27*$CZ$29</f>
        <v>-538.55999999999995</v>
      </c>
      <c r="DH29" s="453">
        <f t="shared" si="227"/>
        <v>-362.40000000000003</v>
      </c>
      <c r="DI29" s="453">
        <f t="shared" si="227"/>
        <v>1399.5836161473819</v>
      </c>
      <c r="DK29" s="730">
        <f t="shared" si="203"/>
        <v>17298.459858011225</v>
      </c>
      <c r="DL29" s="453">
        <f t="shared" si="204"/>
        <v>652.77207011363112</v>
      </c>
      <c r="DM29" s="476">
        <f t="shared" si="205"/>
        <v>722.77207011363112</v>
      </c>
      <c r="DN29" s="340"/>
      <c r="DR29" s="472" t="str">
        <f>BC109</f>
        <v>Hạt nhựa rPET iSS01G 2</v>
      </c>
      <c r="DS29" s="472"/>
      <c r="DT29" s="777" t="s">
        <v>872</v>
      </c>
      <c r="DU29" s="478">
        <f>AZ109</f>
        <v>23189.062968164377</v>
      </c>
      <c r="DV29" s="478">
        <f>DV6</f>
        <v>15154.794283157262</v>
      </c>
      <c r="DW29" s="478">
        <f>DW6</f>
        <v>7434.3302951022997</v>
      </c>
      <c r="DX29" s="478"/>
      <c r="DY29" s="478"/>
      <c r="DZ29" s="478"/>
      <c r="EA29" s="478"/>
      <c r="EB29" s="478">
        <f>EB6</f>
        <v>2000.939404729972</v>
      </c>
      <c r="EC29" s="478">
        <f>EC6</f>
        <v>0</v>
      </c>
      <c r="ED29" s="478"/>
      <c r="EE29" s="478">
        <f t="shared" ref="EE29" si="229">SUM(DV29:EC29)</f>
        <v>24590.063982989534</v>
      </c>
      <c r="EF29" s="478">
        <v>24986.472927073384</v>
      </c>
      <c r="EG29" s="478">
        <f>EE29/$EG$1</f>
        <v>927.926942754322</v>
      </c>
      <c r="EI29" s="478">
        <f>EI6</f>
        <v>2173</v>
      </c>
      <c r="EJ29" s="478">
        <f>EJ6</f>
        <v>1166</v>
      </c>
      <c r="EK29" s="478">
        <f>EK6</f>
        <v>371</v>
      </c>
      <c r="EL29" s="477">
        <f>SUM(EI29:EK29)</f>
        <v>3710</v>
      </c>
      <c r="EM29" s="475">
        <f t="shared" ref="EM29" si="230">EE29+EL29</f>
        <v>28300.063982989534</v>
      </c>
      <c r="EN29" s="478">
        <f>EG29+$EN$1</f>
        <v>1067.926942754322</v>
      </c>
      <c r="EO29" s="478">
        <f>EO8</f>
        <v>70</v>
      </c>
      <c r="EP29" s="739">
        <f t="shared" ref="EP29" si="231">EN29+EO29</f>
        <v>1137.926942754322</v>
      </c>
      <c r="EQ29" s="471"/>
      <c r="ER29" s="739">
        <f t="shared" ref="ER29" si="232">SUM(DV29,EA29,DX29:DZ29)/$EG$1</f>
        <v>571.87902955310426</v>
      </c>
      <c r="ES29" s="739">
        <f>(SUM(DW29,EB29,EC29,EI29:EK29))/$EG$1</f>
        <v>496.0479132012178</v>
      </c>
      <c r="ET29" s="739">
        <f t="shared" ref="ET29" si="233">EO29</f>
        <v>70</v>
      </c>
      <c r="EU29" s="739">
        <f t="shared" ref="EU29" si="234">SUM(ER29:ET29)</f>
        <v>1137.926942754322</v>
      </c>
      <c r="EW29" s="739">
        <f>SUM(DV29,DZ29,EA29)</f>
        <v>15154.794283157262</v>
      </c>
      <c r="EX29" s="739">
        <f>(SUM(DW29,EB29,EC29,EI29:EK29))+EO29*$EG$1</f>
        <v>15000.269699832272</v>
      </c>
      <c r="EY29" s="739">
        <f t="shared" ref="EY29" si="235">EO29*$EG$1</f>
        <v>1855</v>
      </c>
      <c r="EZ29" s="739">
        <f t="shared" ref="EZ29" si="236">SUM(EW29:EX29)</f>
        <v>30155.063982989534</v>
      </c>
      <c r="FB29" s="739">
        <f>DV29/$EG$1</f>
        <v>571.87902955310426</v>
      </c>
      <c r="FC29" s="739">
        <f>SUM(DX29:EA29)/$EG$1</f>
        <v>0</v>
      </c>
      <c r="FD29" s="739">
        <f>(SUM(EL29,EP29,EQ29,EV29:EX29))/$EG$1</f>
        <v>1320.8675821035417</v>
      </c>
      <c r="FE29" s="739">
        <f>SUM(EI29:EK29)/$EG$1</f>
        <v>140</v>
      </c>
      <c r="FF29" s="739">
        <f t="shared" ref="FF29" si="237">ET29</f>
        <v>70</v>
      </c>
      <c r="FG29" s="739">
        <f t="shared" ref="FG29" si="238">SUM(FB29:FD29)</f>
        <v>1892.7466116566461</v>
      </c>
      <c r="FH29" s="735">
        <f t="shared" ref="FH29" si="239">FG29-EU29</f>
        <v>754.81966890232411</v>
      </c>
      <c r="FI29" s="739">
        <f>DV29</f>
        <v>15154.794283157262</v>
      </c>
      <c r="FJ29" s="739">
        <f>SUM(DX29:EA29)</f>
        <v>0</v>
      </c>
      <c r="FK29" s="739">
        <f>SUM(DW29,EB29,EC29)</f>
        <v>9435.2696998322717</v>
      </c>
      <c r="FL29" s="739">
        <f>SUM(EI29:EK29)</f>
        <v>3710</v>
      </c>
      <c r="FM29" s="739">
        <f t="shared" ref="FM29" si="240">EY29</f>
        <v>1855</v>
      </c>
      <c r="FN29" s="739">
        <f t="shared" ref="FN29" si="241">SUM(FI29:FM29)</f>
        <v>30155.063982989534</v>
      </c>
      <c r="FP29" s="526">
        <f>(FF29+FE29)/FG29</f>
        <v>0.11094987501586139</v>
      </c>
      <c r="FQ29" s="526">
        <f>FF29/FG29</f>
        <v>3.6983291671953793E-2</v>
      </c>
      <c r="FS29" s="739">
        <f>FS28</f>
        <v>0</v>
      </c>
      <c r="FT29" s="474">
        <f t="shared" ref="FT29" si="242">FS29-SUM(FB29:FD29)</f>
        <v>-1892.7466116566461</v>
      </c>
      <c r="FU29" s="948" t="e">
        <f t="shared" ref="FU29" si="243">FT29/FS29</f>
        <v>#DIV/0!</v>
      </c>
      <c r="FV29" s="944">
        <f t="shared" ref="FV29" si="244">FS29-FG29</f>
        <v>-1892.7466116566461</v>
      </c>
      <c r="FW29" s="296" t="e">
        <f t="shared" ref="FW29" si="245">FV29/FS29</f>
        <v>#DIV/0!</v>
      </c>
    </row>
    <row r="30" spans="11:179" x14ac:dyDescent="0.35">
      <c r="K30" s="353"/>
      <c r="V30" s="343"/>
      <c r="Y30" s="463">
        <f>N5</f>
        <v>16584.133760227684</v>
      </c>
      <c r="Z30" s="388">
        <v>4.2999999999999997E-2</v>
      </c>
      <c r="AA30" s="741">
        <f t="shared" ref="AA30" si="246">Y30*Z30</f>
        <v>713.11775168979034</v>
      </c>
      <c r="AB30" s="846" t="s">
        <v>580</v>
      </c>
      <c r="AC30" s="847"/>
      <c r="AH30" s="341"/>
      <c r="AI30" s="928"/>
      <c r="AJ30" s="843"/>
      <c r="AK30" s="844"/>
      <c r="AN30" s="888"/>
      <c r="AO30" s="888"/>
      <c r="AP30" s="349"/>
      <c r="AQ30" s="349"/>
      <c r="AS30" s="353"/>
      <c r="AW30" s="353"/>
      <c r="AZ30" s="467">
        <f>$AZ$25/$BB$25*BB30</f>
        <v>21969.645582872447</v>
      </c>
      <c r="BA30" s="357">
        <v>1.0800912186129174E-2</v>
      </c>
      <c r="BB30" s="450">
        <f>BB11</f>
        <v>1.0642201834862386</v>
      </c>
      <c r="BC30" s="434" t="s">
        <v>588</v>
      </c>
      <c r="BD30" s="434"/>
      <c r="CY30" s="465" t="str">
        <f>LEFT($CH$2,3)&amp;" "&amp;RIGHT($BK$10,2)&amp;"_"&amp;"A"&amp;"3"&amp;" DT"</f>
        <v>Vảy B4_A3 DT</v>
      </c>
      <c r="CZ30" s="765"/>
      <c r="DA30" s="777" t="s">
        <v>872</v>
      </c>
      <c r="DB30" s="476">
        <f>DB26*$CZ$31</f>
        <v>10496.877121105366</v>
      </c>
      <c r="DC30" s="476">
        <f t="shared" ref="DC30:DI30" si="247">DC26*$CZ$31</f>
        <v>7465.2615609539544</v>
      </c>
      <c r="DD30" s="456">
        <f t="shared" si="247"/>
        <v>1981.927848040873</v>
      </c>
      <c r="DE30" s="456">
        <f t="shared" ref="DE30" si="248">DE26*$CZ$31</f>
        <v>1262.9458123349543</v>
      </c>
      <c r="DF30" s="476">
        <f>DF26*$CZ$31</f>
        <v>764.31350988524321</v>
      </c>
      <c r="DG30" s="476">
        <f>DG26*$CZ$31</f>
        <v>-403.91999999999996</v>
      </c>
      <c r="DH30" s="476">
        <f t="shared" si="247"/>
        <v>-271.8</v>
      </c>
      <c r="DI30" s="476">
        <f t="shared" si="247"/>
        <v>1049.6877121105363</v>
      </c>
      <c r="DK30" s="731">
        <f t="shared" si="203"/>
        <v>11848.416443325561</v>
      </c>
      <c r="DL30" s="453">
        <f t="shared" si="204"/>
        <v>447.11005446511552</v>
      </c>
      <c r="DM30" s="494">
        <f t="shared" si="205"/>
        <v>517.11005446511558</v>
      </c>
      <c r="DN30" s="587">
        <f>DM30/$DM$30</f>
        <v>1</v>
      </c>
      <c r="DQ30" s="490">
        <f>AX107</f>
        <v>0</v>
      </c>
      <c r="DT30" s="772" t="s">
        <v>873</v>
      </c>
    </row>
    <row r="31" spans="11:179" x14ac:dyDescent="0.35">
      <c r="K31" s="353"/>
      <c r="V31" s="343"/>
      <c r="AA31" s="367"/>
      <c r="AB31" s="848"/>
      <c r="AC31" s="849"/>
      <c r="AG31" s="463">
        <f>AG53</f>
        <v>6000</v>
      </c>
      <c r="AH31" s="350">
        <v>1.3030466070347703E-3</v>
      </c>
      <c r="AI31" s="927">
        <f>AG31*AH31</f>
        <v>7.8182796422086218</v>
      </c>
      <c r="AJ31" s="841" t="s">
        <v>589</v>
      </c>
      <c r="AK31" s="842"/>
      <c r="AN31" s="888"/>
      <c r="AO31" s="888"/>
      <c r="AP31" s="349"/>
      <c r="AQ31" s="349"/>
      <c r="AS31" s="353"/>
      <c r="AW31" s="353"/>
      <c r="BA31" s="361"/>
      <c r="BB31" s="361"/>
      <c r="BC31" s="435"/>
      <c r="BD31" s="435"/>
      <c r="CY31" s="768"/>
      <c r="CZ31" s="387">
        <v>0.6</v>
      </c>
      <c r="DA31" s="772" t="s">
        <v>873</v>
      </c>
      <c r="DB31" s="453">
        <f>DB27*$CZ$31</f>
        <v>10496.877121105366</v>
      </c>
      <c r="DC31" s="453">
        <f t="shared" ref="DC31:DI31" si="249">DC27*$CZ$31</f>
        <v>7465.2615609539544</v>
      </c>
      <c r="DD31" s="456">
        <f t="shared" si="249"/>
        <v>1981.927848040873</v>
      </c>
      <c r="DE31" s="456">
        <f t="shared" ref="DE31" si="250">DE27*$CZ$31</f>
        <v>1944.5515758396057</v>
      </c>
      <c r="DF31" s="453">
        <f>DF27*$CZ$31</f>
        <v>1208.1361965634462</v>
      </c>
      <c r="DG31" s="453">
        <f>DG27*$CZ$31</f>
        <v>-403.91999999999996</v>
      </c>
      <c r="DH31" s="453">
        <f t="shared" si="249"/>
        <v>-271.8</v>
      </c>
      <c r="DI31" s="453">
        <f t="shared" si="249"/>
        <v>1049.6877121105363</v>
      </c>
      <c r="DK31" s="730">
        <f t="shared" si="203"/>
        <v>12973.844893508416</v>
      </c>
      <c r="DL31" s="453">
        <f t="shared" si="204"/>
        <v>489.57905258522322</v>
      </c>
      <c r="DM31" s="476">
        <f t="shared" si="205"/>
        <v>559.57905258522328</v>
      </c>
      <c r="DN31" s="340"/>
      <c r="DR31" s="473" t="str">
        <f>BC105</f>
        <v>Hạt nhựa rPET WSS01G 2</v>
      </c>
      <c r="DS31" s="473"/>
      <c r="DT31" s="777" t="s">
        <v>872</v>
      </c>
      <c r="DU31" s="479">
        <f>AZ105</f>
        <v>22604.464742076201</v>
      </c>
      <c r="DV31" s="479">
        <f>DV6</f>
        <v>15154.794283157262</v>
      </c>
      <c r="DW31" s="479">
        <f>DW6</f>
        <v>7434.3302951022997</v>
      </c>
      <c r="DX31" s="479"/>
      <c r="DY31" s="479"/>
      <c r="DZ31" s="479"/>
      <c r="EA31" s="479"/>
      <c r="EB31" s="479">
        <f>EB6</f>
        <v>2000.939404729972</v>
      </c>
      <c r="EC31" s="479">
        <f>EC6</f>
        <v>0</v>
      </c>
      <c r="ED31" s="479"/>
      <c r="EE31" s="479">
        <f t="shared" ref="EE31" si="251">SUM(DV31:EC31)</f>
        <v>24590.063982989534</v>
      </c>
      <c r="EF31" s="479">
        <v>24986.472927073384</v>
      </c>
      <c r="EG31" s="479">
        <f>EE31/$EG$1</f>
        <v>927.926942754322</v>
      </c>
      <c r="EI31" s="479">
        <f>EI6</f>
        <v>2173</v>
      </c>
      <c r="EJ31" s="479">
        <f>EJ6</f>
        <v>1166</v>
      </c>
      <c r="EK31" s="479">
        <f>EK6</f>
        <v>371</v>
      </c>
      <c r="EL31" s="480">
        <f>SUM(EI31:EK31)</f>
        <v>3710</v>
      </c>
      <c r="EM31" s="475">
        <f t="shared" ref="EM31" si="252">EE31+EL31</f>
        <v>28300.063982989534</v>
      </c>
      <c r="EN31" s="479">
        <f>EG31+$EN$1</f>
        <v>1067.926942754322</v>
      </c>
      <c r="EO31" s="463">
        <f>EO10</f>
        <v>50</v>
      </c>
      <c r="EP31" s="739">
        <f t="shared" ref="EP31" si="253">EN31+EO31</f>
        <v>1117.926942754322</v>
      </c>
      <c r="EQ31" s="471"/>
      <c r="ER31" s="739">
        <f t="shared" ref="ER31" si="254">SUM(DV31,EA31,DX31:DZ31)/$EG$1</f>
        <v>571.87902955310426</v>
      </c>
      <c r="ES31" s="739">
        <f>(SUM(DW31,EB31,EC31,EI31:EK31))/$EG$1</f>
        <v>496.0479132012178</v>
      </c>
      <c r="ET31" s="739">
        <f t="shared" ref="ET31" si="255">EO31</f>
        <v>50</v>
      </c>
      <c r="EU31" s="739">
        <f t="shared" ref="EU31" si="256">SUM(ER31:ET31)</f>
        <v>1117.926942754322</v>
      </c>
      <c r="EW31" s="739">
        <f>SUM(DV31,DZ31,EA31)</f>
        <v>15154.794283157262</v>
      </c>
      <c r="EX31" s="739">
        <f>(SUM(DW31,EB31,EC31,EI31:EK31))+EO31*$EG$1</f>
        <v>14470.269699832272</v>
      </c>
      <c r="EY31" s="739">
        <f t="shared" ref="EY31" si="257">EO31*$EG$1</f>
        <v>1325</v>
      </c>
      <c r="EZ31" s="739">
        <f t="shared" ref="EZ31" si="258">SUM(EW31:EX31)</f>
        <v>29625.063982989534</v>
      </c>
      <c r="FB31" s="739">
        <f>DV31/$EG$1</f>
        <v>571.87902955310426</v>
      </c>
      <c r="FC31" s="739">
        <f>SUM(DX31:EA31)/$EG$1</f>
        <v>0</v>
      </c>
      <c r="FD31" s="739">
        <f>(SUM(EL31,EP31,EQ31,EV31:EX31))/$EG$1</f>
        <v>1300.1128651224096</v>
      </c>
      <c r="FE31" s="739">
        <f>SUM(EI31:EK31)/$EG$1</f>
        <v>140</v>
      </c>
      <c r="FF31" s="739">
        <f t="shared" ref="FF31" si="259">ET31</f>
        <v>50</v>
      </c>
      <c r="FG31" s="739">
        <f t="shared" ref="FG31" si="260">SUM(FB31:FD31)</f>
        <v>1871.9918946755138</v>
      </c>
      <c r="FH31" s="735">
        <f t="shared" ref="FH31" si="261">FG31-EU31</f>
        <v>754.06495192119178</v>
      </c>
      <c r="FI31" s="739">
        <f>DV31</f>
        <v>15154.794283157262</v>
      </c>
      <c r="FJ31" s="739">
        <f>SUM(DX31:EA31)</f>
        <v>0</v>
      </c>
      <c r="FK31" s="739">
        <f>SUM(DW31,EB31,EC31)</f>
        <v>9435.2696998322717</v>
      </c>
      <c r="FL31" s="739">
        <f>SUM(EI31:EK31)</f>
        <v>3710</v>
      </c>
      <c r="FM31" s="739">
        <f t="shared" ref="FM31" si="262">EY31</f>
        <v>1325</v>
      </c>
      <c r="FN31" s="739">
        <f t="shared" ref="FN31" si="263">SUM(FI31:FM31)</f>
        <v>29625.063982989534</v>
      </c>
      <c r="FP31" s="526">
        <f>(FF31+FE31)/FG31</f>
        <v>0.10149616595051236</v>
      </c>
      <c r="FQ31" s="526">
        <f>FF31/FG31</f>
        <v>2.6709517355397991E-2</v>
      </c>
      <c r="FS31" s="739">
        <f>FS30</f>
        <v>0</v>
      </c>
      <c r="FT31" s="474">
        <f t="shared" ref="FT31" si="264">FS31-SUM(FB31:FD31)</f>
        <v>-1871.9918946755138</v>
      </c>
      <c r="FU31" s="948" t="e">
        <f t="shared" ref="FU31" si="265">FT31/FS31</f>
        <v>#DIV/0!</v>
      </c>
      <c r="FV31" s="944">
        <f t="shared" ref="FV31" si="266">FS31-FG31</f>
        <v>-1871.9918946755138</v>
      </c>
      <c r="FW31" s="296" t="e">
        <f t="shared" ref="FW31" si="267">FV31/FS31</f>
        <v>#DIV/0!</v>
      </c>
    </row>
    <row r="32" spans="11:179" ht="30.5" x14ac:dyDescent="0.35">
      <c r="K32" s="353"/>
      <c r="V32" s="343"/>
      <c r="AI32" s="928"/>
      <c r="AJ32" s="843"/>
      <c r="AK32" s="844"/>
      <c r="AS32" s="353"/>
      <c r="AW32" s="353"/>
      <c r="AZ32" s="467">
        <f>$AZ$25/$BB$25*BB32</f>
        <v>21401.465093660227</v>
      </c>
      <c r="BA32" s="357">
        <v>2.7002280465322935E-3</v>
      </c>
      <c r="BB32" s="450">
        <f>BB13</f>
        <v>1.036697247706422</v>
      </c>
      <c r="BC32" s="434" t="s">
        <v>590</v>
      </c>
      <c r="BD32" s="434"/>
      <c r="DQ32" s="491" t="str">
        <f>AX125</f>
        <v>95% B1-A1/A2.1 MN + 5% Hạt WSS03G PL</v>
      </c>
      <c r="DT32" s="772" t="s">
        <v>873</v>
      </c>
    </row>
    <row r="33" spans="4:179" ht="17.25" customHeight="1" x14ac:dyDescent="0.35">
      <c r="K33" s="353"/>
      <c r="V33" s="343"/>
      <c r="AG33" s="453">
        <v>4500</v>
      </c>
      <c r="AH33" s="350">
        <v>9.2999999999999992E-3</v>
      </c>
      <c r="AI33" s="927">
        <f>AG33*AH33</f>
        <v>41.849999999999994</v>
      </c>
      <c r="AJ33" s="858" t="s">
        <v>591</v>
      </c>
      <c r="AK33" s="859"/>
      <c r="AS33" s="353"/>
      <c r="AW33" s="353"/>
      <c r="BA33" s="361"/>
      <c r="BB33" s="361"/>
      <c r="BC33" s="434"/>
      <c r="BD33" s="434"/>
      <c r="CY33" s="570"/>
      <c r="CZ33" s="790" t="s">
        <v>712</v>
      </c>
      <c r="DA33" s="772"/>
      <c r="DB33" s="453"/>
      <c r="DC33" s="453"/>
      <c r="DD33" s="456"/>
      <c r="DE33" s="456"/>
      <c r="DF33" s="484"/>
      <c r="DG33" s="484"/>
      <c r="DH33" s="453"/>
      <c r="DI33" s="453"/>
      <c r="DK33" s="730"/>
      <c r="DL33" s="453"/>
      <c r="DM33" s="476"/>
      <c r="DN33" s="340"/>
      <c r="DR33" s="471" t="str">
        <f>BC107</f>
        <v>Hạt nhựa rPET WSS03G</v>
      </c>
      <c r="DS33" s="471"/>
      <c r="DT33" s="777" t="s">
        <v>872</v>
      </c>
      <c r="DU33" s="474">
        <f>AZ107</f>
        <v>22019.866515988022</v>
      </c>
      <c r="DV33" s="474">
        <f>DV6</f>
        <v>15154.794283157262</v>
      </c>
      <c r="DW33" s="474">
        <f>DW6</f>
        <v>7434.3302951022997</v>
      </c>
      <c r="DX33" s="474"/>
      <c r="DY33" s="474"/>
      <c r="DZ33" s="474"/>
      <c r="EA33" s="474"/>
      <c r="EB33" s="474">
        <f>EB6</f>
        <v>2000.939404729972</v>
      </c>
      <c r="EC33" s="474">
        <f>EC6</f>
        <v>0</v>
      </c>
      <c r="ED33" s="474"/>
      <c r="EE33" s="474">
        <f t="shared" ref="EE33" si="268">SUM(DV33:EC33)</f>
        <v>24590.063982989534</v>
      </c>
      <c r="EF33" s="474">
        <v>24986.472927073384</v>
      </c>
      <c r="EG33" s="474">
        <f>EE33/$EG$1</f>
        <v>927.926942754322</v>
      </c>
      <c r="EI33" s="474">
        <f>EI6</f>
        <v>2173</v>
      </c>
      <c r="EJ33" s="474">
        <f>EJ6</f>
        <v>1166</v>
      </c>
      <c r="EK33" s="474">
        <f>EK6</f>
        <v>371</v>
      </c>
      <c r="EL33" s="475">
        <f>SUM(EI33:EK33)</f>
        <v>3710</v>
      </c>
      <c r="EM33" s="475">
        <f t="shared" ref="EM33" si="269">EE33+EL33</f>
        <v>28300.063982989534</v>
      </c>
      <c r="EN33" s="474">
        <f>EG33+$EN$1</f>
        <v>1067.926942754322</v>
      </c>
      <c r="EO33" s="463">
        <f>EO12</f>
        <v>50</v>
      </c>
      <c r="EP33" s="739">
        <f t="shared" ref="EP33" si="270">EN33+EO33</f>
        <v>1117.926942754322</v>
      </c>
      <c r="EQ33" s="471"/>
      <c r="ER33" s="739">
        <f t="shared" ref="ER33" si="271">SUM(DV33,EA33,DX33:DZ33)/$EG$1</f>
        <v>571.87902955310426</v>
      </c>
      <c r="ES33" s="739">
        <f>(SUM(DW33,EB33,EC33,EI33:EK33))/$EG$1</f>
        <v>496.0479132012178</v>
      </c>
      <c r="ET33" s="739">
        <f t="shared" ref="ET33" si="272">EO33</f>
        <v>50</v>
      </c>
      <c r="EU33" s="739">
        <f t="shared" ref="EU33" si="273">SUM(ER33:ET33)</f>
        <v>1117.926942754322</v>
      </c>
      <c r="EW33" s="739">
        <f>SUM(DV33,DZ33,EA33)</f>
        <v>15154.794283157262</v>
      </c>
      <c r="EX33" s="739">
        <f>(SUM(DW33,EB33,EC33,EI33:EK33))+EO33*$EG$1</f>
        <v>14470.269699832272</v>
      </c>
      <c r="EY33" s="739">
        <f t="shared" ref="EY33" si="274">EO33*$EG$1</f>
        <v>1325</v>
      </c>
      <c r="EZ33" s="739">
        <f t="shared" ref="EZ33" si="275">SUM(EW33:EX33)</f>
        <v>29625.063982989534</v>
      </c>
      <c r="FB33" s="739">
        <f>DV33/$EG$1</f>
        <v>571.87902955310426</v>
      </c>
      <c r="FC33" s="739">
        <f>SUM(DX33:EA33)/$EG$1</f>
        <v>0</v>
      </c>
      <c r="FD33" s="739">
        <f>(SUM(EL33,EP33,EQ33,EV33:EX33))/$EG$1</f>
        <v>1300.1128651224096</v>
      </c>
      <c r="FE33" s="739">
        <f>SUM(EI33:EK33)/$EG$1</f>
        <v>140</v>
      </c>
      <c r="FF33" s="739">
        <f t="shared" ref="FF33" si="276">ET33</f>
        <v>50</v>
      </c>
      <c r="FG33" s="739">
        <f t="shared" ref="FG33" si="277">SUM(FB33:FD33)</f>
        <v>1871.9918946755138</v>
      </c>
      <c r="FH33" s="735">
        <f t="shared" ref="FH33" si="278">FG33-EU33</f>
        <v>754.06495192119178</v>
      </c>
      <c r="FI33" s="739">
        <f>DV33</f>
        <v>15154.794283157262</v>
      </c>
      <c r="FJ33" s="739">
        <f>SUM(DX33:EA33)</f>
        <v>0</v>
      </c>
      <c r="FK33" s="739">
        <f>SUM(DW33,EB33,EC33)</f>
        <v>9435.2696998322717</v>
      </c>
      <c r="FL33" s="739">
        <f>SUM(EI33:EK33)</f>
        <v>3710</v>
      </c>
      <c r="FM33" s="739">
        <f t="shared" ref="FM33" si="279">EY33</f>
        <v>1325</v>
      </c>
      <c r="FN33" s="739">
        <f t="shared" ref="FN33" si="280">SUM(FI33:FM33)</f>
        <v>29625.063982989534</v>
      </c>
      <c r="FP33" s="526">
        <f>(FF33+FE33)/FG33</f>
        <v>0.10149616595051236</v>
      </c>
      <c r="FQ33" s="526">
        <f>FF33/FG33</f>
        <v>2.6709517355397991E-2</v>
      </c>
      <c r="FS33" s="739">
        <f>FS32</f>
        <v>0</v>
      </c>
      <c r="FT33" s="474">
        <f t="shared" ref="FT33" si="281">FS33-SUM(FB33:FD33)</f>
        <v>-1871.9918946755138</v>
      </c>
      <c r="FU33" s="948" t="e">
        <f t="shared" ref="FU33" si="282">FT33/FS33</f>
        <v>#DIV/0!</v>
      </c>
      <c r="FV33" s="944">
        <f t="shared" ref="FV33" si="283">FS33-FG33</f>
        <v>-1871.9918946755138</v>
      </c>
      <c r="FW33" s="296" t="e">
        <f t="shared" ref="FW33" si="284">FV33/FS33</f>
        <v>#DIV/0!</v>
      </c>
    </row>
    <row r="34" spans="4:179" ht="17.25" customHeight="1" x14ac:dyDescent="0.35">
      <c r="K34" s="353"/>
      <c r="V34" s="343"/>
      <c r="AI34" s="928"/>
      <c r="AJ34" s="860"/>
      <c r="AK34" s="861"/>
      <c r="AS34" s="353"/>
      <c r="AW34" s="353"/>
      <c r="BA34" s="357"/>
      <c r="BB34" s="684">
        <f>SUM(BB35:BB39)</f>
        <v>493.05795916764248</v>
      </c>
      <c r="BC34" s="436"/>
      <c r="BD34" s="436"/>
      <c r="CY34" s="465"/>
      <c r="CZ34" s="387">
        <f>AH95</f>
        <v>0.91300000000000003</v>
      </c>
      <c r="DA34" s="772"/>
      <c r="DB34" s="453"/>
      <c r="DC34" s="453"/>
      <c r="DD34" s="456"/>
      <c r="DE34" s="456"/>
      <c r="DF34" s="484"/>
      <c r="DG34" s="484"/>
      <c r="DH34" s="453"/>
      <c r="DI34" s="453"/>
      <c r="DK34" s="730"/>
      <c r="DL34" s="453"/>
      <c r="DM34" s="476"/>
      <c r="DN34" s="340"/>
      <c r="DQ34" s="489" t="str">
        <f>AX148</f>
        <v>85.5% B1-A2.2 DT/MN + 9.5% B6.2-A1/A2 + 5% Hạt WSS03G PL</v>
      </c>
      <c r="DT34" s="772" t="s">
        <v>873</v>
      </c>
    </row>
    <row r="35" spans="4:179" x14ac:dyDescent="0.35">
      <c r="K35" s="353"/>
      <c r="V35" s="343"/>
      <c r="AG35" s="463">
        <f>Z5</f>
        <v>19031.539551812475</v>
      </c>
      <c r="AH35" s="388">
        <v>2.7300000000000001E-2</v>
      </c>
      <c r="AI35" s="741">
        <f>AG35*AH35</f>
        <v>519.56102976448062</v>
      </c>
      <c r="AJ35" s="890" t="s">
        <v>482</v>
      </c>
      <c r="AK35" s="891"/>
      <c r="AS35" s="353"/>
      <c r="AW35" s="353"/>
      <c r="AZ35" s="453">
        <v>14000</v>
      </c>
      <c r="BA35" s="362">
        <v>3.007072142729145E-2</v>
      </c>
      <c r="BB35" s="683">
        <f>AZ35*BA35</f>
        <v>420.99009998208032</v>
      </c>
      <c r="BC35" s="431" t="s">
        <v>573</v>
      </c>
      <c r="BD35" s="430"/>
      <c r="CY35" s="765" t="str">
        <f>LEFT($CH$2,3)&amp;" "&amp;RIGHT(BK12,2)&amp;"_"&amp;RIGHT($CH$2,3)&amp;" DT"</f>
        <v>Vảy B5_ A1 DT</v>
      </c>
      <c r="CZ35" s="765"/>
      <c r="DA35" s="777" t="s">
        <v>872</v>
      </c>
      <c r="DB35" s="482">
        <f>BZ12/CZ34</f>
        <v>16490.088528809447</v>
      </c>
      <c r="DC35" s="482">
        <f>CL12</f>
        <v>11727.566457202242</v>
      </c>
      <c r="DD35" s="484">
        <f t="shared" ref="DD35:DI35" si="285">CM12</f>
        <v>3113.5132187262589</v>
      </c>
      <c r="DE35" s="484">
        <f t="shared" si="285"/>
        <v>2042.6615365621933</v>
      </c>
      <c r="DF35" s="482">
        <f t="shared" si="285"/>
        <v>1273.8558498087386</v>
      </c>
      <c r="DG35" s="482">
        <f t="shared" si="285"/>
        <v>-524.70553837633918</v>
      </c>
      <c r="DH35" s="482">
        <f t="shared" si="285"/>
        <v>-489.5</v>
      </c>
      <c r="DI35" s="482">
        <f t="shared" si="285"/>
        <v>1649.0088528809445</v>
      </c>
      <c r="DK35" s="731">
        <f t="shared" ref="DK35:DK40" si="286">SUM(DC35:DI35)</f>
        <v>18792.400376804038</v>
      </c>
      <c r="DL35" s="453">
        <f t="shared" ref="DL35:DL40" si="287">DK35/$CU$2</f>
        <v>709.14718403034112</v>
      </c>
      <c r="DM35" s="494">
        <f t="shared" ref="DM35:DM40" si="288">$CV$2+DL35</f>
        <v>779.14718403034112</v>
      </c>
      <c r="DN35" s="784">
        <f>DM35/$DM$39</f>
        <v>1.5649789078615919</v>
      </c>
      <c r="DU35" s="387">
        <f>BD210</f>
        <v>0.75905330750481881</v>
      </c>
      <c r="DV35" s="387"/>
      <c r="DW35" s="387"/>
      <c r="DX35" s="387"/>
      <c r="DY35" s="387"/>
      <c r="DZ35" s="387"/>
      <c r="EA35" s="387"/>
      <c r="EB35" s="387"/>
      <c r="EC35" s="387"/>
      <c r="ED35" s="387"/>
      <c r="EE35" s="387"/>
      <c r="EG35" s="387"/>
    </row>
    <row r="36" spans="4:179" x14ac:dyDescent="0.35">
      <c r="K36" s="353"/>
      <c r="V36" s="343"/>
      <c r="AI36" s="741"/>
      <c r="AJ36" s="892"/>
      <c r="AK36" s="893"/>
      <c r="AS36" s="353"/>
      <c r="AW36" s="353"/>
      <c r="AZ36" s="453"/>
      <c r="BA36" s="343"/>
      <c r="BB36" s="343"/>
      <c r="BC36" s="430"/>
      <c r="BD36" s="430"/>
      <c r="CY36" s="768"/>
      <c r="CZ36" s="387">
        <v>1</v>
      </c>
      <c r="DA36" s="772" t="s">
        <v>873</v>
      </c>
      <c r="DB36" s="484">
        <f>DB35</f>
        <v>16490.088528809447</v>
      </c>
      <c r="DC36" s="453">
        <f t="shared" ref="DC36" si="289">DC35</f>
        <v>11727.566457202242</v>
      </c>
      <c r="DD36" s="456">
        <f>AJ93</f>
        <v>3113.5132187262589</v>
      </c>
      <c r="DE36" s="456">
        <f>+CC13</f>
        <v>3240.9192930660097</v>
      </c>
      <c r="DF36" s="484">
        <f>DF29</f>
        <v>1610.8482620845953</v>
      </c>
      <c r="DG36" s="482">
        <f>CP13</f>
        <v>-479.05615653759764</v>
      </c>
      <c r="DH36" s="453">
        <f>DH35</f>
        <v>-489.5</v>
      </c>
      <c r="DI36" s="453">
        <f t="shared" ref="DI36" si="290">DI35</f>
        <v>1649.0088528809445</v>
      </c>
      <c r="DK36" s="730">
        <f t="shared" si="286"/>
        <v>20373.299927422449</v>
      </c>
      <c r="DL36" s="453">
        <f t="shared" si="287"/>
        <v>768.80377084613019</v>
      </c>
      <c r="DM36" s="476">
        <f t="shared" si="288"/>
        <v>838.80377084613019</v>
      </c>
      <c r="DN36" s="785"/>
      <c r="DP36" s="471" t="str">
        <f>AT213</f>
        <v xml:space="preserve">Tạo hạt WSS03G </v>
      </c>
      <c r="DQ36" s="489"/>
      <c r="DR36" s="471" t="str">
        <f>BC211</f>
        <v>Hạt nhựa rPET WSS03G</v>
      </c>
      <c r="DS36" s="471"/>
      <c r="DT36" s="777" t="s">
        <v>872</v>
      </c>
      <c r="DU36" s="475">
        <f>AZ210</f>
        <v>20456.108552955662</v>
      </c>
      <c r="DV36" s="475">
        <f>DV6</f>
        <v>15154.794283157262</v>
      </c>
      <c r="DW36" s="475">
        <f>DW6</f>
        <v>7434.3302951022997</v>
      </c>
      <c r="DX36" s="475"/>
      <c r="DY36" s="475"/>
      <c r="DZ36" s="475"/>
      <c r="EA36" s="475"/>
      <c r="EB36" s="475">
        <f>EB6</f>
        <v>2000.939404729972</v>
      </c>
      <c r="EC36" s="475">
        <f>EC6</f>
        <v>0</v>
      </c>
      <c r="ED36" s="475"/>
      <c r="EE36" s="475">
        <f t="shared" ref="EE36" si="291">SUM(DV36:EC36)</f>
        <v>24590.063982989534</v>
      </c>
      <c r="EF36" s="474">
        <v>24986.472927073384</v>
      </c>
      <c r="EG36" s="475">
        <f>EE36/$EG$1</f>
        <v>927.926942754322</v>
      </c>
      <c r="EI36" s="474">
        <f>EI6</f>
        <v>2173</v>
      </c>
      <c r="EJ36" s="474">
        <f>EJ6</f>
        <v>1166</v>
      </c>
      <c r="EK36" s="474">
        <f>EK6</f>
        <v>371</v>
      </c>
      <c r="EL36" s="475">
        <f>SUM(EI36:EK36)</f>
        <v>3710</v>
      </c>
      <c r="EM36" s="475">
        <f t="shared" ref="EM36" si="292">EE36+EL36</f>
        <v>28300.063982989534</v>
      </c>
      <c r="EN36" s="474">
        <f>EG36+$EN$1</f>
        <v>1067.926942754322</v>
      </c>
      <c r="EO36" s="463">
        <f>EO12</f>
        <v>50</v>
      </c>
      <c r="EP36" s="739">
        <f t="shared" ref="EP36" si="293">EN36+EO36</f>
        <v>1117.926942754322</v>
      </c>
      <c r="EQ36" s="471"/>
      <c r="ER36" s="739">
        <f t="shared" ref="ER36" si="294">SUM(DV36,EA36,DX36:DZ36)/$EG$1</f>
        <v>571.87902955310426</v>
      </c>
      <c r="ES36" s="739">
        <f>(SUM(DW36,EB36,EC36,EI36:EK36))/$EG$1</f>
        <v>496.0479132012178</v>
      </c>
      <c r="ET36" s="739">
        <f t="shared" ref="ET36" si="295">EO36</f>
        <v>50</v>
      </c>
      <c r="EU36" s="739">
        <f t="shared" ref="EU36" si="296">SUM(ER36:ET36)</f>
        <v>1117.926942754322</v>
      </c>
      <c r="EW36" s="739">
        <f>SUM(DV36,DZ36,EA36)</f>
        <v>15154.794283157262</v>
      </c>
      <c r="EX36" s="739">
        <f>(SUM(DW36,EB36,EC36,EI36:EK36))+EO36*$EG$1</f>
        <v>14470.269699832272</v>
      </c>
      <c r="EY36" s="739">
        <f t="shared" ref="EY36" si="297">EO36*$EG$1</f>
        <v>1325</v>
      </c>
      <c r="EZ36" s="739">
        <f t="shared" ref="EZ36" si="298">SUM(EW36:EX36)</f>
        <v>29625.063982989534</v>
      </c>
      <c r="FB36" s="739">
        <f>DV36/$EG$1</f>
        <v>571.87902955310426</v>
      </c>
      <c r="FC36" s="739">
        <f>SUM(DX36:EA36)/$EG$1</f>
        <v>0</v>
      </c>
      <c r="FD36" s="739">
        <f>(SUM(EL36,EP36,EQ36,EV36:EX36))/$EG$1</f>
        <v>1300.1128651224096</v>
      </c>
      <c r="FE36" s="739">
        <f>SUM(EI36:EK36)/$EG$1</f>
        <v>140</v>
      </c>
      <c r="FF36" s="739">
        <f t="shared" ref="FF36" si="299">ET36</f>
        <v>50</v>
      </c>
      <c r="FG36" s="739">
        <f t="shared" ref="FG36" si="300">SUM(FB36:FD36)</f>
        <v>1871.9918946755138</v>
      </c>
      <c r="FH36" s="735">
        <f t="shared" ref="FH36" si="301">FG36-EU36</f>
        <v>754.06495192119178</v>
      </c>
      <c r="FI36" s="739">
        <f>DV36</f>
        <v>15154.794283157262</v>
      </c>
      <c r="FJ36" s="739">
        <f>SUM(DX36:EA36)</f>
        <v>0</v>
      </c>
      <c r="FK36" s="739">
        <f>SUM(DW36,EB36,EC36)</f>
        <v>9435.2696998322717</v>
      </c>
      <c r="FL36" s="739">
        <f>SUM(EI36:EK36)</f>
        <v>3710</v>
      </c>
      <c r="FM36" s="739">
        <f t="shared" ref="FM36" si="302">EY36</f>
        <v>1325</v>
      </c>
      <c r="FN36" s="739">
        <f t="shared" ref="FN36" si="303">SUM(FI36:FM36)</f>
        <v>29625.063982989534</v>
      </c>
      <c r="FP36" s="526">
        <f>(FF36+FE36)/FG36</f>
        <v>0.10149616595051236</v>
      </c>
      <c r="FQ36" s="526">
        <f>FF36/FG36</f>
        <v>2.6709517355397991E-2</v>
      </c>
      <c r="FS36" s="739">
        <f>FS35</f>
        <v>0</v>
      </c>
      <c r="FT36" s="474">
        <f t="shared" ref="FT36" si="304">FS36-SUM(FB36:FD36)</f>
        <v>-1871.9918946755138</v>
      </c>
      <c r="FU36" s="948" t="e">
        <f t="shared" ref="FU36" si="305">FT36/FS36</f>
        <v>#DIV/0!</v>
      </c>
      <c r="FV36" s="944">
        <f t="shared" ref="FV36" si="306">FS36-FG36</f>
        <v>-1871.9918946755138</v>
      </c>
      <c r="FW36" s="296" t="e">
        <f t="shared" ref="FW36" si="307">FV36/FS36</f>
        <v>#DIV/0!</v>
      </c>
    </row>
    <row r="37" spans="4:179" ht="45.5" x14ac:dyDescent="0.35">
      <c r="K37" s="353"/>
      <c r="V37" s="343"/>
      <c r="AS37" s="353"/>
      <c r="AW37" s="353"/>
      <c r="AZ37" s="453">
        <v>6500</v>
      </c>
      <c r="BA37" s="350">
        <v>4.4406477601608351E-3</v>
      </c>
      <c r="BB37" s="683">
        <f>AZ37*BA37</f>
        <v>28.864210441045429</v>
      </c>
      <c r="BC37" s="431" t="s">
        <v>576</v>
      </c>
      <c r="BD37" s="432"/>
      <c r="CY37" s="465" t="str">
        <f>LEFT($CH$2,3)&amp;" "&amp;RIGHT($BK$12,2)&amp;"_"&amp;"A"&amp;"2"&amp;" DT"</f>
        <v>Vảy B5_A2 DT</v>
      </c>
      <c r="CZ37" s="765"/>
      <c r="DA37" s="777" t="s">
        <v>872</v>
      </c>
      <c r="DB37" s="476">
        <f>DB35*$CZ$38</f>
        <v>13192.070823047557</v>
      </c>
      <c r="DC37" s="476">
        <f t="shared" ref="DC37:DI37" si="308">DC35*$CZ$38</f>
        <v>9382.0531657617939</v>
      </c>
      <c r="DD37" s="456">
        <f t="shared" si="308"/>
        <v>2490.8105749810074</v>
      </c>
      <c r="DE37" s="456">
        <f t="shared" ref="DE37" si="309">DE35*$CZ$38</f>
        <v>1634.1292292497546</v>
      </c>
      <c r="DF37" s="476">
        <f>DF35*$CZ$38</f>
        <v>1019.084679846991</v>
      </c>
      <c r="DG37" s="476">
        <f>DG35*$CZ$38</f>
        <v>-419.76443070107138</v>
      </c>
      <c r="DH37" s="476">
        <f t="shared" si="308"/>
        <v>-391.6</v>
      </c>
      <c r="DI37" s="476">
        <f t="shared" si="308"/>
        <v>1319.2070823047557</v>
      </c>
      <c r="DK37" s="731">
        <f t="shared" si="286"/>
        <v>15033.920301443231</v>
      </c>
      <c r="DL37" s="453">
        <f t="shared" si="287"/>
        <v>567.31774722427292</v>
      </c>
      <c r="DM37" s="494">
        <f t="shared" si="288"/>
        <v>637.31774722427292</v>
      </c>
      <c r="DN37" s="784">
        <f>DM37/$DM$39</f>
        <v>1.2801032365317679</v>
      </c>
      <c r="DQ37" s="489" t="str">
        <f>AX213</f>
        <v>30%  B1-A3/A2.2 MN + 15% B2.2-A3/A2 + 55% B6.2 Nạp Star/A2 + 5% Hạt WSS03G PL</v>
      </c>
      <c r="DT37" s="772" t="s">
        <v>873</v>
      </c>
      <c r="DU37" s="387">
        <f>BD225</f>
        <v>0.68603513010398487</v>
      </c>
      <c r="DV37" s="387"/>
      <c r="DW37" s="387"/>
      <c r="DX37" s="387"/>
      <c r="DY37" s="387"/>
      <c r="DZ37" s="387"/>
      <c r="EA37" s="387"/>
      <c r="EB37" s="387"/>
      <c r="EC37" s="387"/>
      <c r="ED37" s="387"/>
      <c r="EE37" s="387"/>
      <c r="EG37" s="387"/>
      <c r="EI37" s="471"/>
      <c r="EJ37" s="471"/>
      <c r="EK37" s="471"/>
      <c r="EL37" s="475"/>
      <c r="EM37" s="475"/>
      <c r="EN37" s="471"/>
    </row>
    <row r="38" spans="4:179" ht="17.5" x14ac:dyDescent="0.35">
      <c r="K38" s="353"/>
      <c r="M38" s="340" t="s">
        <v>47</v>
      </c>
      <c r="N38" s="453">
        <f>$E$5*$L$43</f>
        <v>356.96905016008543</v>
      </c>
      <c r="V38" s="343"/>
      <c r="AI38" s="394" t="s">
        <v>712</v>
      </c>
      <c r="AS38" s="353"/>
      <c r="AW38" s="353"/>
      <c r="BA38" s="343"/>
      <c r="BB38" s="343"/>
      <c r="BC38" s="424"/>
      <c r="BD38" s="425"/>
      <c r="CY38" s="768"/>
      <c r="CZ38" s="387">
        <v>0.8</v>
      </c>
      <c r="DA38" s="772" t="s">
        <v>873</v>
      </c>
      <c r="DB38" s="453">
        <f>DB36*$CZ$38</f>
        <v>13192.070823047557</v>
      </c>
      <c r="DC38" s="453">
        <f t="shared" ref="DC38:DI38" si="310">DC36*$CZ$38</f>
        <v>9382.0531657617939</v>
      </c>
      <c r="DD38" s="456">
        <f t="shared" si="310"/>
        <v>2490.8105749810074</v>
      </c>
      <c r="DE38" s="456">
        <f t="shared" ref="DE38" si="311">DE36*$CZ$38</f>
        <v>2592.735434452808</v>
      </c>
      <c r="DF38" s="453">
        <f>DF36*$CZ$38</f>
        <v>1288.6786096676763</v>
      </c>
      <c r="DG38" s="453">
        <f>DG36*$CZ$38</f>
        <v>-383.24492523007814</v>
      </c>
      <c r="DH38" s="453">
        <f t="shared" si="310"/>
        <v>-391.6</v>
      </c>
      <c r="DI38" s="453">
        <f t="shared" si="310"/>
        <v>1319.2070823047557</v>
      </c>
      <c r="DK38" s="730">
        <f t="shared" si="286"/>
        <v>16298.639941937965</v>
      </c>
      <c r="DL38" s="453">
        <f t="shared" si="287"/>
        <v>615.04301667690436</v>
      </c>
      <c r="DM38" s="476">
        <f t="shared" si="288"/>
        <v>685.04301667690436</v>
      </c>
      <c r="DN38" s="785"/>
      <c r="DR38" s="471" t="str">
        <f>BC226</f>
        <v>Hạt nhựa rPET WSS03G</v>
      </c>
      <c r="DS38" s="471"/>
      <c r="DT38" s="777" t="s">
        <v>872</v>
      </c>
      <c r="DU38" s="475">
        <f>AZ225</f>
        <v>21990.583081320605</v>
      </c>
      <c r="DV38" s="475">
        <f>DV6</f>
        <v>15154.794283157262</v>
      </c>
      <c r="DW38" s="475">
        <f>DW6</f>
        <v>7434.3302951022997</v>
      </c>
      <c r="DX38" s="475"/>
      <c r="DY38" s="475"/>
      <c r="DZ38" s="475"/>
      <c r="EA38" s="475"/>
      <c r="EB38" s="475">
        <f>EB6</f>
        <v>2000.939404729972</v>
      </c>
      <c r="EC38" s="475">
        <f>EC6</f>
        <v>0</v>
      </c>
      <c r="ED38" s="475"/>
      <c r="EE38" s="475">
        <f t="shared" ref="EE38" si="312">SUM(DV38:EC38)</f>
        <v>24590.063982989534</v>
      </c>
      <c r="EF38" s="474">
        <v>24986.472927073384</v>
      </c>
      <c r="EG38" s="475">
        <f>EE38/$EG$1</f>
        <v>927.926942754322</v>
      </c>
      <c r="EI38" s="474">
        <f>EI6</f>
        <v>2173</v>
      </c>
      <c r="EJ38" s="474">
        <f>EJ6</f>
        <v>1166</v>
      </c>
      <c r="EK38" s="474">
        <f>EK6</f>
        <v>371</v>
      </c>
      <c r="EL38" s="475">
        <f>SUM(EI38:EK38)</f>
        <v>3710</v>
      </c>
      <c r="EM38" s="475">
        <f t="shared" ref="EM38" si="313">EE38+EL38</f>
        <v>28300.063982989534</v>
      </c>
      <c r="EN38" s="474">
        <f>EG38+$EN$1</f>
        <v>1067.926942754322</v>
      </c>
      <c r="EO38" s="463">
        <f>EO12</f>
        <v>50</v>
      </c>
      <c r="EP38" s="739">
        <f t="shared" ref="EP38" si="314">EN38+EO38</f>
        <v>1117.926942754322</v>
      </c>
      <c r="EQ38" s="471"/>
      <c r="ER38" s="739">
        <f t="shared" ref="ER38" si="315">SUM(DV38,EA38,DX38:DZ38)/$EG$1</f>
        <v>571.87902955310426</v>
      </c>
      <c r="ES38" s="739">
        <f>(SUM(DW38,EB38,EC38,EI38:EK38))/$EG$1</f>
        <v>496.0479132012178</v>
      </c>
      <c r="ET38" s="739">
        <f t="shared" ref="ET38" si="316">EO38</f>
        <v>50</v>
      </c>
      <c r="EU38" s="739">
        <f t="shared" ref="EU38" si="317">SUM(ER38:ET38)</f>
        <v>1117.926942754322</v>
      </c>
      <c r="EW38" s="739">
        <f>SUM(DV38,DZ38,EA38)</f>
        <v>15154.794283157262</v>
      </c>
      <c r="EX38" s="739">
        <f>(SUM(DW38,EB38,EC38,EI38:EK38))+EO38*$EG$1</f>
        <v>14470.269699832272</v>
      </c>
      <c r="EY38" s="739">
        <f t="shared" ref="EY38" si="318">EO38*$EG$1</f>
        <v>1325</v>
      </c>
      <c r="EZ38" s="739">
        <f t="shared" ref="EZ38" si="319">SUM(EW38:EX38)</f>
        <v>29625.063982989534</v>
      </c>
      <c r="FB38" s="739">
        <f>DV38/$EG$1</f>
        <v>571.87902955310426</v>
      </c>
      <c r="FC38" s="739">
        <f>SUM(DX38:EA38)/$EG$1</f>
        <v>0</v>
      </c>
      <c r="FD38" s="739">
        <f>(SUM(EL38,EP38,EQ38,EV38:EX38))/$EG$1</f>
        <v>1300.1128651224096</v>
      </c>
      <c r="FE38" s="739">
        <f>SUM(EI38:EK38)/$EG$1</f>
        <v>140</v>
      </c>
      <c r="FF38" s="739">
        <f t="shared" ref="FF38" si="320">ET38</f>
        <v>50</v>
      </c>
      <c r="FG38" s="739">
        <f t="shared" ref="FG38" si="321">SUM(FB38:FD38)</f>
        <v>1871.9918946755138</v>
      </c>
      <c r="FH38" s="735">
        <f t="shared" ref="FH38" si="322">FG38-EU38</f>
        <v>754.06495192119178</v>
      </c>
      <c r="FI38" s="739">
        <f>DV38</f>
        <v>15154.794283157262</v>
      </c>
      <c r="FJ38" s="739">
        <f>SUM(DX38:EA38)</f>
        <v>0</v>
      </c>
      <c r="FK38" s="739">
        <f>SUM(DW38,EB38,EC38)</f>
        <v>9435.2696998322717</v>
      </c>
      <c r="FL38" s="739">
        <f>SUM(EI38:EK38)</f>
        <v>3710</v>
      </c>
      <c r="FM38" s="739">
        <f t="shared" ref="FM38" si="323">EY38</f>
        <v>1325</v>
      </c>
      <c r="FN38" s="739">
        <f t="shared" ref="FN38" si="324">SUM(FI38:FM38)</f>
        <v>29625.063982989534</v>
      </c>
      <c r="FP38" s="526">
        <f>(FF38+FE38)/FG38</f>
        <v>0.10149616595051236</v>
      </c>
      <c r="FQ38" s="526">
        <f>FF38/FG38</f>
        <v>2.6709517355397991E-2</v>
      </c>
      <c r="FS38" s="739">
        <f>FS37</f>
        <v>0</v>
      </c>
      <c r="FT38" s="474">
        <f t="shared" ref="FT38" si="325">FS38-SUM(FB38:FD38)</f>
        <v>-1871.9918946755138</v>
      </c>
      <c r="FU38" s="948" t="e">
        <f t="shared" ref="FU38" si="326">FT38/FS38</f>
        <v>#DIV/0!</v>
      </c>
      <c r="FV38" s="944">
        <f t="shared" ref="FV38" si="327">FS38-FG38</f>
        <v>-1871.9918946755138</v>
      </c>
      <c r="FW38" s="296" t="e">
        <f t="shared" ref="FW38" si="328">FV38/FS38</f>
        <v>#DIV/0!</v>
      </c>
    </row>
    <row r="39" spans="4:179" ht="45.5" x14ac:dyDescent="0.35">
      <c r="K39" s="353"/>
      <c r="M39" s="340" t="s">
        <v>653</v>
      </c>
      <c r="N39" s="453">
        <f>(($E$5+$H$5)*$G$5/(1-$G$5)+$H$5)*$L$43</f>
        <v>144.96383256255191</v>
      </c>
      <c r="Q39" s="384" t="s">
        <v>858</v>
      </c>
      <c r="R39" s="340" t="s">
        <v>859</v>
      </c>
      <c r="S39" s="340" t="s">
        <v>860</v>
      </c>
      <c r="T39" s="340" t="s">
        <v>861</v>
      </c>
      <c r="V39" s="343"/>
      <c r="Z39" s="384" t="s">
        <v>858</v>
      </c>
      <c r="AA39" s="340" t="s">
        <v>859</v>
      </c>
      <c r="AB39" s="340" t="s">
        <v>860</v>
      </c>
      <c r="AC39" s="340" t="s">
        <v>861</v>
      </c>
      <c r="AH39" s="384" t="s">
        <v>862</v>
      </c>
      <c r="AI39" s="384" t="s">
        <v>863</v>
      </c>
      <c r="AJ39" s="384" t="s">
        <v>864</v>
      </c>
      <c r="AK39" s="340" t="s">
        <v>861</v>
      </c>
      <c r="AS39" s="353"/>
      <c r="AW39" s="353"/>
      <c r="AZ39" s="453">
        <v>8000</v>
      </c>
      <c r="BA39" s="350">
        <v>5.4004560930645869E-3</v>
      </c>
      <c r="BB39" s="683">
        <f>AZ39*BA39</f>
        <v>43.203648744516698</v>
      </c>
      <c r="BC39" s="422" t="s">
        <v>579</v>
      </c>
      <c r="BD39" s="423"/>
      <c r="CY39" s="465" t="str">
        <f>LEFT($CH$2,3)&amp;" "&amp;RIGHT($BK$12,2)&amp;"_"&amp;"A"&amp;"3"&amp;" DT"</f>
        <v>Vảy B5_A3 DT</v>
      </c>
      <c r="CZ39" s="765"/>
      <c r="DA39" s="777" t="s">
        <v>872</v>
      </c>
      <c r="DB39" s="476">
        <f>DB35*$CZ$40</f>
        <v>9894.0531172856681</v>
      </c>
      <c r="DC39" s="476">
        <f t="shared" ref="DC39:DI39" si="329">DC35*$CZ$40</f>
        <v>7036.5398743213445</v>
      </c>
      <c r="DD39" s="456">
        <f t="shared" si="329"/>
        <v>1868.1079312357551</v>
      </c>
      <c r="DE39" s="456">
        <f t="shared" ref="DE39" si="330">DE35*$CZ$40</f>
        <v>1225.596921937316</v>
      </c>
      <c r="DF39" s="476">
        <f>DF35*$CZ$40</f>
        <v>764.31350988524321</v>
      </c>
      <c r="DG39" s="476">
        <f>DG37*$CZ$40</f>
        <v>-251.85865842064283</v>
      </c>
      <c r="DH39" s="476">
        <f t="shared" si="329"/>
        <v>-293.7</v>
      </c>
      <c r="DI39" s="476">
        <f t="shared" si="329"/>
        <v>989.40531172856663</v>
      </c>
      <c r="DK39" s="731">
        <f t="shared" si="286"/>
        <v>11338.404890687583</v>
      </c>
      <c r="DL39" s="453">
        <f t="shared" si="287"/>
        <v>427.86433549764467</v>
      </c>
      <c r="DM39" s="494">
        <f t="shared" si="288"/>
        <v>497.86433549764467</v>
      </c>
      <c r="DN39" s="784">
        <f>DM39/$DM$39</f>
        <v>1</v>
      </c>
      <c r="DQ39" s="489" t="str">
        <f>AX228</f>
        <v>30% Vảy PET Mix  B2-B3-B7 + 70% Vảy PET B6.2_A3.1</v>
      </c>
      <c r="DT39" s="772" t="s">
        <v>873</v>
      </c>
    </row>
    <row r="40" spans="4:179" x14ac:dyDescent="0.35">
      <c r="K40" s="353"/>
      <c r="M40" s="340" t="s">
        <v>655</v>
      </c>
      <c r="N40" s="455">
        <f>N38+N39</f>
        <v>501.93288272263737</v>
      </c>
      <c r="Q40" s="453"/>
      <c r="R40" s="463"/>
      <c r="V40" s="343"/>
      <c r="Z40" s="468">
        <f>Q41/$Z$42</f>
        <v>11777.269883209681</v>
      </c>
      <c r="AA40" s="468">
        <f>R41/$Z$42</f>
        <v>1655.9976335289914</v>
      </c>
      <c r="AB40" s="468">
        <f t="shared" ref="AB40" si="331">S41/$Z$42</f>
        <v>3126.7088185512425</v>
      </c>
      <c r="AC40" s="463">
        <f>Z41-Z40-AA40-AB40</f>
        <v>0</v>
      </c>
      <c r="AH40" s="468">
        <f>Z40/$AH$42</f>
        <v>12525.013169424312</v>
      </c>
      <c r="AI40" s="468">
        <f t="shared" ref="AI40:AJ40" si="332">AA40/$AH$42</f>
        <v>1761.1375449633003</v>
      </c>
      <c r="AJ40" s="468">
        <f t="shared" si="332"/>
        <v>3325.2247352453924</v>
      </c>
      <c r="AK40" s="463">
        <f>AH41-AH40-AI40-AJ40</f>
        <v>0</v>
      </c>
      <c r="AS40" s="353"/>
      <c r="AW40" s="353"/>
      <c r="BA40" s="343"/>
      <c r="BB40" s="343"/>
      <c r="BC40" s="424"/>
      <c r="BD40" s="425"/>
      <c r="CZ40" s="387">
        <v>0.6</v>
      </c>
      <c r="DA40" s="772" t="s">
        <v>873</v>
      </c>
      <c r="DB40" s="453">
        <f>DB36*$CZ$40</f>
        <v>9894.0531172856681</v>
      </c>
      <c r="DC40" s="453">
        <f t="shared" ref="DC40:DI40" si="333">DC36*$CZ$40</f>
        <v>7036.5398743213445</v>
      </c>
      <c r="DD40" s="456">
        <f t="shared" si="333"/>
        <v>1868.1079312357551</v>
      </c>
      <c r="DE40" s="456">
        <f t="shared" ref="DE40" si="334">DE36*$CZ$40</f>
        <v>1944.5515758396057</v>
      </c>
      <c r="DF40" s="453">
        <f>DF36*$CZ$40</f>
        <v>966.50895725075713</v>
      </c>
      <c r="DG40" s="453">
        <f>DG38*$CZ$40</f>
        <v>-229.94695513804689</v>
      </c>
      <c r="DH40" s="453">
        <f t="shared" si="333"/>
        <v>-293.7</v>
      </c>
      <c r="DI40" s="453">
        <f t="shared" si="333"/>
        <v>989.40531172856663</v>
      </c>
      <c r="DK40" s="730">
        <f t="shared" si="286"/>
        <v>12281.466695237981</v>
      </c>
      <c r="DL40" s="453">
        <f t="shared" si="287"/>
        <v>463.45157340520683</v>
      </c>
      <c r="DM40" s="476">
        <f t="shared" si="288"/>
        <v>533.45157340520677</v>
      </c>
      <c r="DN40" s="340"/>
      <c r="DR40" s="500" t="s">
        <v>545</v>
      </c>
      <c r="DS40" s="500"/>
      <c r="DT40" s="500"/>
      <c r="DU40" s="502">
        <f>BZ14*0.89+BZ10*0.11</f>
        <v>17576.832184358056</v>
      </c>
      <c r="DV40" s="503">
        <f>DV6</f>
        <v>15154.794283157262</v>
      </c>
      <c r="DW40" s="503">
        <f>DW6</f>
        <v>7434.3302951022997</v>
      </c>
      <c r="DX40" s="503"/>
      <c r="DY40" s="503"/>
      <c r="DZ40" s="503"/>
      <c r="EA40" s="503"/>
      <c r="EB40" s="503">
        <f>EB6</f>
        <v>2000.939404729972</v>
      </c>
      <c r="EC40" s="503">
        <f>EC6</f>
        <v>0</v>
      </c>
      <c r="ED40" s="503"/>
      <c r="EE40" s="503">
        <f t="shared" ref="EE40:EE43" si="335">SUM(DV40:EC40)</f>
        <v>24590.063982989534</v>
      </c>
      <c r="EF40" s="474">
        <v>24986.472927073384</v>
      </c>
      <c r="EG40" s="502">
        <f t="shared" ref="EG40:EG42" si="336">EE40/$EG$1</f>
        <v>927.926942754322</v>
      </c>
      <c r="EI40" s="503">
        <f>EI6</f>
        <v>2173</v>
      </c>
      <c r="EJ40" s="585">
        <f>EJ6</f>
        <v>1166</v>
      </c>
      <c r="EK40" s="585">
        <f>EK6</f>
        <v>371</v>
      </c>
      <c r="EL40" s="502">
        <f t="shared" ref="EL40:EL42" si="337">SUM(EI40:EK40)</f>
        <v>3710</v>
      </c>
      <c r="EM40" s="475">
        <f t="shared" ref="EM40:EM43" si="338">EE40+EL40</f>
        <v>28300.063982989534</v>
      </c>
      <c r="EN40" s="503">
        <f>EG40+$EN$1</f>
        <v>1067.926942754322</v>
      </c>
      <c r="EO40" s="463">
        <f>EO38</f>
        <v>50</v>
      </c>
      <c r="EP40" s="739">
        <f t="shared" ref="EP40:EP43" si="339">EN40+EO40</f>
        <v>1117.926942754322</v>
      </c>
      <c r="EQ40" s="471"/>
      <c r="ER40" s="739">
        <f t="shared" ref="ER40:ER43" si="340">SUM(DV40,EA40,DX40:DZ40)/$EG$1</f>
        <v>571.87902955310426</v>
      </c>
      <c r="ES40" s="739">
        <f>(SUM(DW40,EB40,EC40,EI40:EK40))/$EG$1</f>
        <v>496.0479132012178</v>
      </c>
      <c r="ET40" s="739">
        <f t="shared" ref="ET40:ET43" si="341">EO40</f>
        <v>50</v>
      </c>
      <c r="EU40" s="739">
        <f t="shared" ref="EU40:EU43" si="342">SUM(ER40:ET40)</f>
        <v>1117.926942754322</v>
      </c>
      <c r="EW40" s="739">
        <f>SUM(DV40,DZ40,EA40)</f>
        <v>15154.794283157262</v>
      </c>
      <c r="EX40" s="739">
        <f>(SUM(DW40,EB40,EC40,EI40:EK40))+EO40*$EG$1</f>
        <v>14470.269699832272</v>
      </c>
      <c r="EY40" s="739">
        <f t="shared" ref="EY40:EY43" si="343">EO40*$EG$1</f>
        <v>1325</v>
      </c>
      <c r="EZ40" s="739">
        <f t="shared" ref="EZ40:EZ43" si="344">SUM(EW40:EX40)</f>
        <v>29625.063982989534</v>
      </c>
      <c r="FB40" s="739">
        <f>DV40/$EG$1</f>
        <v>571.87902955310426</v>
      </c>
      <c r="FC40" s="739">
        <f>SUM(DX40:EA40)/$EG$1</f>
        <v>0</v>
      </c>
      <c r="FD40" s="739">
        <f>(SUM(EL40,EP40,EQ40,EV40:EX40))/$EG$1</f>
        <v>1300.1128651224096</v>
      </c>
      <c r="FE40" s="739">
        <f t="shared" ref="FE40:FE43" si="345">SUM(EI40:EK40)/$EG$1</f>
        <v>140</v>
      </c>
      <c r="FF40" s="739">
        <f t="shared" ref="FF40:FF43" si="346">ET40</f>
        <v>50</v>
      </c>
      <c r="FG40" s="739">
        <f t="shared" ref="FG40:FG43" si="347">SUM(FB40:FD40)</f>
        <v>1871.9918946755138</v>
      </c>
      <c r="FH40" s="735">
        <f t="shared" ref="FH40:FH43" si="348">FG40-EU40</f>
        <v>754.06495192119178</v>
      </c>
      <c r="FI40" s="739">
        <f t="shared" ref="FI40:FI43" si="349">DV40</f>
        <v>15154.794283157262</v>
      </c>
      <c r="FJ40" s="739">
        <f t="shared" ref="FJ40:FJ43" si="350">SUM(DX40:EA40)</f>
        <v>0</v>
      </c>
      <c r="FK40" s="739">
        <f t="shared" ref="FK40:FK43" si="351">SUM(DW40,EB40,EC40)</f>
        <v>9435.2696998322717</v>
      </c>
      <c r="FL40" s="739">
        <f t="shared" ref="FL40:FL43" si="352">SUM(EI40:EK40)</f>
        <v>3710</v>
      </c>
      <c r="FM40" s="739">
        <f t="shared" ref="FM40:FM43" si="353">EY40</f>
        <v>1325</v>
      </c>
      <c r="FN40" s="739">
        <f t="shared" ref="FN40:FN43" si="354">SUM(FI40:FM40)</f>
        <v>29625.063982989534</v>
      </c>
      <c r="FP40" s="526">
        <f>(FF40+FE40)/FG40</f>
        <v>0.10149616595051236</v>
      </c>
      <c r="FQ40" s="526">
        <f t="shared" ref="FQ40:FQ43" si="355">FF40/FG40</f>
        <v>2.6709517355397991E-2</v>
      </c>
      <c r="FS40" s="739">
        <f t="shared" ref="FS40:FS43" si="356">FS39</f>
        <v>0</v>
      </c>
      <c r="FT40" s="474">
        <f t="shared" ref="FT40:FT43" si="357">FS40-SUM(FB40:FD40)</f>
        <v>-1871.9918946755138</v>
      </c>
      <c r="FU40" s="948" t="e">
        <f t="shared" ref="FU40:FU43" si="358">FT40/FS40</f>
        <v>#DIV/0!</v>
      </c>
      <c r="FV40" s="944">
        <f t="shared" ref="FV40:FV43" si="359">FS40-FG40</f>
        <v>-1871.9918946755138</v>
      </c>
      <c r="FW40" s="296" t="e">
        <f t="shared" ref="FW40:FW43" si="360">FV40/FS40</f>
        <v>#DIV/0!</v>
      </c>
    </row>
    <row r="41" spans="4:179" x14ac:dyDescent="0.35">
      <c r="K41" s="353"/>
      <c r="M41" s="340" t="s">
        <v>725</v>
      </c>
      <c r="N41" s="455">
        <f>N40/($J$43/(1-$G$5))*1000</f>
        <v>15057.98648167912</v>
      </c>
      <c r="O41" s="453">
        <f>'Giá mua Chai-Vảy'!E15</f>
        <v>14800</v>
      </c>
      <c r="P41" s="463">
        <f>N41-O41</f>
        <v>257.98648167911961</v>
      </c>
      <c r="Q41" s="453">
        <f>'Giá mua Chai-Vảy (Giá giảm)'!I25</f>
        <v>10709.071504802563</v>
      </c>
      <c r="R41" s="453">
        <f>'Giá mua Chai-Vảy (Giá giảm)'!K25</f>
        <v>1505.7986481679118</v>
      </c>
      <c r="S41" s="453">
        <f>'Giá mua Chai-Vảy (Giá giảm)'!L25</f>
        <v>2843.1163287086447</v>
      </c>
      <c r="T41" s="463">
        <f>N41-Q41-R41-S41</f>
        <v>0</v>
      </c>
      <c r="V41" s="343"/>
      <c r="Z41" s="465">
        <f>N41/Z42</f>
        <v>16559.976335289914</v>
      </c>
      <c r="AA41" s="465">
        <f>Z41-AA48</f>
        <v>15852.530855343635</v>
      </c>
      <c r="AH41" s="465">
        <f>Z41/AH42</f>
        <v>17611.375449633004</v>
      </c>
      <c r="AI41" s="465">
        <f>AH41-AI50</f>
        <v>17565.385212422225</v>
      </c>
      <c r="AJ41" s="342">
        <f>V43</f>
        <v>0.03</v>
      </c>
      <c r="AK41" s="454">
        <f>N41/AK42</f>
        <v>17611.375449633004</v>
      </c>
      <c r="AS41" s="353"/>
      <c r="AW41" s="353"/>
      <c r="BZ41" s="409">
        <f>$AK42</f>
        <v>0.85501479000000002</v>
      </c>
      <c r="CA41" s="409"/>
      <c r="CB41" s="409"/>
      <c r="CD41" s="409"/>
      <c r="CE41" s="409"/>
      <c r="DQ41" s="501" t="s">
        <v>715</v>
      </c>
      <c r="DR41" s="500" t="s">
        <v>546</v>
      </c>
      <c r="DS41" s="500"/>
      <c r="DT41" s="500"/>
      <c r="DU41" s="502">
        <f>BZ14*0.95+BZ10*0.05</f>
        <v>17716.817148550806</v>
      </c>
      <c r="DV41" s="503">
        <f>DV6</f>
        <v>15154.794283157262</v>
      </c>
      <c r="DW41" s="503">
        <f>DW6</f>
        <v>7434.3302951022997</v>
      </c>
      <c r="DX41" s="503"/>
      <c r="DY41" s="503"/>
      <c r="DZ41" s="503"/>
      <c r="EA41" s="503"/>
      <c r="EB41" s="503">
        <f>EB6</f>
        <v>2000.939404729972</v>
      </c>
      <c r="EC41" s="503">
        <f>EC6</f>
        <v>0</v>
      </c>
      <c r="ED41" s="503"/>
      <c r="EE41" s="503">
        <f t="shared" si="335"/>
        <v>24590.063982989534</v>
      </c>
      <c r="EF41" s="474">
        <v>24986.472927073384</v>
      </c>
      <c r="EG41" s="502">
        <f t="shared" si="336"/>
        <v>927.926942754322</v>
      </c>
      <c r="EI41" s="503">
        <f>EI6</f>
        <v>2173</v>
      </c>
      <c r="EJ41" s="585">
        <f>EJ6</f>
        <v>1166</v>
      </c>
      <c r="EK41" s="585">
        <f>EK6</f>
        <v>371</v>
      </c>
      <c r="EL41" s="502">
        <f t="shared" si="337"/>
        <v>3710</v>
      </c>
      <c r="EM41" s="475">
        <f t="shared" si="338"/>
        <v>28300.063982989534</v>
      </c>
      <c r="EN41" s="503">
        <f>EG41+$EN$1</f>
        <v>1067.926942754322</v>
      </c>
      <c r="EO41" s="463">
        <f>EO40</f>
        <v>50</v>
      </c>
      <c r="EP41" s="739">
        <f t="shared" si="339"/>
        <v>1117.926942754322</v>
      </c>
      <c r="EQ41" s="471"/>
      <c r="ER41" s="739">
        <f t="shared" si="340"/>
        <v>571.87902955310426</v>
      </c>
      <c r="ES41" s="739">
        <f>(SUM(DW41,EB41,EC41,EI41:EK41))/$EG$1</f>
        <v>496.0479132012178</v>
      </c>
      <c r="ET41" s="739">
        <f t="shared" si="341"/>
        <v>50</v>
      </c>
      <c r="EU41" s="739">
        <f t="shared" si="342"/>
        <v>1117.926942754322</v>
      </c>
      <c r="EW41" s="739">
        <f>SUM(DV41,DZ41,EA41)</f>
        <v>15154.794283157262</v>
      </c>
      <c r="EX41" s="739">
        <f>(SUM(DW41,EB41,EC41,EI41:EK41))+EO41*$EG$1</f>
        <v>14470.269699832272</v>
      </c>
      <c r="EY41" s="739">
        <f t="shared" si="343"/>
        <v>1325</v>
      </c>
      <c r="EZ41" s="739">
        <f t="shared" si="344"/>
        <v>29625.063982989534</v>
      </c>
      <c r="FB41" s="739">
        <f t="shared" ref="FB41:FB43" si="361">DV41/$EG$1</f>
        <v>571.87902955310426</v>
      </c>
      <c r="FC41" s="739">
        <f t="shared" ref="FC41:FC43" si="362">SUM(DX41:EA41)/$EG$1</f>
        <v>0</v>
      </c>
      <c r="FD41" s="739">
        <f>(SUM(EL41,EP41,EQ41,EV41:EX41))/$EG$1</f>
        <v>1300.1128651224096</v>
      </c>
      <c r="FE41" s="739">
        <f t="shared" si="345"/>
        <v>140</v>
      </c>
      <c r="FF41" s="739">
        <f t="shared" si="346"/>
        <v>50</v>
      </c>
      <c r="FG41" s="739">
        <f t="shared" si="347"/>
        <v>1871.9918946755138</v>
      </c>
      <c r="FH41" s="735">
        <f t="shared" si="348"/>
        <v>754.06495192119178</v>
      </c>
      <c r="FI41" s="739">
        <f t="shared" si="349"/>
        <v>15154.794283157262</v>
      </c>
      <c r="FJ41" s="739">
        <f t="shared" si="350"/>
        <v>0</v>
      </c>
      <c r="FK41" s="739">
        <f t="shared" si="351"/>
        <v>9435.2696998322717</v>
      </c>
      <c r="FL41" s="739">
        <f t="shared" si="352"/>
        <v>3710</v>
      </c>
      <c r="FM41" s="739">
        <f t="shared" si="353"/>
        <v>1325</v>
      </c>
      <c r="FN41" s="739">
        <f t="shared" si="354"/>
        <v>29625.063982989534</v>
      </c>
      <c r="FP41" s="526">
        <f t="shared" ref="FP41:FP43" si="363">(FF41+FE41)/FG41</f>
        <v>0.10149616595051236</v>
      </c>
      <c r="FQ41" s="526">
        <f t="shared" si="355"/>
        <v>2.6709517355397991E-2</v>
      </c>
      <c r="FS41" s="739">
        <f t="shared" si="356"/>
        <v>0</v>
      </c>
      <c r="FT41" s="474">
        <f t="shared" si="357"/>
        <v>-1871.9918946755138</v>
      </c>
      <c r="FU41" s="948" t="e">
        <f t="shared" si="358"/>
        <v>#DIV/0!</v>
      </c>
      <c r="FV41" s="944">
        <f t="shared" si="359"/>
        <v>-1871.9918946755138</v>
      </c>
      <c r="FW41" s="296" t="e">
        <f t="shared" si="360"/>
        <v>#DIV/0!</v>
      </c>
    </row>
    <row r="42" spans="4:179" x14ac:dyDescent="0.35">
      <c r="K42" s="353"/>
      <c r="V42" s="343"/>
      <c r="Z42" s="417">
        <f>SUM(Z43:Z44)</f>
        <v>0.9093</v>
      </c>
      <c r="AH42" s="416">
        <f>SUM(AH43:AH48)</f>
        <v>0.94030000000000002</v>
      </c>
      <c r="AK42" s="393">
        <f>Z42*AH42</f>
        <v>0.85501479000000002</v>
      </c>
      <c r="AS42" s="353"/>
      <c r="AW42" s="353"/>
      <c r="BS42" s="463">
        <f>N41</f>
        <v>15057.98648167912</v>
      </c>
      <c r="BT42" s="463"/>
      <c r="BU42" s="463"/>
      <c r="BV42" s="463"/>
      <c r="BW42" s="463"/>
      <c r="BX42" s="463"/>
      <c r="BY42" s="773"/>
      <c r="BZ42" s="463">
        <f>AK41</f>
        <v>17611.375449633004</v>
      </c>
      <c r="CA42" s="463"/>
      <c r="CB42" s="463"/>
      <c r="CD42" s="463"/>
      <c r="CE42" s="463"/>
      <c r="CY42" s="570"/>
      <c r="CZ42" s="790" t="s">
        <v>712</v>
      </c>
      <c r="DQ42" s="501" t="s">
        <v>680</v>
      </c>
      <c r="DR42" s="552" t="s">
        <v>683</v>
      </c>
      <c r="DS42" s="552"/>
      <c r="DT42" s="552"/>
      <c r="DU42" s="530">
        <f>BZ6</f>
        <v>19031.539551812475</v>
      </c>
      <c r="DV42" s="531">
        <f>DV6</f>
        <v>15154.794283157262</v>
      </c>
      <c r="DW42" s="531">
        <f>DW6</f>
        <v>7434.3302951022997</v>
      </c>
      <c r="DX42" s="531"/>
      <c r="DY42" s="531"/>
      <c r="DZ42" s="531"/>
      <c r="EA42" s="531"/>
      <c r="EB42" s="531">
        <f>EB6</f>
        <v>2000.939404729972</v>
      </c>
      <c r="EC42" s="531">
        <f>EC6</f>
        <v>0</v>
      </c>
      <c r="ED42" s="531"/>
      <c r="EE42" s="531">
        <f t="shared" si="335"/>
        <v>24590.063982989534</v>
      </c>
      <c r="EF42" s="474">
        <v>24986.472927073384</v>
      </c>
      <c r="EG42" s="530">
        <f t="shared" si="336"/>
        <v>927.926942754322</v>
      </c>
      <c r="EH42" s="552"/>
      <c r="EI42" s="531">
        <f>EI6</f>
        <v>2173</v>
      </c>
      <c r="EJ42" s="586">
        <f>EJ6</f>
        <v>1166</v>
      </c>
      <c r="EK42" s="586">
        <f>EK6</f>
        <v>371</v>
      </c>
      <c r="EL42" s="530">
        <f t="shared" si="337"/>
        <v>3710</v>
      </c>
      <c r="EM42" s="475">
        <f t="shared" si="338"/>
        <v>28300.063982989534</v>
      </c>
      <c r="EN42" s="531">
        <f>EG42+$EN$1</f>
        <v>1067.926942754322</v>
      </c>
      <c r="EO42" s="463">
        <f t="shared" ref="EO42:EO43" si="364">EO40</f>
        <v>50</v>
      </c>
      <c r="EP42" s="739">
        <f t="shared" si="339"/>
        <v>1117.926942754322</v>
      </c>
      <c r="EQ42" s="471"/>
      <c r="ER42" s="739">
        <f t="shared" si="340"/>
        <v>571.87902955310426</v>
      </c>
      <c r="ES42" s="739">
        <f>(SUM(DW42,EB42,EC42,EI42:EK42))/$EG$1</f>
        <v>496.0479132012178</v>
      </c>
      <c r="ET42" s="739">
        <f t="shared" si="341"/>
        <v>50</v>
      </c>
      <c r="EU42" s="739">
        <f t="shared" si="342"/>
        <v>1117.926942754322</v>
      </c>
      <c r="EW42" s="739">
        <f>SUM(DV42,DZ42,EA42)</f>
        <v>15154.794283157262</v>
      </c>
      <c r="EX42" s="739">
        <f>(SUM(DW42,EB42,EC42,EI42:EK42))+EO42*$EG$1</f>
        <v>14470.269699832272</v>
      </c>
      <c r="EY42" s="739">
        <f t="shared" si="343"/>
        <v>1325</v>
      </c>
      <c r="EZ42" s="739">
        <f t="shared" si="344"/>
        <v>29625.063982989534</v>
      </c>
      <c r="FB42" s="739">
        <f t="shared" si="361"/>
        <v>571.87902955310426</v>
      </c>
      <c r="FC42" s="739">
        <f t="shared" si="362"/>
        <v>0</v>
      </c>
      <c r="FD42" s="739">
        <f>(SUM(EL42,EP42,EQ42,EV42:EX42))/$EG$1</f>
        <v>1300.1128651224096</v>
      </c>
      <c r="FE42" s="739">
        <f t="shared" si="345"/>
        <v>140</v>
      </c>
      <c r="FF42" s="739">
        <f t="shared" si="346"/>
        <v>50</v>
      </c>
      <c r="FG42" s="739">
        <f t="shared" si="347"/>
        <v>1871.9918946755138</v>
      </c>
      <c r="FH42" s="735">
        <f t="shared" si="348"/>
        <v>754.06495192119178</v>
      </c>
      <c r="FI42" s="739">
        <f t="shared" si="349"/>
        <v>15154.794283157262</v>
      </c>
      <c r="FJ42" s="739">
        <f t="shared" si="350"/>
        <v>0</v>
      </c>
      <c r="FK42" s="739">
        <f t="shared" si="351"/>
        <v>9435.2696998322717</v>
      </c>
      <c r="FL42" s="739">
        <f t="shared" si="352"/>
        <v>3710</v>
      </c>
      <c r="FM42" s="739">
        <f t="shared" si="353"/>
        <v>1325</v>
      </c>
      <c r="FN42" s="739">
        <f t="shared" si="354"/>
        <v>29625.063982989534</v>
      </c>
      <c r="FP42" s="526">
        <f t="shared" si="363"/>
        <v>0.10149616595051236</v>
      </c>
      <c r="FQ42" s="526">
        <f t="shared" si="355"/>
        <v>2.6709517355397991E-2</v>
      </c>
      <c r="FS42" s="739">
        <f t="shared" si="356"/>
        <v>0</v>
      </c>
      <c r="FT42" s="474">
        <f t="shared" si="357"/>
        <v>-1871.9918946755138</v>
      </c>
      <c r="FU42" s="948" t="e">
        <f t="shared" si="358"/>
        <v>#DIV/0!</v>
      </c>
      <c r="FV42" s="944">
        <f t="shared" si="359"/>
        <v>-1871.9918946755138</v>
      </c>
      <c r="FW42" s="296" t="e">
        <f t="shared" si="360"/>
        <v>#DIV/0!</v>
      </c>
    </row>
    <row r="43" spans="4:179" x14ac:dyDescent="0.35">
      <c r="D43" s="878"/>
      <c r="E43" s="841" t="s">
        <v>548</v>
      </c>
      <c r="F43" s="842"/>
      <c r="G43" s="346"/>
      <c r="H43" s="862" t="s">
        <v>549</v>
      </c>
      <c r="I43" s="863"/>
      <c r="J43" s="340">
        <v>30</v>
      </c>
      <c r="K43" s="371">
        <v>0.03</v>
      </c>
      <c r="L43" s="575">
        <f>'Giá mua Chai-Vảy (Giá giảm)'!H15</f>
        <v>3.1590181430096058E-2</v>
      </c>
      <c r="M43" s="866"/>
      <c r="N43" s="868" t="s">
        <v>726</v>
      </c>
      <c r="O43" s="869"/>
      <c r="P43" s="346"/>
      <c r="Q43" s="346"/>
      <c r="R43" s="845"/>
      <c r="S43" s="872" t="s">
        <v>726</v>
      </c>
      <c r="T43" s="873"/>
      <c r="U43" s="347"/>
      <c r="V43" s="408">
        <v>0.03</v>
      </c>
      <c r="W43" s="862" t="s">
        <v>551</v>
      </c>
      <c r="X43" s="863"/>
      <c r="Y43" s="346"/>
      <c r="Z43" s="348">
        <v>0.9093</v>
      </c>
      <c r="AA43" s="835"/>
      <c r="AB43" s="850" t="s">
        <v>730</v>
      </c>
      <c r="AC43" s="850"/>
      <c r="AD43" s="346"/>
      <c r="AE43" s="862" t="s">
        <v>557</v>
      </c>
      <c r="AF43" s="863"/>
      <c r="AG43" s="476">
        <f>$AI$41*$AI43</f>
        <v>17565.385212422225</v>
      </c>
      <c r="AH43" s="372">
        <v>0.34100000000000003</v>
      </c>
      <c r="AI43" s="835" t="s">
        <v>700</v>
      </c>
      <c r="AJ43" s="841" t="s">
        <v>817</v>
      </c>
      <c r="AK43" s="842"/>
      <c r="AL43" s="346"/>
      <c r="AM43" s="862" t="s">
        <v>554</v>
      </c>
      <c r="AN43" s="863"/>
      <c r="AO43" s="346"/>
      <c r="AP43" s="862" t="s">
        <v>555</v>
      </c>
      <c r="AQ43" s="863"/>
      <c r="AR43" s="359"/>
      <c r="AS43" s="373"/>
      <c r="AT43" s="349"/>
      <c r="AU43" s="349"/>
      <c r="AV43" s="349"/>
      <c r="AW43" s="369"/>
      <c r="AX43" s="349"/>
      <c r="AY43" s="349"/>
      <c r="BE43" s="349"/>
      <c r="BF43" s="349"/>
      <c r="BG43" s="349"/>
      <c r="BH43" s="349"/>
      <c r="BI43" s="349"/>
      <c r="BJ43" s="349"/>
      <c r="BK43" s="349"/>
      <c r="BL43" s="349"/>
      <c r="BM43" s="349"/>
      <c r="BN43" s="349"/>
      <c r="BO43" s="349"/>
      <c r="BP43" s="349"/>
      <c r="BQ43" s="349"/>
      <c r="BR43" s="349"/>
      <c r="BS43" s="349"/>
      <c r="BT43" s="349"/>
      <c r="BU43" s="349"/>
      <c r="BV43" s="349"/>
      <c r="BW43" s="349"/>
      <c r="BX43" s="349"/>
      <c r="BY43" s="775"/>
      <c r="BZ43" s="349"/>
      <c r="CA43" s="349"/>
      <c r="CB43" s="349"/>
      <c r="CC43" s="349"/>
      <c r="CD43" s="349"/>
      <c r="CE43" s="349"/>
      <c r="CG43" s="349"/>
      <c r="CH43" s="349"/>
      <c r="CI43" s="349"/>
      <c r="CJ43" s="349"/>
      <c r="CK43" s="349"/>
      <c r="CL43" s="349"/>
      <c r="CM43" s="349"/>
      <c r="CN43" s="349"/>
      <c r="CO43" s="349"/>
      <c r="CP43" s="349"/>
      <c r="CQ43" s="349"/>
      <c r="CR43" s="349"/>
      <c r="CT43" s="349"/>
      <c r="CY43" s="465"/>
      <c r="CZ43" s="387">
        <f>AH124</f>
        <v>0.92119999999999991</v>
      </c>
      <c r="DP43" s="340" t="s">
        <v>716</v>
      </c>
      <c r="DQ43" s="498" t="s">
        <v>563</v>
      </c>
      <c r="DR43" s="500" t="s">
        <v>371</v>
      </c>
      <c r="DS43" s="500"/>
      <c r="DT43" s="500"/>
      <c r="DU43" s="502">
        <f>BZ14*0.95+BZ8*0.05</f>
        <v>17769.796537873688</v>
      </c>
      <c r="DV43" s="503">
        <f>DV6</f>
        <v>15154.794283157262</v>
      </c>
      <c r="DW43" s="503">
        <f>DW6</f>
        <v>7434.3302951022997</v>
      </c>
      <c r="DX43" s="503"/>
      <c r="DY43" s="503"/>
      <c r="DZ43" s="503"/>
      <c r="EA43" s="503"/>
      <c r="EB43" s="503">
        <f>EB6</f>
        <v>2000.939404729972</v>
      </c>
      <c r="EC43" s="503">
        <f>EC6</f>
        <v>0</v>
      </c>
      <c r="ED43" s="503"/>
      <c r="EE43" s="502">
        <f t="shared" si="335"/>
        <v>24590.063982989534</v>
      </c>
      <c r="EF43" s="474">
        <v>24986.472927073384</v>
      </c>
      <c r="EG43" s="502">
        <f>EE43/$EG$1</f>
        <v>927.926942754322</v>
      </c>
      <c r="EH43" s="500"/>
      <c r="EI43" s="503">
        <f>EI6</f>
        <v>2173</v>
      </c>
      <c r="EJ43" s="503">
        <f>EJ6</f>
        <v>1166</v>
      </c>
      <c r="EK43" s="503">
        <f>EK6</f>
        <v>371</v>
      </c>
      <c r="EL43" s="502">
        <f>SUM(EI43:EK43)</f>
        <v>3710</v>
      </c>
      <c r="EM43" s="475">
        <f t="shared" si="338"/>
        <v>28300.063982989534</v>
      </c>
      <c r="EN43" s="503">
        <f>EG43+$EN$1</f>
        <v>1067.926942754322</v>
      </c>
      <c r="EO43" s="463">
        <f t="shared" si="364"/>
        <v>50</v>
      </c>
      <c r="EP43" s="739">
        <f t="shared" si="339"/>
        <v>1117.926942754322</v>
      </c>
      <c r="EQ43" s="471"/>
      <c r="ER43" s="739">
        <f t="shared" si="340"/>
        <v>571.87902955310426</v>
      </c>
      <c r="ES43" s="739">
        <f>(SUM(DW43,EB43,EC43,EI43:EK43))/$EG$1</f>
        <v>496.0479132012178</v>
      </c>
      <c r="ET43" s="739">
        <f t="shared" si="341"/>
        <v>50</v>
      </c>
      <c r="EU43" s="739">
        <f t="shared" si="342"/>
        <v>1117.926942754322</v>
      </c>
      <c r="EW43" s="739">
        <f>SUM(DV43,DZ43,EA43)</f>
        <v>15154.794283157262</v>
      </c>
      <c r="EX43" s="739">
        <f>(SUM(DW43,EB43,EC43,EI43:EK43))+EO43*$EG$1</f>
        <v>14470.269699832272</v>
      </c>
      <c r="EY43" s="739">
        <f t="shared" si="343"/>
        <v>1325</v>
      </c>
      <c r="EZ43" s="739">
        <f t="shared" si="344"/>
        <v>29625.063982989534</v>
      </c>
      <c r="FB43" s="739">
        <f t="shared" si="361"/>
        <v>571.87902955310426</v>
      </c>
      <c r="FC43" s="739">
        <f t="shared" si="362"/>
        <v>0</v>
      </c>
      <c r="FD43" s="739">
        <f>(SUM(EL43,EP43,EQ43,EV43:EX43))/$EG$1</f>
        <v>1300.1128651224096</v>
      </c>
      <c r="FE43" s="739">
        <f t="shared" si="345"/>
        <v>140</v>
      </c>
      <c r="FF43" s="739">
        <f t="shared" si="346"/>
        <v>50</v>
      </c>
      <c r="FG43" s="739">
        <f t="shared" si="347"/>
        <v>1871.9918946755138</v>
      </c>
      <c r="FH43" s="735">
        <f t="shared" si="348"/>
        <v>754.06495192119178</v>
      </c>
      <c r="FI43" s="739">
        <f t="shared" si="349"/>
        <v>15154.794283157262</v>
      </c>
      <c r="FJ43" s="739">
        <f t="shared" si="350"/>
        <v>0</v>
      </c>
      <c r="FK43" s="739">
        <f t="shared" si="351"/>
        <v>9435.2696998322717</v>
      </c>
      <c r="FL43" s="739">
        <f t="shared" si="352"/>
        <v>3710</v>
      </c>
      <c r="FM43" s="739">
        <f t="shared" si="353"/>
        <v>1325</v>
      </c>
      <c r="FN43" s="739">
        <f t="shared" si="354"/>
        <v>29625.063982989534</v>
      </c>
      <c r="FP43" s="526">
        <f t="shared" si="363"/>
        <v>0.10149616595051236</v>
      </c>
      <c r="FQ43" s="526">
        <f t="shared" si="355"/>
        <v>2.6709517355397991E-2</v>
      </c>
      <c r="FS43" s="739">
        <f t="shared" si="356"/>
        <v>0</v>
      </c>
      <c r="FT43" s="474">
        <f t="shared" si="357"/>
        <v>-1871.9918946755138</v>
      </c>
      <c r="FU43" s="948" t="e">
        <f t="shared" si="358"/>
        <v>#DIV/0!</v>
      </c>
      <c r="FV43" s="944">
        <f t="shared" si="359"/>
        <v>-1871.9918946755138</v>
      </c>
      <c r="FW43" s="296" t="e">
        <f t="shared" si="360"/>
        <v>#DIV/0!</v>
      </c>
    </row>
    <row r="44" spans="4:179" x14ac:dyDescent="0.35">
      <c r="D44" s="879"/>
      <c r="E44" s="843"/>
      <c r="F44" s="844"/>
      <c r="H44" s="864"/>
      <c r="I44" s="865"/>
      <c r="J44" s="366"/>
      <c r="K44" s="353"/>
      <c r="M44" s="867"/>
      <c r="N44" s="870"/>
      <c r="O44" s="871"/>
      <c r="R44" s="845"/>
      <c r="S44" s="872"/>
      <c r="T44" s="873"/>
      <c r="U44" s="354"/>
      <c r="V44" s="343"/>
      <c r="W44" s="864"/>
      <c r="X44" s="865"/>
      <c r="Z44" s="353"/>
      <c r="AA44" s="836"/>
      <c r="AB44" s="850"/>
      <c r="AC44" s="850"/>
      <c r="AE44" s="864"/>
      <c r="AF44" s="865"/>
      <c r="AG44" s="674"/>
      <c r="AH44" s="374"/>
      <c r="AI44" s="836"/>
      <c r="AJ44" s="843"/>
      <c r="AK44" s="844"/>
      <c r="AM44" s="864"/>
      <c r="AN44" s="865"/>
      <c r="AP44" s="864"/>
      <c r="AQ44" s="865"/>
      <c r="AR44" s="349"/>
      <c r="AS44" s="373"/>
      <c r="AT44" s="349"/>
      <c r="AU44" s="349"/>
      <c r="AV44" s="349"/>
      <c r="AW44" s="369"/>
      <c r="AX44" s="349"/>
      <c r="AY44" s="349"/>
      <c r="AZ44" s="349"/>
      <c r="BA44" s="356"/>
      <c r="BB44" s="356"/>
      <c r="BC44" s="437"/>
      <c r="BD44" s="437"/>
      <c r="BE44" s="349"/>
      <c r="BF44" s="349"/>
      <c r="BG44" s="349"/>
      <c r="BH44" s="349"/>
      <c r="BI44" s="349"/>
      <c r="BJ44" s="349"/>
      <c r="BK44" s="349"/>
      <c r="BL44" s="349"/>
      <c r="BM44" s="349"/>
      <c r="BN44" s="349"/>
      <c r="BO44" s="349"/>
      <c r="BP44" s="349"/>
      <c r="BQ44" s="349"/>
      <c r="BR44" s="349"/>
      <c r="BS44" s="349"/>
      <c r="BT44" s="349"/>
      <c r="BU44" s="349"/>
      <c r="BV44" s="349"/>
      <c r="BW44" s="349"/>
      <c r="BX44" s="349"/>
      <c r="BY44" s="775"/>
      <c r="BZ44" s="349"/>
      <c r="CA44" s="349"/>
      <c r="CB44" s="349"/>
      <c r="CC44" s="349"/>
      <c r="CD44" s="349"/>
      <c r="CE44" s="349"/>
      <c r="CG44" s="349"/>
      <c r="CH44" s="349"/>
      <c r="CI44" s="349"/>
      <c r="CJ44" s="349"/>
      <c r="CK44" s="349"/>
      <c r="CL44" s="349"/>
      <c r="CM44" s="349"/>
      <c r="CN44" s="349"/>
      <c r="CO44" s="349"/>
      <c r="CP44" s="349"/>
      <c r="CQ44" s="349"/>
      <c r="CR44" s="349"/>
      <c r="CT44" s="349"/>
      <c r="CY44" s="765" t="str">
        <f>LEFT($CH$2,3)&amp;" "&amp;RIGHT(BK14,5)&amp;"_"&amp;RIGHT($CH$2,3)&amp;" DT"</f>
        <v>Vảy  B6.2_ A1 DT</v>
      </c>
      <c r="CZ44" s="765"/>
      <c r="DA44" s="777" t="s">
        <v>872</v>
      </c>
      <c r="DB44" s="482">
        <f>BZ14/CZ43</f>
        <v>19358.957105273665</v>
      </c>
      <c r="DC44" s="482">
        <f>CL14</f>
        <v>13767.87368955477</v>
      </c>
      <c r="DD44" s="484">
        <f t="shared" ref="DD44:DI44" si="365">CM14</f>
        <v>3655.1877051915312</v>
      </c>
      <c r="DE44" s="484">
        <f t="shared" si="365"/>
        <v>2024.4789219293125</v>
      </c>
      <c r="DF44" s="484">
        <f t="shared" si="365"/>
        <v>1273.8558498087386</v>
      </c>
      <c r="DG44" s="484">
        <f t="shared" si="365"/>
        <v>-855.64166666666654</v>
      </c>
      <c r="DH44" s="482">
        <f t="shared" si="365"/>
        <v>-239.66666666666666</v>
      </c>
      <c r="DI44" s="482">
        <f t="shared" si="365"/>
        <v>1935.8957105273664</v>
      </c>
      <c r="DK44" s="486">
        <f t="shared" ref="DK44:DK49" si="366">SUM(DC44:DI44)</f>
        <v>21561.983543678383</v>
      </c>
      <c r="DL44" s="453">
        <f t="shared" ref="DL44:DL49" si="367">DK44/$CU$2</f>
        <v>813.65975636522205</v>
      </c>
      <c r="DM44" s="494">
        <f t="shared" ref="DM44:DM49" si="368">$CV$2+DL44</f>
        <v>883.65975636522205</v>
      </c>
      <c r="DN44" s="784">
        <f>DM44/$DM$48</f>
        <v>1.5721512213074373</v>
      </c>
      <c r="DQ44" s="501" t="s">
        <v>680</v>
      </c>
    </row>
    <row r="45" spans="4:179" x14ac:dyDescent="0.35">
      <c r="K45" s="353"/>
      <c r="V45" s="343"/>
      <c r="Z45" s="353"/>
      <c r="AA45" s="935"/>
      <c r="AB45" s="898"/>
      <c r="AC45" s="898"/>
      <c r="AG45" s="476">
        <f>$AI$41*$AI45</f>
        <v>14052.30816993778</v>
      </c>
      <c r="AH45" s="374">
        <v>0.46600000000000003</v>
      </c>
      <c r="AI45" s="835" t="s">
        <v>701</v>
      </c>
      <c r="AJ45" s="841" t="s">
        <v>818</v>
      </c>
      <c r="AK45" s="842"/>
      <c r="AS45" s="353"/>
      <c r="AW45" s="353"/>
      <c r="AZ45" s="463">
        <f>AZ47-AZ46</f>
        <v>1051.4867443493968</v>
      </c>
      <c r="BA45" s="343"/>
      <c r="BB45" s="580" t="s">
        <v>712</v>
      </c>
      <c r="BC45" s="518">
        <f>'Hảo_R&amp;D (Vảy sạch)'!BR3</f>
        <v>0.13333333333333333</v>
      </c>
      <c r="CZ45" s="387">
        <v>1</v>
      </c>
      <c r="DA45" s="772" t="s">
        <v>873</v>
      </c>
      <c r="DB45" s="482">
        <f>DB44</f>
        <v>19358.957105273665</v>
      </c>
      <c r="DC45" s="482">
        <f>DC44</f>
        <v>13767.87368955477</v>
      </c>
      <c r="DD45" s="484">
        <f>AJ122</f>
        <v>3655.1877051915312</v>
      </c>
      <c r="DE45" s="484">
        <f>+CC15</f>
        <v>3240.9192930660097</v>
      </c>
      <c r="DF45" s="484">
        <f>DF29</f>
        <v>1610.8482620845953</v>
      </c>
      <c r="DG45" s="484">
        <f>CP15</f>
        <v>-855.64166666666654</v>
      </c>
      <c r="DH45" s="453">
        <f>DH44</f>
        <v>-239.66666666666666</v>
      </c>
      <c r="DI45" s="453">
        <f t="shared" ref="DI45" si="369">DI44</f>
        <v>1935.8957105273664</v>
      </c>
      <c r="DK45" s="730">
        <f t="shared" si="366"/>
        <v>23115.416327090941</v>
      </c>
      <c r="DL45" s="453">
        <f t="shared" si="367"/>
        <v>872.2798613996581</v>
      </c>
      <c r="DM45" s="476">
        <f t="shared" si="368"/>
        <v>942.2798613996581</v>
      </c>
      <c r="DN45" s="785"/>
      <c r="DR45" s="340" t="s">
        <v>678</v>
      </c>
      <c r="DT45" s="777" t="s">
        <v>872</v>
      </c>
      <c r="DU45" s="463">
        <f>BZ6*0.15+BZ14*0.65+BZ8*0.2</f>
        <v>17758.48253532562</v>
      </c>
      <c r="DV45" s="463">
        <f>DV6</f>
        <v>15154.794283157262</v>
      </c>
      <c r="DW45" s="463">
        <f>DW6</f>
        <v>7434.3302951022997</v>
      </c>
      <c r="DX45" s="463"/>
      <c r="DY45" s="463"/>
      <c r="DZ45" s="463"/>
      <c r="EA45" s="463"/>
      <c r="EC45" s="463"/>
      <c r="ED45" s="463"/>
      <c r="EE45" s="499">
        <f t="shared" ref="EE45" si="370">SUM(DV45:EC45)</f>
        <v>22589.124578259562</v>
      </c>
      <c r="EF45" s="474">
        <v>24986.472927073384</v>
      </c>
      <c r="EG45" s="475">
        <f>EE45/$EG$1</f>
        <v>852.41979540602119</v>
      </c>
      <c r="EI45" s="463">
        <f>EI6</f>
        <v>2173</v>
      </c>
      <c r="EJ45" s="463">
        <f>EJ6</f>
        <v>1166</v>
      </c>
      <c r="EK45" s="463">
        <f>EK6</f>
        <v>371</v>
      </c>
      <c r="EL45" s="453">
        <f>SUM(EI45:EK45)</f>
        <v>3710</v>
      </c>
      <c r="EM45" s="475">
        <f t="shared" ref="EM45" si="371">EE45+EL45</f>
        <v>26299.124578259562</v>
      </c>
      <c r="EN45" s="531">
        <f>EG45+$EN$1/2</f>
        <v>922.41979540602119</v>
      </c>
      <c r="EO45" s="463">
        <f>EO43</f>
        <v>50</v>
      </c>
      <c r="EP45" s="739">
        <f t="shared" ref="EP45" si="372">EN45+EO45</f>
        <v>972.41979540602119</v>
      </c>
      <c r="EQ45" s="471"/>
      <c r="ER45" s="739">
        <f t="shared" ref="ER45" si="373">SUM(DV45,EA45,DX45:DZ45)/$EG$1</f>
        <v>571.87902955310426</v>
      </c>
      <c r="ES45" s="739">
        <f>(SUM(DW45,EB45,EC45,EI45:EK45))/$EG$1</f>
        <v>420.54076585291699</v>
      </c>
      <c r="ET45" s="739">
        <f t="shared" ref="ET45" si="374">EO45</f>
        <v>50</v>
      </c>
      <c r="EU45" s="739">
        <f t="shared" ref="EU45" si="375">SUM(ER45:ET45)</f>
        <v>1042.4197954060212</v>
      </c>
      <c r="EW45" s="739">
        <f>SUM(DV45,DZ45,EA45)</f>
        <v>15154.794283157262</v>
      </c>
      <c r="EX45" s="739">
        <f>(SUM(DW45,EB45,EC45,EI45:EK45))+EO45*$EG$1</f>
        <v>12469.3302951023</v>
      </c>
      <c r="EY45" s="739">
        <f t="shared" ref="EY45" si="376">EO45*$EG$1</f>
        <v>1325</v>
      </c>
      <c r="EZ45" s="739">
        <f t="shared" ref="EZ45" si="377">SUM(EW45:EX45)</f>
        <v>27624.124578259562</v>
      </c>
      <c r="FB45" s="739">
        <f>DV45/$EG$1</f>
        <v>571.87902955310426</v>
      </c>
      <c r="FC45" s="739">
        <f>SUM(DX45:EA45)/$EG$1</f>
        <v>0</v>
      </c>
      <c r="FD45" s="739">
        <f>(SUM(EL45,EP45,EQ45,EV45:EX45))/$EG$1</f>
        <v>1219.1148820251165</v>
      </c>
      <c r="FE45" s="739">
        <f>SUM(EI45:EK45)/$EG$1</f>
        <v>140</v>
      </c>
      <c r="FF45" s="739">
        <f t="shared" ref="FF45" si="378">ET45</f>
        <v>50</v>
      </c>
      <c r="FG45" s="739">
        <f t="shared" ref="FG45" si="379">SUM(FB45:FD45)</f>
        <v>1790.9939115782208</v>
      </c>
      <c r="FH45" s="735">
        <f t="shared" ref="FH45" si="380">FG45-EU45</f>
        <v>748.57411617219964</v>
      </c>
      <c r="FI45" s="739">
        <f>DV45</f>
        <v>15154.794283157262</v>
      </c>
      <c r="FJ45" s="739">
        <f>SUM(DX45:EA45)</f>
        <v>0</v>
      </c>
      <c r="FK45" s="739">
        <f>SUM(DW45,EB45,EC45)</f>
        <v>7434.3302951022997</v>
      </c>
      <c r="FL45" s="739">
        <f>SUM(EI45:EK45)</f>
        <v>3710</v>
      </c>
      <c r="FM45" s="739">
        <f t="shared" ref="FM45" si="381">EY45</f>
        <v>1325</v>
      </c>
      <c r="FN45" s="739">
        <f t="shared" ref="FN45" si="382">SUM(FI45:FM45)</f>
        <v>27624.124578259562</v>
      </c>
      <c r="FP45" s="526">
        <f>(FF45+FE45)/FG45</f>
        <v>0.10608634611860424</v>
      </c>
      <c r="FQ45" s="526">
        <f>FF45/FG45</f>
        <v>2.7917459504895849E-2</v>
      </c>
      <c r="FS45" s="739">
        <f>FS44</f>
        <v>0</v>
      </c>
      <c r="FT45" s="474">
        <f t="shared" ref="FT45" si="383">FS45-SUM(FB45:FD45)</f>
        <v>-1790.9939115782208</v>
      </c>
      <c r="FU45" s="948" t="e">
        <f t="shared" ref="FU45" si="384">FT45/FS45</f>
        <v>#DIV/0!</v>
      </c>
      <c r="FV45" s="944">
        <f t="shared" ref="FV45" si="385">FS45-FG45</f>
        <v>-1790.9939115782208</v>
      </c>
      <c r="FW45" s="296" t="e">
        <f t="shared" ref="FW45" si="386">FV45/FS45</f>
        <v>#DIV/0!</v>
      </c>
    </row>
    <row r="46" spans="4:179" ht="30.5" x14ac:dyDescent="0.35">
      <c r="K46" s="353"/>
      <c r="U46" s="375"/>
      <c r="V46" s="343"/>
      <c r="Z46" s="353"/>
      <c r="AA46" s="853"/>
      <c r="AB46" s="898"/>
      <c r="AC46" s="898"/>
      <c r="AG46" s="411"/>
      <c r="AH46" s="374"/>
      <c r="AI46" s="836"/>
      <c r="AJ46" s="843"/>
      <c r="AK46" s="844"/>
      <c r="AS46" s="353"/>
      <c r="AW46" s="353"/>
      <c r="AZ46" s="466">
        <f>($AI$5*0.855+$AI$41*0.095+$AI$5*0.05)/BA46</f>
        <v>20954.97682336708</v>
      </c>
      <c r="BA46" s="578">
        <f>SUM(BA47:BA49,BA53)</f>
        <v>0.95235331388965472</v>
      </c>
      <c r="BB46" s="581">
        <f>SUM(BA47*BB47,BA49*BB49,BA53*BB53)</f>
        <v>1.0395787442582065</v>
      </c>
      <c r="BD46" s="438">
        <f>(0.855*AK6+AK42*0.095+0.05*AK6)*BA46</f>
        <v>0.77389942729004124</v>
      </c>
      <c r="BE46" s="468">
        <f>($N$5/BD46)*0.905+($N$41/BD46)*0.095</f>
        <v>21241.971746032217</v>
      </c>
      <c r="BF46" s="682">
        <f>BE46-AZ46</f>
        <v>286.99492266513698</v>
      </c>
      <c r="BG46" s="463"/>
      <c r="CY46" s="465" t="str">
        <f>LEFT($CH$2,3)&amp;" "&amp;RIGHT($BK$14,5)&amp;"_"&amp;"A"&amp;"2"&amp;" DT"</f>
        <v>Vảy  B6.2_A2 DT</v>
      </c>
      <c r="CZ46" s="765"/>
      <c r="DA46" s="777" t="s">
        <v>872</v>
      </c>
      <c r="DB46" s="476">
        <f>DB44*$CZ$47</f>
        <v>15487.165684218933</v>
      </c>
      <c r="DC46" s="476">
        <f>DC44*$CZ$47</f>
        <v>11014.298951643817</v>
      </c>
      <c r="DD46" s="456">
        <f>DD44*$CZ$47</f>
        <v>2924.150164153225</v>
      </c>
      <c r="DE46" s="456">
        <f t="shared" ref="DE46" si="387">DE44*$CZ$47</f>
        <v>1619.58313754345</v>
      </c>
      <c r="DF46" s="476">
        <f t="shared" ref="DF46" si="388">DF44*$CZ$47</f>
        <v>1019.084679846991</v>
      </c>
      <c r="DG46" s="476">
        <f>DG44*$CZ$47</f>
        <v>-684.51333333333332</v>
      </c>
      <c r="DH46" s="476">
        <f>DH44*$CZ$47</f>
        <v>-191.73333333333335</v>
      </c>
      <c r="DI46" s="476">
        <f>DI44*$CZ$47</f>
        <v>1548.7165684218933</v>
      </c>
      <c r="DK46" s="486">
        <f t="shared" si="366"/>
        <v>17249.586834942711</v>
      </c>
      <c r="DL46" s="453">
        <f t="shared" si="367"/>
        <v>650.92780509217778</v>
      </c>
      <c r="DM46" s="494">
        <f t="shared" si="368"/>
        <v>720.92780509217778</v>
      </c>
      <c r="DN46" s="784">
        <f>DM46/$DM$48</f>
        <v>1.2826288863852175</v>
      </c>
      <c r="DP46" s="384" t="s">
        <v>678</v>
      </c>
      <c r="DQ46" s="498" t="s">
        <v>679</v>
      </c>
      <c r="DT46" s="772" t="s">
        <v>873</v>
      </c>
    </row>
    <row r="47" spans="4:179" ht="16" x14ac:dyDescent="0.35">
      <c r="K47" s="353"/>
      <c r="U47" s="375"/>
      <c r="V47" s="343"/>
      <c r="Z47" s="353"/>
      <c r="AG47" s="476">
        <f>$AI$41*$AI47</f>
        <v>10539.231127453335</v>
      </c>
      <c r="AH47" s="374">
        <v>0.1333</v>
      </c>
      <c r="AI47" s="845" t="s">
        <v>702</v>
      </c>
      <c r="AJ47" s="841" t="s">
        <v>819</v>
      </c>
      <c r="AK47" s="842"/>
      <c r="AS47" s="353"/>
      <c r="AT47" s="888"/>
      <c r="AU47" s="888"/>
      <c r="AV47" s="349"/>
      <c r="AW47" s="369"/>
      <c r="AX47" s="370"/>
      <c r="AY47" s="370"/>
      <c r="AZ47" s="467">
        <f>$AZ$46/$BB$46*BB47</f>
        <v>22006.463567716477</v>
      </c>
      <c r="BA47" s="577">
        <v>0.94703290431485221</v>
      </c>
      <c r="BB47" s="581">
        <f>BB9</f>
        <v>1.0917431192660549</v>
      </c>
      <c r="BC47" s="433" t="s">
        <v>595</v>
      </c>
      <c r="BD47" s="423"/>
      <c r="BE47" s="376"/>
      <c r="BF47" s="376"/>
      <c r="BG47" s="376"/>
      <c r="BH47" s="376"/>
      <c r="BI47" s="376"/>
      <c r="CZ47" s="387">
        <v>0.8</v>
      </c>
      <c r="DA47" s="772" t="s">
        <v>873</v>
      </c>
      <c r="DB47" s="453">
        <f>DB45*$CZ$47</f>
        <v>15487.165684218933</v>
      </c>
      <c r="DC47" s="453">
        <f t="shared" ref="DC47:DI47" si="389">DC45*$CZ$47</f>
        <v>11014.298951643817</v>
      </c>
      <c r="DD47" s="456">
        <f t="shared" si="389"/>
        <v>2924.150164153225</v>
      </c>
      <c r="DE47" s="456">
        <f t="shared" ref="DE47" si="390">DE45*$CZ$47</f>
        <v>2592.735434452808</v>
      </c>
      <c r="DF47" s="453">
        <f t="shared" ref="DF47" si="391">DF45*$CZ$47</f>
        <v>1288.6786096676763</v>
      </c>
      <c r="DG47" s="453">
        <f>DG45*$CZ$47</f>
        <v>-684.51333333333332</v>
      </c>
      <c r="DH47" s="453">
        <f t="shared" si="389"/>
        <v>-191.73333333333335</v>
      </c>
      <c r="DI47" s="453">
        <f t="shared" si="389"/>
        <v>1548.7165684218933</v>
      </c>
      <c r="DK47" s="730">
        <f t="shared" si="366"/>
        <v>18492.333061672754</v>
      </c>
      <c r="DL47" s="453">
        <f t="shared" si="367"/>
        <v>697.82388911972657</v>
      </c>
      <c r="DM47" s="476">
        <f t="shared" si="368"/>
        <v>767.82388911972657</v>
      </c>
      <c r="DN47" s="785"/>
    </row>
    <row r="48" spans="4:179" x14ac:dyDescent="0.35">
      <c r="K48" s="353"/>
      <c r="U48" s="389">
        <f>Z48+AH50</f>
        <v>0.10080831983765647</v>
      </c>
      <c r="V48" s="343"/>
      <c r="Z48" s="390">
        <f>SUM(Z49:Z66)</f>
        <v>9.0660916463949331E-2</v>
      </c>
      <c r="AA48" s="564">
        <f>SUM(AA49:AA65)</f>
        <v>707.44547994627874</v>
      </c>
      <c r="AH48" s="374"/>
      <c r="AI48" s="845"/>
      <c r="AJ48" s="843"/>
      <c r="AK48" s="844"/>
      <c r="AS48" s="353"/>
      <c r="AT48" s="888"/>
      <c r="AU48" s="888"/>
      <c r="AV48" s="349"/>
      <c r="AW48" s="369"/>
      <c r="AX48" s="377"/>
      <c r="AY48" s="377"/>
      <c r="AZ48" s="469">
        <f>AZ47-AZ49</f>
        <v>554.78479582478394</v>
      </c>
      <c r="BA48" s="356"/>
      <c r="BB48" s="356"/>
      <c r="BC48" s="424"/>
      <c r="BD48" s="425"/>
      <c r="BE48" s="376"/>
      <c r="BF48" s="376"/>
      <c r="BG48" s="376"/>
      <c r="BH48" s="376"/>
      <c r="BI48" s="376"/>
      <c r="CY48" s="465" t="str">
        <f>LEFT($CH$2,3)&amp;" "&amp;RIGHT($BK$14,5)&amp;"_"&amp;"A"&amp;"3"&amp;" DT"</f>
        <v>Vảy  B6.2_A3 DT</v>
      </c>
      <c r="CZ48" s="765"/>
      <c r="DA48" s="777" t="s">
        <v>872</v>
      </c>
      <c r="DB48" s="476">
        <f>DB44*$CZ$49</f>
        <v>11615.374263164198</v>
      </c>
      <c r="DC48" s="476">
        <f t="shared" ref="DC48:DI48" si="392">DC44*$CZ$49</f>
        <v>8260.7242137328612</v>
      </c>
      <c r="DD48" s="456">
        <f t="shared" si="392"/>
        <v>2193.1126231149187</v>
      </c>
      <c r="DE48" s="456">
        <f t="shared" ref="DE48" si="393">DE44*$CZ$49</f>
        <v>1214.6873531575875</v>
      </c>
      <c r="DF48" s="476">
        <f t="shared" ref="DF48" si="394">DF44*$CZ$49</f>
        <v>764.31350988524321</v>
      </c>
      <c r="DG48" s="476">
        <f>DG46*$CZ$49</f>
        <v>-410.70799999999997</v>
      </c>
      <c r="DH48" s="476">
        <f t="shared" si="392"/>
        <v>-143.79999999999998</v>
      </c>
      <c r="DI48" s="476">
        <f t="shared" si="392"/>
        <v>1161.5374263164199</v>
      </c>
      <c r="DK48" s="486">
        <f t="shared" si="366"/>
        <v>13039.867126207031</v>
      </c>
      <c r="DL48" s="453">
        <f t="shared" si="367"/>
        <v>492.07045759271813</v>
      </c>
      <c r="DM48" s="494">
        <f t="shared" si="368"/>
        <v>562.07045759271818</v>
      </c>
      <c r="DN48" s="784">
        <f>DM48/$DM$48</f>
        <v>1</v>
      </c>
      <c r="DR48" s="411" t="s">
        <v>368</v>
      </c>
      <c r="DS48" s="411"/>
      <c r="DT48" s="777" t="s">
        <v>872</v>
      </c>
      <c r="DU48" s="482">
        <f>BZ6*0.9+BZ14*0.2</f>
        <v>20695.079853706848</v>
      </c>
      <c r="DV48" s="482">
        <f>DV6</f>
        <v>15154.794283157262</v>
      </c>
      <c r="DW48" s="482">
        <f>DW6</f>
        <v>7434.3302951022997</v>
      </c>
      <c r="DX48" s="482"/>
      <c r="DY48" s="482"/>
      <c r="DZ48" s="482"/>
      <c r="EA48" s="482"/>
      <c r="EB48" s="482">
        <f>EB6</f>
        <v>2000.939404729972</v>
      </c>
      <c r="EC48" s="482">
        <f>EC6</f>
        <v>0</v>
      </c>
      <c r="ED48" s="482"/>
      <c r="EE48" s="476">
        <f t="shared" ref="EE48" si="395">SUM(DV48:EC48)</f>
        <v>24590.063982989534</v>
      </c>
      <c r="EG48" s="476">
        <f>EE48/$EG$1</f>
        <v>927.926942754322</v>
      </c>
      <c r="EH48" s="411"/>
      <c r="EI48" s="482">
        <f>EI6</f>
        <v>2173</v>
      </c>
      <c r="EJ48" s="482">
        <f>EJ6</f>
        <v>1166</v>
      </c>
      <c r="EK48" s="482">
        <f>EK6</f>
        <v>371</v>
      </c>
      <c r="EL48" s="476">
        <f>SUM(EI48:EK48)</f>
        <v>3710</v>
      </c>
      <c r="EM48" s="475">
        <f t="shared" ref="EM48" si="396">EE48+EL48</f>
        <v>28300.063982989534</v>
      </c>
      <c r="EN48" s="482">
        <f>EG48+$EN$1</f>
        <v>1067.926942754322</v>
      </c>
      <c r="EO48" s="463">
        <f>EO10</f>
        <v>50</v>
      </c>
      <c r="EP48" s="739">
        <f t="shared" ref="EP48" si="397">EN48+EO48</f>
        <v>1117.926942754322</v>
      </c>
      <c r="EQ48" s="471"/>
      <c r="ER48" s="739">
        <f t="shared" ref="ER48" si="398">SUM(DV48,EA48,DX48:DZ48)/$EG$1</f>
        <v>571.87902955310426</v>
      </c>
      <c r="ES48" s="739">
        <f>(SUM(DW48,EB48,EC48,EI48:EK48))/$EG$1</f>
        <v>496.0479132012178</v>
      </c>
      <c r="ET48" s="739">
        <f t="shared" ref="ET48" si="399">EO48</f>
        <v>50</v>
      </c>
      <c r="EU48" s="739">
        <f t="shared" ref="EU48" si="400">SUM(ER48:ET48)</f>
        <v>1117.926942754322</v>
      </c>
      <c r="EW48" s="739">
        <f>SUM(DV48,DZ48,EA48)</f>
        <v>15154.794283157262</v>
      </c>
      <c r="EX48" s="739">
        <f>(SUM(DW48,EB48,EC48,EI48:EK48))+EO48*$EG$1</f>
        <v>14470.269699832272</v>
      </c>
      <c r="EY48" s="739">
        <f t="shared" ref="EY48" si="401">EO48*$EG$1</f>
        <v>1325</v>
      </c>
      <c r="EZ48" s="739">
        <f t="shared" ref="EZ48" si="402">SUM(EW48:EX48)</f>
        <v>29625.063982989534</v>
      </c>
      <c r="FB48" s="739">
        <f>DV48/$EG$1</f>
        <v>571.87902955310426</v>
      </c>
      <c r="FC48" s="739">
        <f>SUM(DX48:EA48)/$EG$1</f>
        <v>0</v>
      </c>
      <c r="FD48" s="739">
        <f>(SUM(EL48,EP48,EQ48,EV48:EX48))/$EG$1</f>
        <v>1300.1128651224096</v>
      </c>
      <c r="FE48" s="739">
        <f>SUM(EI48:EK48)/$EG$1</f>
        <v>140</v>
      </c>
      <c r="FF48" s="739">
        <f t="shared" ref="FF48" si="403">ET48</f>
        <v>50</v>
      </c>
      <c r="FG48" s="739">
        <f t="shared" ref="FG48" si="404">SUM(FB48:FD48)</f>
        <v>1871.9918946755138</v>
      </c>
      <c r="FH48" s="735">
        <f t="shared" ref="FH48" si="405">FG48-EU48</f>
        <v>754.06495192119178</v>
      </c>
      <c r="FI48" s="739">
        <f>DV48</f>
        <v>15154.794283157262</v>
      </c>
      <c r="FJ48" s="739">
        <f>SUM(DX48:EA48)</f>
        <v>0</v>
      </c>
      <c r="FK48" s="739">
        <f>SUM(DW48,EB48,EC48)</f>
        <v>9435.2696998322717</v>
      </c>
      <c r="FL48" s="739">
        <f>SUM(EI48:EK48)</f>
        <v>3710</v>
      </c>
      <c r="FM48" s="739">
        <f t="shared" ref="FM48" si="406">EY48</f>
        <v>1325</v>
      </c>
      <c r="FN48" s="739">
        <f t="shared" ref="FN48" si="407">SUM(FI48:FM48)</f>
        <v>29625.063982989534</v>
      </c>
      <c r="FP48" s="526">
        <f>(FF48+FE48)/FG48</f>
        <v>0.10149616595051236</v>
      </c>
      <c r="FQ48" s="526">
        <f>FF48/FG48</f>
        <v>2.6709517355397991E-2</v>
      </c>
      <c r="FS48" s="739">
        <f>FS47</f>
        <v>0</v>
      </c>
      <c r="FT48" s="474">
        <f t="shared" ref="FT48" si="408">FS48-SUM(FB48:FD48)</f>
        <v>-1871.9918946755138</v>
      </c>
      <c r="FU48" s="948" t="e">
        <f t="shared" ref="FU48" si="409">FT48/FS48</f>
        <v>#DIV/0!</v>
      </c>
      <c r="FV48" s="944">
        <f t="shared" ref="FV48" si="410">FS48-FG48</f>
        <v>-1871.9918946755138</v>
      </c>
      <c r="FW48" s="296" t="e">
        <f t="shared" ref="FW48" si="411">FV48/FS48</f>
        <v>#DIV/0!</v>
      </c>
    </row>
    <row r="49" spans="11:170" x14ac:dyDescent="0.35">
      <c r="K49" s="353"/>
      <c r="U49" s="375"/>
      <c r="V49" s="343"/>
      <c r="Y49" s="463">
        <f>Y13</f>
        <v>10000</v>
      </c>
      <c r="Z49" s="362">
        <v>4.1730000000000003E-2</v>
      </c>
      <c r="AA49" s="927">
        <f>Y49*Z49</f>
        <v>417.3</v>
      </c>
      <c r="AB49" s="851" t="s">
        <v>731</v>
      </c>
      <c r="AC49" s="842"/>
      <c r="AH49" s="374"/>
      <c r="AI49" s="565"/>
      <c r="AJ49" s="851"/>
      <c r="AK49" s="851"/>
      <c r="AS49" s="353"/>
      <c r="AT49" s="888"/>
      <c r="AU49" s="888"/>
      <c r="AV49" s="349"/>
      <c r="AW49" s="352"/>
      <c r="AX49" s="894" t="s">
        <v>596</v>
      </c>
      <c r="AY49" s="895"/>
      <c r="AZ49" s="467">
        <f>$AZ$46/$BB$46*BB49</f>
        <v>21451.678771891693</v>
      </c>
      <c r="BA49" s="348">
        <v>5.3204095748025405E-3</v>
      </c>
      <c r="BB49" s="451">
        <f>BB11</f>
        <v>1.0642201834862386</v>
      </c>
      <c r="BC49" s="433" t="s">
        <v>597</v>
      </c>
      <c r="BD49" s="423"/>
      <c r="BE49" s="376"/>
      <c r="BF49" s="376"/>
      <c r="BG49" s="376"/>
      <c r="BH49" s="376"/>
      <c r="BI49" s="376"/>
      <c r="CZ49" s="387">
        <v>0.6</v>
      </c>
      <c r="DA49" s="772" t="s">
        <v>873</v>
      </c>
      <c r="DB49" s="453">
        <f>DB45*$CZ$49</f>
        <v>11615.374263164198</v>
      </c>
      <c r="DC49" s="453">
        <f t="shared" ref="DC49:DI49" si="412">DC45*$CZ$49</f>
        <v>8260.7242137328612</v>
      </c>
      <c r="DD49" s="456">
        <f t="shared" si="412"/>
        <v>2193.1126231149187</v>
      </c>
      <c r="DE49" s="456">
        <f t="shared" ref="DE49" si="413">DE45*$CZ$49</f>
        <v>1944.5515758396057</v>
      </c>
      <c r="DF49" s="453">
        <f t="shared" ref="DF49" si="414">DF45*$CZ$49</f>
        <v>966.50895725075713</v>
      </c>
      <c r="DG49" s="476">
        <f>DG47*$CZ$49</f>
        <v>-410.70799999999997</v>
      </c>
      <c r="DH49" s="453">
        <f t="shared" si="412"/>
        <v>-143.79999999999998</v>
      </c>
      <c r="DI49" s="453">
        <f t="shared" si="412"/>
        <v>1161.5374263164199</v>
      </c>
      <c r="DK49" s="730">
        <f t="shared" si="366"/>
        <v>13971.926796254562</v>
      </c>
      <c r="DL49" s="453">
        <f t="shared" si="367"/>
        <v>527.24252061337972</v>
      </c>
      <c r="DM49" s="476">
        <f t="shared" si="368"/>
        <v>597.24252061337972</v>
      </c>
      <c r="DN49" s="340"/>
      <c r="DP49" s="340" t="s">
        <v>714</v>
      </c>
      <c r="DQ49" s="481" t="s">
        <v>713</v>
      </c>
      <c r="DT49" s="772" t="s">
        <v>873</v>
      </c>
    </row>
    <row r="50" spans="11:170" x14ac:dyDescent="0.35">
      <c r="K50" s="353"/>
      <c r="U50" s="341"/>
      <c r="V50" s="343"/>
      <c r="Z50" s="341"/>
      <c r="AA50" s="928"/>
      <c r="AB50" s="852"/>
      <c r="AC50" s="844"/>
      <c r="AH50" s="391">
        <f>SUM(AH51:AH59)</f>
        <v>1.0147403373707136E-2</v>
      </c>
      <c r="AI50" s="564">
        <f>SUM(AI51:AI60)</f>
        <v>45.990237210778169</v>
      </c>
      <c r="AJ50" s="852"/>
      <c r="AK50" s="852"/>
      <c r="AS50" s="353"/>
      <c r="AT50" s="888"/>
      <c r="AU50" s="888"/>
      <c r="AW50" s="353"/>
      <c r="AX50" s="896"/>
      <c r="AY50" s="897"/>
      <c r="BA50" s="361"/>
      <c r="BB50" s="361"/>
      <c r="BC50" s="431"/>
      <c r="BD50" s="432"/>
      <c r="BE50" s="376"/>
      <c r="BF50" s="376"/>
      <c r="BG50" s="376"/>
      <c r="BH50" s="376"/>
      <c r="BI50" s="376"/>
      <c r="DR50" s="500" t="s">
        <v>682</v>
      </c>
      <c r="DS50" s="500"/>
      <c r="DT50" s="500"/>
      <c r="EO50" s="463">
        <f>EO40</f>
        <v>50</v>
      </c>
      <c r="EP50" s="739">
        <f t="shared" ref="EP50:EP51" si="415">EN50+EO50</f>
        <v>50</v>
      </c>
      <c r="EQ50" s="471"/>
      <c r="ER50" s="739">
        <f>SUM(DV50,DZ50,EA50)/$EG$1</f>
        <v>0</v>
      </c>
      <c r="ES50" s="739">
        <f>(SUM(DW50,EB50,EC50,EI50:EK50))/$EG$1</f>
        <v>0</v>
      </c>
      <c r="ET50" s="739"/>
      <c r="EU50" s="739">
        <f t="shared" ref="EU50:EU51" si="416">SUM(ER50:ES50)</f>
        <v>0</v>
      </c>
      <c r="EW50" s="739">
        <f>SUM(DV50,DZ50,EA50)</f>
        <v>0</v>
      </c>
      <c r="EX50" s="739">
        <f>(SUM(DW50,EB50,EC50,EI50:EK50))+EO50*$EG$1</f>
        <v>1325</v>
      </c>
      <c r="EY50" s="739"/>
      <c r="EZ50" s="739">
        <f t="shared" ref="EZ50:EZ51" si="417">SUM(EW50:EX50)</f>
        <v>1325</v>
      </c>
      <c r="FB50" s="739">
        <f>SUM(EK50,EN50,EO50)/$EG$1</f>
        <v>1.8867924528301887</v>
      </c>
      <c r="FC50" s="739"/>
      <c r="FD50" s="739">
        <f>(SUM(EL50,EP50,EQ50,EV50:EX50))/$EG$1</f>
        <v>51.886792452830186</v>
      </c>
      <c r="FE50" s="739"/>
      <c r="FF50" s="739"/>
      <c r="FG50" s="739">
        <f t="shared" ref="FG50:FG51" si="418">SUM(FB50:FD50)</f>
        <v>53.773584905660371</v>
      </c>
      <c r="FI50" s="739">
        <f t="shared" ref="FI50:FI51" si="419">DV50</f>
        <v>0</v>
      </c>
      <c r="FJ50" s="739">
        <f t="shared" ref="FJ50:FJ51" si="420">SUM(DX50:EA50)</f>
        <v>0</v>
      </c>
      <c r="FK50" s="739">
        <f t="shared" ref="FK50:FK51" si="421">SUM(DW50,EB50,EC50)</f>
        <v>0</v>
      </c>
      <c r="FL50" s="739">
        <f t="shared" ref="FL50:FL51" si="422">SUM(EI50:EK50)</f>
        <v>0</v>
      </c>
      <c r="FM50" s="739">
        <f t="shared" ref="FM50:FM51" si="423">EY50</f>
        <v>0</v>
      </c>
      <c r="FN50" s="739">
        <f t="shared" ref="FN50:FN51" si="424">SUM(FI50:FM50)</f>
        <v>0</v>
      </c>
    </row>
    <row r="51" spans="11:170" x14ac:dyDescent="0.35">
      <c r="K51" s="353"/>
      <c r="U51" s="341"/>
      <c r="V51" s="343"/>
      <c r="Y51" s="453">
        <v>12000</v>
      </c>
      <c r="Z51" s="560">
        <v>8.8730000000000007E-3</v>
      </c>
      <c r="AA51" s="927">
        <f>Y51*Z51</f>
        <v>106.47600000000001</v>
      </c>
      <c r="AB51" s="854" t="s">
        <v>598</v>
      </c>
      <c r="AC51" s="855"/>
      <c r="AG51" s="463">
        <f>AG33</f>
        <v>4500</v>
      </c>
      <c r="AH51" s="362">
        <v>1.9230707593885918E-3</v>
      </c>
      <c r="AI51" s="927">
        <f>AG51*AH51</f>
        <v>8.6538184172486634</v>
      </c>
      <c r="AJ51" s="894" t="s">
        <v>599</v>
      </c>
      <c r="AK51" s="895"/>
      <c r="AM51" s="341"/>
      <c r="AS51" s="353"/>
      <c r="AT51" s="888"/>
      <c r="AU51" s="888"/>
      <c r="AW51" s="353"/>
      <c r="AX51" s="368"/>
      <c r="AY51" s="368"/>
      <c r="BA51" s="357">
        <v>5.3204095748025405E-3</v>
      </c>
      <c r="BB51" s="357"/>
      <c r="BC51" s="434" t="s">
        <v>600</v>
      </c>
      <c r="BD51" s="434"/>
      <c r="BE51" s="368"/>
      <c r="BF51" s="368"/>
      <c r="BG51" s="368"/>
      <c r="BH51" s="368"/>
      <c r="BI51" s="368"/>
      <c r="DR51" s="500" t="s">
        <v>683</v>
      </c>
      <c r="DS51" s="500"/>
      <c r="DT51" s="500"/>
      <c r="EO51" s="463">
        <f>EO41</f>
        <v>50</v>
      </c>
      <c r="EP51" s="739">
        <f t="shared" si="415"/>
        <v>50</v>
      </c>
      <c r="EQ51" s="471"/>
      <c r="ER51" s="739">
        <f>SUM(DV51,DZ51,EA51)/$EG$1</f>
        <v>0</v>
      </c>
      <c r="ES51" s="739">
        <f>(SUM(DW51,EB51,EC51,EI51:EK51))/$EG$1</f>
        <v>0</v>
      </c>
      <c r="ET51" s="739"/>
      <c r="EU51" s="739">
        <f t="shared" si="416"/>
        <v>0</v>
      </c>
      <c r="EW51" s="739">
        <f>SUM(DV51,DZ51,EA51)</f>
        <v>0</v>
      </c>
      <c r="EX51" s="739">
        <f>(SUM(DW51,EB51,EC51,EI51:EK51))+EO51*$EG$1</f>
        <v>1325</v>
      </c>
      <c r="EY51" s="739"/>
      <c r="EZ51" s="739">
        <f t="shared" si="417"/>
        <v>1325</v>
      </c>
      <c r="FB51" s="739">
        <f>SUM(EK51,EN51,EO51)/$EG$1</f>
        <v>1.8867924528301887</v>
      </c>
      <c r="FC51" s="739"/>
      <c r="FD51" s="739">
        <f>(SUM(EL51,EP51,EQ51,EV51:EX51))/$EG$1</f>
        <v>51.886792452830186</v>
      </c>
      <c r="FE51" s="739"/>
      <c r="FF51" s="739"/>
      <c r="FG51" s="739">
        <f t="shared" si="418"/>
        <v>53.773584905660371</v>
      </c>
      <c r="FI51" s="739">
        <f t="shared" si="419"/>
        <v>0</v>
      </c>
      <c r="FJ51" s="739">
        <f t="shared" si="420"/>
        <v>0</v>
      </c>
      <c r="FK51" s="739">
        <f t="shared" si="421"/>
        <v>0</v>
      </c>
      <c r="FL51" s="739">
        <f t="shared" si="422"/>
        <v>0</v>
      </c>
      <c r="FM51" s="739">
        <f t="shared" si="423"/>
        <v>0</v>
      </c>
      <c r="FN51" s="739">
        <f t="shared" si="424"/>
        <v>0</v>
      </c>
    </row>
    <row r="52" spans="11:170" x14ac:dyDescent="0.35">
      <c r="K52" s="353"/>
      <c r="U52" s="341"/>
      <c r="V52" s="343"/>
      <c r="Z52" s="350"/>
      <c r="AA52" s="928"/>
      <c r="AB52" s="856"/>
      <c r="AC52" s="857"/>
      <c r="AH52" s="343"/>
      <c r="AI52" s="928"/>
      <c r="AJ52" s="896"/>
      <c r="AK52" s="897"/>
      <c r="AM52" s="341"/>
      <c r="AS52" s="353"/>
      <c r="AT52" s="888"/>
      <c r="AU52" s="888"/>
      <c r="AW52" s="353"/>
      <c r="AX52" s="368"/>
      <c r="AY52" s="368"/>
      <c r="AZ52" s="463">
        <f>AZ49-AZ53</f>
        <v>554.78479582478758</v>
      </c>
      <c r="BA52" s="361"/>
      <c r="BB52" s="361"/>
      <c r="BC52" s="434"/>
      <c r="BD52" s="434"/>
      <c r="BE52" s="368"/>
      <c r="BF52" s="368"/>
      <c r="BG52" s="368"/>
      <c r="BH52" s="368"/>
      <c r="BI52" s="368"/>
    </row>
    <row r="53" spans="11:170" ht="15" customHeight="1" x14ac:dyDescent="0.35">
      <c r="K53" s="353"/>
      <c r="U53" s="341"/>
      <c r="V53" s="343"/>
      <c r="Y53" s="463">
        <f>Y15</f>
        <v>2000</v>
      </c>
      <c r="Z53" s="350">
        <v>1.4863671985386871E-2</v>
      </c>
      <c r="AA53" s="927">
        <f>Y53*Z53</f>
        <v>29.727343970773742</v>
      </c>
      <c r="AB53" s="858" t="s">
        <v>568</v>
      </c>
      <c r="AC53" s="859"/>
      <c r="AG53" s="463">
        <f>Y84</f>
        <v>6000</v>
      </c>
      <c r="AH53" s="350">
        <v>1.9230707593885918E-3</v>
      </c>
      <c r="AI53" s="927">
        <f>AG53*AH53</f>
        <v>11.538424556331551</v>
      </c>
      <c r="AJ53" s="858" t="s">
        <v>601</v>
      </c>
      <c r="AK53" s="859"/>
      <c r="AM53" s="341"/>
      <c r="AS53" s="353"/>
      <c r="AT53" s="888"/>
      <c r="AU53" s="888"/>
      <c r="AW53" s="353"/>
      <c r="AX53" s="378"/>
      <c r="AY53" s="378"/>
      <c r="AZ53" s="467">
        <f>$AZ$46/$BB$46*BB53</f>
        <v>20896.893976066905</v>
      </c>
      <c r="BA53" s="357">
        <v>0</v>
      </c>
      <c r="BB53" s="450">
        <f>BB13</f>
        <v>1.036697247706422</v>
      </c>
      <c r="BC53" s="434" t="s">
        <v>590</v>
      </c>
      <c r="BD53" s="434"/>
      <c r="BE53" s="378"/>
      <c r="BF53" s="378"/>
      <c r="BG53" s="378"/>
      <c r="BH53" s="378"/>
      <c r="BI53" s="378"/>
    </row>
    <row r="54" spans="11:170" x14ac:dyDescent="0.35">
      <c r="K54" s="353"/>
      <c r="U54" s="341"/>
      <c r="V54" s="343"/>
      <c r="Z54" s="350"/>
      <c r="AA54" s="928"/>
      <c r="AB54" s="860"/>
      <c r="AC54" s="861"/>
      <c r="AH54" s="343"/>
      <c r="AI54" s="928"/>
      <c r="AJ54" s="860"/>
      <c r="AK54" s="861"/>
      <c r="AM54" s="341"/>
      <c r="AS54" s="353"/>
      <c r="AT54" s="888"/>
      <c r="AU54" s="888"/>
      <c r="AW54" s="353"/>
      <c r="AX54" s="378"/>
      <c r="AY54" s="378"/>
      <c r="BA54" s="361"/>
      <c r="BB54" s="361"/>
      <c r="BC54" s="434"/>
      <c r="BD54" s="434"/>
      <c r="BE54" s="378"/>
      <c r="BF54" s="378"/>
      <c r="BG54" s="378"/>
      <c r="BH54" s="378"/>
      <c r="BI54" s="378"/>
    </row>
    <row r="55" spans="11:170" ht="15" customHeight="1" x14ac:dyDescent="0.35">
      <c r="K55" s="353"/>
      <c r="U55" s="341"/>
      <c r="V55" s="343"/>
      <c r="Y55" s="463">
        <f>Y19</f>
        <v>7000</v>
      </c>
      <c r="Z55" s="350">
        <v>1.6055212918750891E-2</v>
      </c>
      <c r="AA55" s="927">
        <f>Y55*Z55</f>
        <v>112.38649043125623</v>
      </c>
      <c r="AB55" s="851" t="s">
        <v>572</v>
      </c>
      <c r="AC55" s="842"/>
      <c r="AG55" s="463">
        <f>AG21</f>
        <v>8000</v>
      </c>
      <c r="AH55" s="350">
        <v>1.9230707593885918E-3</v>
      </c>
      <c r="AI55" s="927">
        <f>AG55*AH55</f>
        <v>15.384566075108735</v>
      </c>
      <c r="AJ55" s="841" t="s">
        <v>575</v>
      </c>
      <c r="AK55" s="842"/>
      <c r="AM55" s="341"/>
      <c r="AS55" s="353"/>
      <c r="AT55" s="888"/>
      <c r="AU55" s="888"/>
      <c r="AW55" s="353"/>
      <c r="BA55" s="357"/>
      <c r="BB55" s="350"/>
      <c r="BC55" s="368"/>
      <c r="BD55" s="368"/>
    </row>
    <row r="56" spans="11:170" x14ac:dyDescent="0.35">
      <c r="K56" s="353"/>
      <c r="U56" s="341"/>
      <c r="V56" s="343"/>
      <c r="W56" s="341"/>
      <c r="Z56" s="350"/>
      <c r="AA56" s="928"/>
      <c r="AB56" s="852"/>
      <c r="AC56" s="844"/>
      <c r="AH56" s="343"/>
      <c r="AI56" s="928"/>
      <c r="AJ56" s="843"/>
      <c r="AK56" s="844"/>
      <c r="AS56" s="353"/>
      <c r="AT56" s="888"/>
      <c r="AU56" s="888"/>
      <c r="AW56" s="353"/>
      <c r="BA56" s="361"/>
      <c r="BB56" s="684">
        <f>SUM(BB57:BB61)</f>
        <v>227.79357778196965</v>
      </c>
      <c r="BC56" s="436"/>
      <c r="BD56" s="436"/>
    </row>
    <row r="57" spans="11:170" ht="17.25" customHeight="1" x14ac:dyDescent="0.35">
      <c r="K57" s="353"/>
      <c r="V57" s="343"/>
      <c r="Y57" s="463">
        <f>Y13</f>
        <v>10000</v>
      </c>
      <c r="Z57" s="350">
        <v>2.5637066536927573E-3</v>
      </c>
      <c r="AA57" s="927">
        <f>Y57*Z57</f>
        <v>25.637066536927573</v>
      </c>
      <c r="AB57" s="841" t="s">
        <v>565</v>
      </c>
      <c r="AC57" s="842"/>
      <c r="AG57" s="463">
        <f>AG27</f>
        <v>4166.6666666666661</v>
      </c>
      <c r="AH57" s="350">
        <v>1.4423030695414438E-3</v>
      </c>
      <c r="AI57" s="927">
        <f>AG57*AH57</f>
        <v>6.0095961230893487</v>
      </c>
      <c r="AJ57" s="841" t="s">
        <v>583</v>
      </c>
      <c r="AK57" s="842"/>
      <c r="AS57" s="353"/>
      <c r="AW57" s="353"/>
      <c r="AZ57" s="453">
        <v>19065</v>
      </c>
      <c r="BA57" s="362">
        <v>3.2406131046524562E-3</v>
      </c>
      <c r="BB57" s="683">
        <f>AZ57*BA57</f>
        <v>61.78228884019908</v>
      </c>
      <c r="BC57" s="431" t="s">
        <v>603</v>
      </c>
      <c r="BD57" s="430"/>
    </row>
    <row r="58" spans="11:170" ht="15.75" customHeight="1" x14ac:dyDescent="0.35">
      <c r="K58" s="353"/>
      <c r="V58" s="343"/>
      <c r="Z58" s="350"/>
      <c r="AA58" s="928"/>
      <c r="AB58" s="843"/>
      <c r="AC58" s="844"/>
      <c r="AH58" s="350"/>
      <c r="AI58" s="928"/>
      <c r="AJ58" s="843"/>
      <c r="AK58" s="844"/>
      <c r="AS58" s="353"/>
      <c r="AW58" s="353"/>
      <c r="BA58" s="343"/>
      <c r="BB58" s="343"/>
      <c r="BC58" s="430"/>
      <c r="BD58" s="430"/>
    </row>
    <row r="59" spans="11:170" ht="16" x14ac:dyDescent="0.35">
      <c r="K59" s="353"/>
      <c r="V59" s="343"/>
      <c r="Y59" s="463">
        <f>Y17</f>
        <v>4166.6666666666661</v>
      </c>
      <c r="Z59" s="350">
        <v>3.4959636186719417E-3</v>
      </c>
      <c r="AA59" s="927">
        <f>Y59*Z59</f>
        <v>14.566515077799755</v>
      </c>
      <c r="AB59" s="841" t="s">
        <v>571</v>
      </c>
      <c r="AC59" s="842"/>
      <c r="AG59" s="463">
        <f>AG112</f>
        <v>1500</v>
      </c>
      <c r="AH59" s="350">
        <v>2.9358880259999168E-3</v>
      </c>
      <c r="AI59" s="927">
        <f>AG59*AH59</f>
        <v>4.4038320389998749</v>
      </c>
      <c r="AJ59" s="846" t="s">
        <v>602</v>
      </c>
      <c r="AK59" s="847"/>
      <c r="AS59" s="353"/>
      <c r="AW59" s="353"/>
      <c r="AZ59" s="453">
        <v>6500</v>
      </c>
      <c r="BA59" s="577">
        <v>1.6164371635445537E-2</v>
      </c>
      <c r="BB59" s="683">
        <f>AZ59*BA59</f>
        <v>105.06841563039599</v>
      </c>
      <c r="BC59" s="431" t="s">
        <v>576</v>
      </c>
      <c r="BD59" s="432"/>
    </row>
    <row r="60" spans="11:170" x14ac:dyDescent="0.35">
      <c r="K60" s="353"/>
      <c r="V60" s="343"/>
      <c r="Z60" s="380"/>
      <c r="AA60" s="928"/>
      <c r="AB60" s="843"/>
      <c r="AC60" s="844"/>
      <c r="AH60" s="350"/>
      <c r="AI60" s="928"/>
      <c r="AJ60" s="848"/>
      <c r="AK60" s="849"/>
      <c r="AS60" s="353"/>
      <c r="AW60" s="353"/>
      <c r="BA60" s="343"/>
      <c r="BB60" s="343"/>
      <c r="BC60" s="424"/>
      <c r="BD60" s="425"/>
    </row>
    <row r="61" spans="11:170" ht="17.25" customHeight="1" x14ac:dyDescent="0.35">
      <c r="K61" s="353"/>
      <c r="V61" s="343"/>
      <c r="Y61" s="463">
        <f>Y21</f>
        <v>-300</v>
      </c>
      <c r="Z61" s="350">
        <v>2.2665497461056422E-3</v>
      </c>
      <c r="AA61" s="927">
        <f>Y61*Z61</f>
        <v>-0.67996492383169271</v>
      </c>
      <c r="AB61" s="851" t="s">
        <v>574</v>
      </c>
      <c r="AC61" s="842"/>
      <c r="AG61" s="463">
        <f>Z41</f>
        <v>16559.976335289914</v>
      </c>
      <c r="AH61" s="388">
        <v>4.9500000000000002E-2</v>
      </c>
      <c r="AI61" s="741">
        <f>AG61*AH61</f>
        <v>819.71882859685081</v>
      </c>
      <c r="AJ61" s="837" t="s">
        <v>482</v>
      </c>
      <c r="AK61" s="838"/>
      <c r="AS61" s="353"/>
      <c r="AW61" s="353"/>
      <c r="AZ61" s="453">
        <v>8000</v>
      </c>
      <c r="BA61" s="350">
        <v>7.6178591639218191E-3</v>
      </c>
      <c r="BB61" s="683">
        <f>AZ61*BA61</f>
        <v>60.942873311374555</v>
      </c>
      <c r="BC61" s="422" t="s">
        <v>579</v>
      </c>
      <c r="BD61" s="423"/>
    </row>
    <row r="62" spans="11:170" x14ac:dyDescent="0.35">
      <c r="K62" s="353"/>
      <c r="V62" s="343"/>
      <c r="Z62" s="343"/>
      <c r="AA62" s="928"/>
      <c r="AB62" s="898"/>
      <c r="AC62" s="887"/>
      <c r="AI62" s="741"/>
      <c r="AJ62" s="839"/>
      <c r="AK62" s="840"/>
      <c r="AS62" s="353"/>
      <c r="AW62" s="353"/>
      <c r="BA62" s="343"/>
      <c r="BB62" s="343"/>
      <c r="BC62" s="424"/>
      <c r="BD62" s="425"/>
    </row>
    <row r="63" spans="11:170" x14ac:dyDescent="0.35">
      <c r="K63" s="353"/>
      <c r="V63" s="343"/>
      <c r="Y63" s="463">
        <f>Y23</f>
        <v>2500</v>
      </c>
      <c r="Z63" s="350">
        <v>8.1281154134122649E-4</v>
      </c>
      <c r="AA63" s="927">
        <f>Y63*Z63</f>
        <v>2.0320288533530664</v>
      </c>
      <c r="AB63" s="850" t="s">
        <v>577</v>
      </c>
      <c r="AC63" s="850"/>
      <c r="AH63" s="341"/>
      <c r="AS63" s="353"/>
      <c r="AW63" s="353"/>
      <c r="BA63" s="343"/>
      <c r="BB63" s="343"/>
      <c r="BC63" s="368"/>
      <c r="BD63" s="368"/>
    </row>
    <row r="64" spans="11:170" x14ac:dyDescent="0.35">
      <c r="K64" s="353"/>
      <c r="V64" s="343"/>
      <c r="AA64" s="928"/>
      <c r="AB64" s="850"/>
      <c r="AC64" s="850"/>
      <c r="AH64" s="341"/>
      <c r="AS64" s="353"/>
      <c r="AW64" s="353"/>
      <c r="AZ64" s="463">
        <f>AZ66-AZ65</f>
        <v>-935.33292827740297</v>
      </c>
      <c r="BA64" s="343"/>
      <c r="BB64" s="580" t="s">
        <v>712</v>
      </c>
      <c r="BC64" s="518">
        <f>'Hảo_R&amp;D (Vảy sạch)'!BR3</f>
        <v>0.13333333333333333</v>
      </c>
    </row>
    <row r="65" spans="4:98" ht="16" x14ac:dyDescent="0.35">
      <c r="K65" s="353"/>
      <c r="V65" s="343"/>
      <c r="Z65" s="350"/>
      <c r="AA65" s="935"/>
      <c r="AB65" s="898"/>
      <c r="AC65" s="898"/>
      <c r="AS65" s="353"/>
      <c r="AW65" s="353"/>
      <c r="AZ65" s="466">
        <f>($AI$5*0.6+$AI$123*0.25+$AI$5*0.15+$AI$5*0.05)/BA65</f>
        <v>22941.79649599388</v>
      </c>
      <c r="BA65" s="578">
        <f>SUM(BA66:BA68,BA72)</f>
        <v>0.91300000000000003</v>
      </c>
      <c r="BB65" s="581">
        <f>SUM(BA66*BB66,BA68*BB68,BA72*BB72)</f>
        <v>0.99084403669724752</v>
      </c>
      <c r="BD65" s="438">
        <f>(0.6*AK6+AK124*0.25+AK6*0.15+0.05*AK6)*BA65</f>
        <v>0.7678253349698998</v>
      </c>
      <c r="BE65" s="468">
        <f>($N$5/BD65)*0.6+($N$123/BD65)*0.25+($N$5/BD65)*0.15+($N$5/BD65)*0.05</f>
        <v>22181.872429710336</v>
      </c>
      <c r="BF65" s="682">
        <f>BE65-AZ65</f>
        <v>-759.92406628354365</v>
      </c>
    </row>
    <row r="66" spans="4:98" ht="16" x14ac:dyDescent="0.35">
      <c r="K66" s="353"/>
      <c r="M66" s="340" t="s">
        <v>47</v>
      </c>
      <c r="N66" s="453">
        <f>$E$5*$L$71</f>
        <v>213.85983635716829</v>
      </c>
      <c r="V66" s="343"/>
      <c r="AA66" s="853"/>
      <c r="AB66" s="898"/>
      <c r="AC66" s="898"/>
      <c r="AS66" s="353"/>
      <c r="AW66" s="369"/>
      <c r="AX66" s="370"/>
      <c r="AY66" s="370"/>
      <c r="AZ66" s="467">
        <f>$AZ$46/$BB$46*BB66</f>
        <v>22006.463567716477</v>
      </c>
      <c r="BA66" s="577">
        <v>0.72099999999999997</v>
      </c>
      <c r="BB66" s="581">
        <f>BB26</f>
        <v>1.0917431192660549</v>
      </c>
      <c r="BC66" s="433" t="s">
        <v>582</v>
      </c>
      <c r="BD66" s="423"/>
      <c r="BE66" s="376"/>
      <c r="BF66" s="376"/>
    </row>
    <row r="67" spans="4:98" ht="45.5" x14ac:dyDescent="0.35">
      <c r="K67" s="353"/>
      <c r="M67" s="340" t="s">
        <v>653</v>
      </c>
      <c r="N67" s="453">
        <f>(($E$5+$H$5)*$G$5/(1-$G$5)+$H$5)*$L$71</f>
        <v>86.847701490177485</v>
      </c>
      <c r="Q67" s="384" t="s">
        <v>858</v>
      </c>
      <c r="R67" s="340" t="s">
        <v>859</v>
      </c>
      <c r="S67" s="340" t="s">
        <v>860</v>
      </c>
      <c r="T67" s="340" t="s">
        <v>861</v>
      </c>
      <c r="V67" s="343"/>
      <c r="Z67" s="384" t="s">
        <v>858</v>
      </c>
      <c r="AA67" s="340" t="s">
        <v>859</v>
      </c>
      <c r="AB67" s="340" t="s">
        <v>860</v>
      </c>
      <c r="AC67" s="340" t="s">
        <v>861</v>
      </c>
      <c r="AH67" s="384" t="s">
        <v>862</v>
      </c>
      <c r="AI67" s="384" t="s">
        <v>863</v>
      </c>
      <c r="AJ67" s="384" t="s">
        <v>864</v>
      </c>
      <c r="AK67" s="340" t="s">
        <v>861</v>
      </c>
      <c r="AS67" s="353"/>
      <c r="AW67" s="369"/>
      <c r="AX67" s="377"/>
      <c r="AY67" s="377"/>
      <c r="AZ67" s="469">
        <f>AZ66-AZ68</f>
        <v>554.78479582478394</v>
      </c>
      <c r="BA67" s="356"/>
      <c r="BB67" s="356"/>
      <c r="BC67" s="424"/>
      <c r="BD67" s="425"/>
      <c r="BE67" s="376"/>
      <c r="BF67" s="376"/>
    </row>
    <row r="68" spans="4:98" ht="16" x14ac:dyDescent="0.35">
      <c r="K68" s="353"/>
      <c r="L68" s="340" t="s">
        <v>712</v>
      </c>
      <c r="M68" s="340" t="s">
        <v>655</v>
      </c>
      <c r="N68" s="455">
        <f>N66+N67</f>
        <v>300.70753784734575</v>
      </c>
      <c r="Q68" s="453"/>
      <c r="R68" s="463"/>
      <c r="V68" s="343"/>
      <c r="Z68" s="468">
        <f>Q69/$Z$70</f>
        <v>11023.702905008673</v>
      </c>
      <c r="AA68" s="468">
        <f>R69/$Z$70</f>
        <v>1550.0388548832254</v>
      </c>
      <c r="AB68" s="468">
        <f t="shared" ref="AB68" si="425">S69/$Z$70</f>
        <v>2926.6467889403557</v>
      </c>
      <c r="AC68" s="463">
        <f>Z69-Z68-AA68-AB68</f>
        <v>0</v>
      </c>
      <c r="AH68" s="468">
        <f>Z68/$AH$71</f>
        <v>12442.102601589924</v>
      </c>
      <c r="AI68" s="468">
        <f t="shared" ref="AI68:AJ68" si="426">AA68/$AH$71</f>
        <v>1749.4795201842273</v>
      </c>
      <c r="AJ68" s="468">
        <f t="shared" si="426"/>
        <v>3303.2130800681216</v>
      </c>
      <c r="AK68" s="463">
        <f>AH70-AH68-AI68-AJ68</f>
        <v>3.637978807091713E-12</v>
      </c>
      <c r="AQ68" s="452">
        <v>26.5</v>
      </c>
      <c r="AS68" s="353"/>
      <c r="AW68" s="352"/>
      <c r="AX68" s="894" t="s">
        <v>822</v>
      </c>
      <c r="AY68" s="895"/>
      <c r="AZ68" s="467">
        <f>$AZ$46/$BB$46*BB68</f>
        <v>21451.678771891693</v>
      </c>
      <c r="BA68" s="577">
        <v>0.16900000000000001</v>
      </c>
      <c r="BB68" s="451">
        <f>BB30</f>
        <v>1.0642201834862386</v>
      </c>
      <c r="BC68" s="433" t="s">
        <v>588</v>
      </c>
      <c r="BD68" s="423"/>
      <c r="BE68" s="376"/>
      <c r="BF68" s="376"/>
    </row>
    <row r="69" spans="4:98" ht="17.5" x14ac:dyDescent="0.35">
      <c r="K69" s="353"/>
      <c r="M69" s="340" t="s">
        <v>724</v>
      </c>
      <c r="N69" s="455">
        <f>N68/($J$71/(1-$G$5))*1000</f>
        <v>13531.839203130559</v>
      </c>
      <c r="O69" s="453">
        <f>'Giá mua Chai-Vảy'!E16</f>
        <v>13300</v>
      </c>
      <c r="P69" s="463">
        <f>N69-O69</f>
        <v>231.83920313055933</v>
      </c>
      <c r="Q69" s="453">
        <f>'Giá mua Chai-Vảy (Giá giảm)'!I26</f>
        <v>9623.692636072572</v>
      </c>
      <c r="R69" s="453">
        <f>'Giá mua Chai-Vảy (Giá giảm)'!K26</f>
        <v>1353.1839203130558</v>
      </c>
      <c r="S69" s="453">
        <f>'Giá mua Chai-Vảy (Giá giảm)'!L26</f>
        <v>2554.9626467449307</v>
      </c>
      <c r="T69" s="463">
        <f>N69-Q69-R69-S69</f>
        <v>0</v>
      </c>
      <c r="V69" s="343"/>
      <c r="Z69" s="465">
        <f>N69/Z70</f>
        <v>15500.388548832256</v>
      </c>
      <c r="AA69" s="465">
        <f>Z69-AA73</f>
        <v>14827.188548832255</v>
      </c>
      <c r="AI69" s="394" t="s">
        <v>712</v>
      </c>
      <c r="AJ69" s="342">
        <f>V71</f>
        <v>0.02</v>
      </c>
      <c r="AK69" s="454">
        <f>N69/AK70</f>
        <v>17494.795201842277</v>
      </c>
      <c r="AM69" s="453">
        <v>6000</v>
      </c>
      <c r="AP69" s="511">
        <f>AK69+AM69</f>
        <v>23494.795201842277</v>
      </c>
      <c r="AQ69" s="512">
        <f>AP69/AQ68</f>
        <v>886.59604535253879</v>
      </c>
      <c r="AS69" s="353"/>
      <c r="AW69" s="349"/>
      <c r="AX69" s="896"/>
      <c r="AY69" s="897"/>
      <c r="BA69" s="361"/>
      <c r="BB69" s="361"/>
      <c r="BC69" s="431"/>
      <c r="BD69" s="432"/>
      <c r="BE69" s="376"/>
      <c r="BF69" s="376"/>
    </row>
    <row r="70" spans="4:98" x14ac:dyDescent="0.35">
      <c r="K70" s="353"/>
      <c r="N70" s="460"/>
      <c r="V70" s="343"/>
      <c r="Z70" s="418">
        <f>Z71</f>
        <v>0.873</v>
      </c>
      <c r="AH70" s="465">
        <f>Z69/AH71</f>
        <v>17494.795201842277</v>
      </c>
      <c r="AI70" s="465">
        <f>AH70-AI74</f>
        <v>17041.795201842277</v>
      </c>
      <c r="AK70" s="388">
        <f>AH71*Z71</f>
        <v>0.773478</v>
      </c>
      <c r="AS70" s="353"/>
      <c r="AW70" s="349"/>
      <c r="AX70" s="368"/>
      <c r="AY70" s="368"/>
      <c r="BA70" s="357">
        <v>1.7000000000000001E-2</v>
      </c>
      <c r="BB70" s="357"/>
      <c r="BC70" s="434" t="s">
        <v>586</v>
      </c>
      <c r="BD70" s="434"/>
      <c r="BE70" s="368"/>
      <c r="BF70" s="368"/>
    </row>
    <row r="71" spans="4:98" x14ac:dyDescent="0.35">
      <c r="D71" s="878"/>
      <c r="E71" s="841" t="s">
        <v>548</v>
      </c>
      <c r="F71" s="842"/>
      <c r="G71" s="346"/>
      <c r="H71" s="862" t="s">
        <v>549</v>
      </c>
      <c r="I71" s="863"/>
      <c r="J71" s="340">
        <v>20</v>
      </c>
      <c r="K71" s="371">
        <v>0.02</v>
      </c>
      <c r="L71" s="575">
        <f>'Giá mua Chai-Vảy (Giá giảm)'!H16</f>
        <v>1.8925649235147637E-2</v>
      </c>
      <c r="M71" s="866"/>
      <c r="N71" s="868" t="s">
        <v>389</v>
      </c>
      <c r="O71" s="869"/>
      <c r="P71" s="346"/>
      <c r="Q71" s="346"/>
      <c r="R71" s="845"/>
      <c r="S71" s="872" t="s">
        <v>389</v>
      </c>
      <c r="T71" s="873"/>
      <c r="U71" s="347"/>
      <c r="V71" s="381">
        <v>0.02</v>
      </c>
      <c r="W71" s="862" t="s">
        <v>551</v>
      </c>
      <c r="X71" s="863"/>
      <c r="Y71" s="346"/>
      <c r="Z71" s="418">
        <v>0.873</v>
      </c>
      <c r="AA71" s="835"/>
      <c r="AB71" s="841" t="s">
        <v>604</v>
      </c>
      <c r="AC71" s="842"/>
      <c r="AD71" s="346"/>
      <c r="AE71" s="862" t="s">
        <v>557</v>
      </c>
      <c r="AF71" s="863"/>
      <c r="AG71" s="676">
        <f>AI70</f>
        <v>17041.795201842277</v>
      </c>
      <c r="AH71" s="418">
        <f>SUM(AH72:AH73)</f>
        <v>0.88600000000000001</v>
      </c>
      <c r="AI71" s="835"/>
      <c r="AJ71" s="841" t="s">
        <v>723</v>
      </c>
      <c r="AK71" s="842"/>
      <c r="AL71" s="346"/>
      <c r="AM71" s="862" t="s">
        <v>605</v>
      </c>
      <c r="AN71" s="863"/>
      <c r="AO71" s="346"/>
      <c r="AP71" s="862" t="s">
        <v>381</v>
      </c>
      <c r="AQ71" s="863"/>
      <c r="AS71" s="353"/>
      <c r="AW71" s="349"/>
      <c r="AX71" s="368"/>
      <c r="AY71" s="368"/>
      <c r="AZ71" s="463">
        <f>AZ68-AZ72</f>
        <v>554.78479582478758</v>
      </c>
      <c r="BA71" s="361"/>
      <c r="BB71" s="361"/>
      <c r="BC71" s="434"/>
      <c r="BD71" s="434"/>
      <c r="BE71" s="368"/>
      <c r="BF71" s="368"/>
      <c r="BJ71" s="349"/>
      <c r="BK71" s="349"/>
      <c r="BL71" s="349"/>
      <c r="BM71" s="349"/>
      <c r="BN71" s="349"/>
      <c r="BO71" s="349"/>
      <c r="BP71" s="349"/>
      <c r="BQ71" s="349"/>
      <c r="BR71" s="349"/>
      <c r="BS71" s="349"/>
      <c r="BT71" s="349"/>
      <c r="BU71" s="349"/>
      <c r="BV71" s="349"/>
      <c r="BW71" s="349"/>
      <c r="BX71" s="349"/>
      <c r="BY71" s="775"/>
      <c r="BZ71" s="349"/>
      <c r="CA71" s="349"/>
      <c r="CB71" s="349"/>
      <c r="CC71" s="349"/>
      <c r="CD71" s="349"/>
      <c r="CE71" s="349"/>
      <c r="CG71" s="349"/>
      <c r="CH71" s="349"/>
      <c r="CI71" s="349"/>
      <c r="CJ71" s="349"/>
      <c r="CK71" s="349"/>
      <c r="CL71" s="349"/>
      <c r="CM71" s="349"/>
      <c r="CN71" s="349"/>
      <c r="CO71" s="349"/>
      <c r="CP71" s="349"/>
      <c r="CQ71" s="349"/>
      <c r="CR71" s="349"/>
      <c r="CT71" s="349"/>
    </row>
    <row r="72" spans="4:98" x14ac:dyDescent="0.35">
      <c r="D72" s="879"/>
      <c r="E72" s="843"/>
      <c r="F72" s="844"/>
      <c r="H72" s="864"/>
      <c r="I72" s="865"/>
      <c r="J72" s="366"/>
      <c r="K72" s="353"/>
      <c r="M72" s="867"/>
      <c r="N72" s="870"/>
      <c r="O72" s="871"/>
      <c r="R72" s="845"/>
      <c r="S72" s="872"/>
      <c r="T72" s="873"/>
      <c r="U72" s="354"/>
      <c r="V72" s="343"/>
      <c r="W72" s="864"/>
      <c r="X72" s="865"/>
      <c r="Z72" s="361"/>
      <c r="AA72" s="836"/>
      <c r="AB72" s="843"/>
      <c r="AC72" s="844"/>
      <c r="AE72" s="864"/>
      <c r="AF72" s="865"/>
      <c r="AH72" s="361"/>
      <c r="AI72" s="836"/>
      <c r="AJ72" s="843"/>
      <c r="AK72" s="844"/>
      <c r="AM72" s="864"/>
      <c r="AN72" s="865"/>
      <c r="AP72" s="864"/>
      <c r="AQ72" s="865"/>
      <c r="AS72" s="353"/>
      <c r="AW72" s="349"/>
      <c r="AX72" s="378"/>
      <c r="AY72" s="378"/>
      <c r="AZ72" s="467">
        <f>$AZ$46/$BB$46*BB72</f>
        <v>20896.893976066905</v>
      </c>
      <c r="BA72" s="357">
        <v>2.3E-2</v>
      </c>
      <c r="BB72" s="450">
        <f>BB32</f>
        <v>1.036697247706422</v>
      </c>
      <c r="BC72" s="434" t="s">
        <v>590</v>
      </c>
      <c r="BD72" s="434"/>
      <c r="BE72" s="378"/>
      <c r="BF72" s="378"/>
      <c r="BJ72" s="349"/>
      <c r="BK72" s="349"/>
      <c r="BL72" s="349"/>
      <c r="BM72" s="349"/>
      <c r="BN72" s="349"/>
      <c r="BO72" s="349"/>
      <c r="BP72" s="349"/>
      <c r="BQ72" s="349"/>
      <c r="BR72" s="349"/>
      <c r="BS72" s="349"/>
      <c r="BT72" s="349"/>
      <c r="BU72" s="349"/>
      <c r="BV72" s="349"/>
      <c r="BW72" s="349"/>
      <c r="BX72" s="349"/>
      <c r="BY72" s="775"/>
      <c r="BZ72" s="349"/>
      <c r="CA72" s="349"/>
      <c r="CB72" s="349"/>
      <c r="CC72" s="349"/>
      <c r="CD72" s="349"/>
      <c r="CE72" s="349"/>
      <c r="CG72" s="349"/>
      <c r="CH72" s="349"/>
      <c r="CI72" s="349"/>
      <c r="CJ72" s="349"/>
      <c r="CK72" s="349"/>
      <c r="CL72" s="349"/>
      <c r="CM72" s="349"/>
      <c r="CN72" s="349"/>
      <c r="CO72" s="349"/>
      <c r="CP72" s="349"/>
      <c r="CQ72" s="349"/>
      <c r="CR72" s="349"/>
      <c r="CT72" s="349"/>
    </row>
    <row r="73" spans="4:98" ht="24" customHeight="1" x14ac:dyDescent="0.35">
      <c r="K73" s="353"/>
      <c r="V73" s="343"/>
      <c r="Z73" s="391">
        <f>SUM(Z74:Z86)</f>
        <v>0.10599999999999998</v>
      </c>
      <c r="AA73" s="564">
        <f>SUM(AA74:AA87)</f>
        <v>673.19999999999993</v>
      </c>
      <c r="AB73" s="898"/>
      <c r="AC73" s="898"/>
      <c r="AH73" s="568">
        <v>0.88600000000000001</v>
      </c>
      <c r="AI73" s="558" t="s">
        <v>700</v>
      </c>
      <c r="AJ73" s="841" t="s">
        <v>722</v>
      </c>
      <c r="AK73" s="851"/>
      <c r="AS73" s="353"/>
      <c r="AW73" s="349"/>
      <c r="AX73" s="378"/>
      <c r="AY73" s="378"/>
      <c r="BA73" s="361"/>
      <c r="BB73" s="361"/>
      <c r="BC73" s="434"/>
      <c r="BD73" s="434"/>
      <c r="BE73" s="378"/>
      <c r="BF73" s="378"/>
    </row>
    <row r="74" spans="4:98" x14ac:dyDescent="0.35">
      <c r="K74" s="353"/>
      <c r="V74" s="343"/>
      <c r="Y74" s="463">
        <f>Y21</f>
        <v>-300</v>
      </c>
      <c r="Z74" s="350">
        <v>1E-3</v>
      </c>
      <c r="AA74" s="927">
        <f>Y74*Z74</f>
        <v>-0.3</v>
      </c>
      <c r="AB74" s="846" t="s">
        <v>574</v>
      </c>
      <c r="AC74" s="847"/>
      <c r="AH74" s="547">
        <f>SUM(AH75:AH85)</f>
        <v>5.8999999999999997E-2</v>
      </c>
      <c r="AI74" s="564">
        <f>SUM(AI75:AI86)</f>
        <v>453</v>
      </c>
      <c r="AJ74" s="567"/>
      <c r="AK74" s="567"/>
      <c r="AS74" s="353"/>
      <c r="AW74" s="349"/>
      <c r="BA74" s="357"/>
      <c r="BB74" s="350"/>
      <c r="BC74" s="368"/>
      <c r="BD74" s="368"/>
      <c r="BS74" s="341"/>
      <c r="BT74" s="341"/>
      <c r="BU74" s="341"/>
      <c r="BV74" s="341"/>
      <c r="BW74" s="341"/>
      <c r="BX74" s="341"/>
      <c r="BY74" s="776"/>
      <c r="BZ74" s="341"/>
      <c r="CA74" s="341"/>
      <c r="CB74" s="341"/>
      <c r="CC74" s="341"/>
      <c r="CD74" s="341"/>
      <c r="CE74" s="341"/>
      <c r="CG74" s="341"/>
      <c r="CH74" s="341"/>
      <c r="CI74" s="341"/>
      <c r="CJ74" s="341"/>
      <c r="CK74" s="341"/>
      <c r="CL74" s="341"/>
      <c r="CM74" s="341"/>
      <c r="CN74" s="341"/>
      <c r="CO74" s="341"/>
      <c r="CP74" s="341"/>
      <c r="CQ74" s="341"/>
      <c r="CR74" s="341"/>
      <c r="CT74" s="341"/>
    </row>
    <row r="75" spans="4:98" x14ac:dyDescent="0.35">
      <c r="K75" s="353"/>
      <c r="V75" s="343"/>
      <c r="Z75" s="343"/>
      <c r="AA75" s="928"/>
      <c r="AB75" s="848"/>
      <c r="AC75" s="849"/>
      <c r="AG75" s="453">
        <v>8000</v>
      </c>
      <c r="AH75" s="386">
        <v>5.0000000000000001E-3</v>
      </c>
      <c r="AI75" s="927">
        <f>AG75*AH75</f>
        <v>40</v>
      </c>
      <c r="AJ75" s="841" t="s">
        <v>575</v>
      </c>
      <c r="AK75" s="842"/>
      <c r="AS75" s="353"/>
      <c r="AW75" s="349"/>
      <c r="BA75" s="361"/>
      <c r="BB75" s="684">
        <f>SUM(BB76:BB80)</f>
        <v>405.5</v>
      </c>
      <c r="BC75" s="436"/>
      <c r="BD75" s="436"/>
      <c r="BG75" s="463"/>
      <c r="BS75" s="341"/>
      <c r="BT75" s="341"/>
      <c r="BU75" s="341"/>
      <c r="BV75" s="341"/>
      <c r="BW75" s="341"/>
      <c r="BX75" s="341"/>
      <c r="BY75" s="776"/>
      <c r="BZ75" s="341"/>
      <c r="CA75" s="341"/>
      <c r="CB75" s="341"/>
      <c r="CC75" s="341"/>
      <c r="CD75" s="341"/>
      <c r="CE75" s="341"/>
      <c r="CG75" s="341"/>
      <c r="CH75" s="341"/>
      <c r="CI75" s="341"/>
      <c r="CJ75" s="341"/>
      <c r="CK75" s="341"/>
      <c r="CL75" s="341"/>
      <c r="CM75" s="341"/>
      <c r="CN75" s="341"/>
      <c r="CO75" s="341"/>
      <c r="CP75" s="341"/>
      <c r="CQ75" s="341"/>
      <c r="CR75" s="341"/>
      <c r="CT75" s="341"/>
    </row>
    <row r="76" spans="4:98" x14ac:dyDescent="0.35">
      <c r="K76" s="353"/>
      <c r="V76" s="343"/>
      <c r="Y76" s="463">
        <f>Y19</f>
        <v>7000</v>
      </c>
      <c r="Z76" s="350">
        <v>5.0000000000000001E-3</v>
      </c>
      <c r="AA76" s="927">
        <f>Y76*Z76</f>
        <v>35</v>
      </c>
      <c r="AB76" s="851" t="s">
        <v>572</v>
      </c>
      <c r="AC76" s="842"/>
      <c r="AH76" s="343"/>
      <c r="AI76" s="928"/>
      <c r="AJ76" s="843"/>
      <c r="AK76" s="844"/>
      <c r="AS76" s="353"/>
      <c r="AZ76" s="453">
        <v>19065</v>
      </c>
      <c r="BA76" s="362">
        <v>0</v>
      </c>
      <c r="BB76" s="683">
        <f>AZ76*BA76</f>
        <v>0</v>
      </c>
      <c r="BC76" s="431" t="s">
        <v>603</v>
      </c>
      <c r="BD76" s="430"/>
    </row>
    <row r="77" spans="4:98" x14ac:dyDescent="0.35">
      <c r="K77" s="353"/>
      <c r="V77" s="343"/>
      <c r="Z77" s="341"/>
      <c r="AA77" s="928"/>
      <c r="AB77" s="852"/>
      <c r="AC77" s="844"/>
      <c r="AG77" s="453">
        <v>10500</v>
      </c>
      <c r="AH77" s="350">
        <v>2.8000000000000001E-2</v>
      </c>
      <c r="AI77" s="927">
        <f>AG77*AH77</f>
        <v>294</v>
      </c>
      <c r="AJ77" s="841" t="s">
        <v>578</v>
      </c>
      <c r="AK77" s="842"/>
      <c r="AS77" s="353"/>
      <c r="BA77" s="343"/>
      <c r="BB77" s="343"/>
      <c r="BC77" s="430"/>
      <c r="BD77" s="430"/>
    </row>
    <row r="78" spans="4:98" ht="16" x14ac:dyDescent="0.35">
      <c r="K78" s="353"/>
      <c r="V78" s="343"/>
      <c r="Y78" s="463">
        <f>Y13</f>
        <v>10000</v>
      </c>
      <c r="Z78" s="350">
        <v>4.2000000000000003E-2</v>
      </c>
      <c r="AA78" s="927">
        <f>Y78*Z78</f>
        <v>420</v>
      </c>
      <c r="AB78" s="841" t="s">
        <v>697</v>
      </c>
      <c r="AC78" s="842"/>
      <c r="AH78" s="343"/>
      <c r="AI78" s="928"/>
      <c r="AJ78" s="843"/>
      <c r="AK78" s="844"/>
      <c r="AS78" s="353"/>
      <c r="AZ78" s="453">
        <v>6500</v>
      </c>
      <c r="BA78" s="577">
        <v>3.9E-2</v>
      </c>
      <c r="BB78" s="683">
        <f>AZ78*BA78</f>
        <v>253.5</v>
      </c>
      <c r="BC78" s="431" t="s">
        <v>576</v>
      </c>
      <c r="BD78" s="432"/>
      <c r="BG78" s="349"/>
      <c r="BH78" s="349"/>
      <c r="BI78" s="349"/>
    </row>
    <row r="79" spans="4:98" x14ac:dyDescent="0.35">
      <c r="K79" s="353"/>
      <c r="V79" s="343"/>
      <c r="Z79" s="350"/>
      <c r="AA79" s="928"/>
      <c r="AB79" s="843"/>
      <c r="AC79" s="844"/>
      <c r="AG79" s="463">
        <f>AG51</f>
        <v>4500</v>
      </c>
      <c r="AH79" s="350">
        <v>0.01</v>
      </c>
      <c r="AI79" s="927">
        <f>AG79*AH79</f>
        <v>45</v>
      </c>
      <c r="AJ79" s="841" t="s">
        <v>599</v>
      </c>
      <c r="AK79" s="842"/>
      <c r="AS79" s="353"/>
      <c r="BA79" s="343"/>
      <c r="BB79" s="343"/>
      <c r="BC79" s="424"/>
      <c r="BD79" s="425"/>
      <c r="BG79" s="349"/>
      <c r="BH79" s="349"/>
      <c r="BI79" s="349"/>
    </row>
    <row r="80" spans="4:98" ht="15" customHeight="1" x14ac:dyDescent="0.35">
      <c r="K80" s="353"/>
      <c r="V80" s="343"/>
      <c r="Y80" s="463">
        <f>Y17</f>
        <v>4166.6666666666661</v>
      </c>
      <c r="Z80" s="350">
        <v>2.7E-2</v>
      </c>
      <c r="AA80" s="927">
        <f>Y80*Z80</f>
        <v>112.49999999999999</v>
      </c>
      <c r="AB80" s="846" t="s">
        <v>571</v>
      </c>
      <c r="AC80" s="847"/>
      <c r="AH80" s="343"/>
      <c r="AI80" s="928"/>
      <c r="AJ80" s="843"/>
      <c r="AK80" s="844"/>
      <c r="AS80" s="353"/>
      <c r="AZ80" s="453">
        <v>8000</v>
      </c>
      <c r="BA80" s="577">
        <v>1.9E-2</v>
      </c>
      <c r="BB80" s="683">
        <f>AZ80*BA80</f>
        <v>152</v>
      </c>
      <c r="BC80" s="422" t="s">
        <v>579</v>
      </c>
      <c r="BD80" s="423"/>
    </row>
    <row r="81" spans="4:58" x14ac:dyDescent="0.35">
      <c r="K81" s="353"/>
      <c r="V81" s="343"/>
      <c r="Z81" s="343"/>
      <c r="AA81" s="928"/>
      <c r="AB81" s="848"/>
      <c r="AC81" s="849"/>
      <c r="AG81" s="463">
        <f>AG25</f>
        <v>4166.6666666666661</v>
      </c>
      <c r="AH81" s="350">
        <v>7.0000000000000001E-3</v>
      </c>
      <c r="AI81" s="927">
        <f>AG81*AH81</f>
        <v>29.166666666666664</v>
      </c>
      <c r="AJ81" s="841" t="s">
        <v>581</v>
      </c>
      <c r="AK81" s="842"/>
      <c r="AS81" s="353"/>
      <c r="BA81" s="343"/>
      <c r="BB81" s="343"/>
      <c r="BC81" s="424"/>
      <c r="BD81" s="425"/>
    </row>
    <row r="82" spans="4:58" x14ac:dyDescent="0.35">
      <c r="K82" s="353"/>
      <c r="V82" s="343"/>
      <c r="Y82" s="463">
        <f>Y15</f>
        <v>2000</v>
      </c>
      <c r="Z82" s="350">
        <v>1.2999999999999999E-2</v>
      </c>
      <c r="AA82" s="927">
        <f>Y82*Z82</f>
        <v>26</v>
      </c>
      <c r="AB82" s="841" t="s">
        <v>568</v>
      </c>
      <c r="AC82" s="842"/>
      <c r="AH82" s="343"/>
      <c r="AI82" s="928"/>
      <c r="AJ82" s="843"/>
      <c r="AK82" s="844"/>
      <c r="AS82" s="353"/>
      <c r="BA82" s="343"/>
      <c r="BB82" s="343"/>
    </row>
    <row r="83" spans="4:58" x14ac:dyDescent="0.35">
      <c r="K83" s="353"/>
      <c r="V83" s="343"/>
      <c r="Z83" s="343"/>
      <c r="AA83" s="928"/>
      <c r="AB83" s="843"/>
      <c r="AC83" s="844"/>
      <c r="AG83" s="463">
        <f>AG27</f>
        <v>4166.6666666666661</v>
      </c>
      <c r="AH83" s="350">
        <v>5.0000000000000001E-3</v>
      </c>
      <c r="AI83" s="927">
        <f>AG83*AH83</f>
        <v>20.833333333333332</v>
      </c>
      <c r="AJ83" s="841" t="s">
        <v>583</v>
      </c>
      <c r="AK83" s="842"/>
      <c r="AS83" s="353"/>
      <c r="BA83" s="343"/>
      <c r="BB83" s="343"/>
      <c r="BE83" s="409">
        <f>BE84/BE6</f>
        <v>9.9930069930069837E-2</v>
      </c>
    </row>
    <row r="84" spans="4:58" x14ac:dyDescent="0.35">
      <c r="K84" s="353"/>
      <c r="V84" s="343"/>
      <c r="Y84" s="453">
        <v>6000</v>
      </c>
      <c r="Z84" s="350">
        <v>0.01</v>
      </c>
      <c r="AA84" s="927">
        <f>Y84*Z84</f>
        <v>60</v>
      </c>
      <c r="AB84" s="923" t="s">
        <v>698</v>
      </c>
      <c r="AC84" s="924"/>
      <c r="AH84" s="343"/>
      <c r="AI84" s="928"/>
      <c r="AJ84" s="843"/>
      <c r="AK84" s="844"/>
      <c r="AS84" s="353"/>
      <c r="AZ84" s="463">
        <f>AZ86-AZ85</f>
        <v>3299.3904060213063</v>
      </c>
      <c r="BA84" s="343"/>
      <c r="BB84" s="580" t="s">
        <v>712</v>
      </c>
      <c r="BC84" s="518">
        <f>'Hảo_R&amp;D (Vảy sạch)'!BR4</f>
        <v>0.26666666666666666</v>
      </c>
      <c r="BE84" s="463">
        <f>BE85-BE6</f>
        <v>2129.4199636806006</v>
      </c>
    </row>
    <row r="85" spans="4:58" ht="16" x14ac:dyDescent="0.35">
      <c r="K85" s="353"/>
      <c r="V85" s="343"/>
      <c r="Z85" s="343"/>
      <c r="AA85" s="928"/>
      <c r="AB85" s="925"/>
      <c r="AC85" s="926"/>
      <c r="AG85" s="463">
        <f>AG53</f>
        <v>6000</v>
      </c>
      <c r="AH85" s="350">
        <v>4.0000000000000001E-3</v>
      </c>
      <c r="AI85" s="927">
        <f>AG85*AH85</f>
        <v>24</v>
      </c>
      <c r="AJ85" s="841" t="s">
        <v>705</v>
      </c>
      <c r="AK85" s="842"/>
      <c r="AS85" s="353"/>
      <c r="AZ85" s="466">
        <f>($AI$5)/BA85</f>
        <v>23080.881176233754</v>
      </c>
      <c r="BA85" s="578">
        <f>SUM(BA86:BA88)</f>
        <v>0.87551020408163283</v>
      </c>
      <c r="BB85" s="581">
        <f>SUM(BA86*BB86,BA88*BB88)</f>
        <v>0.93111776820820091</v>
      </c>
      <c r="BD85" s="439">
        <f>AK6*BA85</f>
        <v>0.70755888184437987</v>
      </c>
      <c r="BE85" s="468">
        <f>($N$5/BD85)</f>
        <v>23438.521069791601</v>
      </c>
      <c r="BF85" s="682">
        <f>BE85-AZ85</f>
        <v>357.63989355784724</v>
      </c>
    </row>
    <row r="86" spans="4:58" ht="16" x14ac:dyDescent="0.35">
      <c r="K86" s="353"/>
      <c r="V86" s="343"/>
      <c r="Y86" s="463">
        <f>Y23</f>
        <v>2500</v>
      </c>
      <c r="Z86" s="350">
        <v>8.0000000000000002E-3</v>
      </c>
      <c r="AA86" s="927">
        <f>Y86*Z86</f>
        <v>20</v>
      </c>
      <c r="AB86" s="846" t="s">
        <v>699</v>
      </c>
      <c r="AC86" s="847"/>
      <c r="AH86" s="343"/>
      <c r="AI86" s="928"/>
      <c r="AJ86" s="843"/>
      <c r="AK86" s="844"/>
      <c r="AS86" s="353"/>
      <c r="AZ86" s="467">
        <f>$AZ$85/$BB$85*BB86</f>
        <v>26380.27158225506</v>
      </c>
      <c r="BA86" s="577">
        <v>0.85306122448979604</v>
      </c>
      <c r="BB86" s="581">
        <f>BB11</f>
        <v>1.0642201834862386</v>
      </c>
      <c r="BC86" s="426" t="s">
        <v>597</v>
      </c>
      <c r="BD86" s="423"/>
    </row>
    <row r="87" spans="4:58" x14ac:dyDescent="0.35">
      <c r="K87" s="353"/>
      <c r="V87" s="343"/>
      <c r="Z87" s="343"/>
      <c r="AA87" s="928"/>
      <c r="AB87" s="848"/>
      <c r="AC87" s="849"/>
      <c r="AG87" s="463">
        <f>Z69</f>
        <v>15500.388548832256</v>
      </c>
      <c r="AH87" s="388">
        <v>3.2000000000000001E-2</v>
      </c>
      <c r="AI87" s="741">
        <f>AG87*AH87</f>
        <v>496.01243356263217</v>
      </c>
      <c r="AJ87" s="837" t="s">
        <v>739</v>
      </c>
      <c r="AK87" s="838"/>
      <c r="AS87" s="353"/>
      <c r="AZ87" s="469">
        <f>AZ86-AZ88</f>
        <v>682.24840298935669</v>
      </c>
      <c r="BA87" s="356"/>
      <c r="BB87" s="356"/>
      <c r="BC87" s="424"/>
      <c r="BD87" s="425"/>
    </row>
    <row r="88" spans="4:58" ht="15" customHeight="1" x14ac:dyDescent="0.35">
      <c r="K88" s="353"/>
      <c r="V88" s="343"/>
      <c r="Y88" s="463">
        <f>N69</f>
        <v>13531.839203130559</v>
      </c>
      <c r="Z88" s="388">
        <v>2.1000000000000001E-2</v>
      </c>
      <c r="AA88" s="933">
        <f>Y88*Z88</f>
        <v>284.16862326574176</v>
      </c>
      <c r="AB88" s="846" t="s">
        <v>482</v>
      </c>
      <c r="AC88" s="847"/>
      <c r="AH88" s="343"/>
      <c r="AI88" s="741"/>
      <c r="AJ88" s="839"/>
      <c r="AK88" s="840"/>
      <c r="AS88" s="358"/>
      <c r="AT88" s="862" t="s">
        <v>606</v>
      </c>
      <c r="AU88" s="863"/>
      <c r="AV88" s="359"/>
      <c r="AW88" s="359"/>
      <c r="AX88" s="874" t="s">
        <v>607</v>
      </c>
      <c r="AY88" s="875"/>
      <c r="AZ88" s="467">
        <f>$AZ$85/$BB$85*BB88</f>
        <v>25698.023179265703</v>
      </c>
      <c r="BA88" s="348">
        <v>2.2448979591836733E-2</v>
      </c>
      <c r="BB88" s="451">
        <f>BB13</f>
        <v>1.036697247706422</v>
      </c>
      <c r="BC88" s="426" t="s">
        <v>590</v>
      </c>
      <c r="BD88" s="423"/>
    </row>
    <row r="89" spans="4:58" x14ac:dyDescent="0.35">
      <c r="K89" s="353"/>
      <c r="V89" s="343"/>
      <c r="Z89" s="343"/>
      <c r="AA89" s="934"/>
      <c r="AB89" s="848"/>
      <c r="AC89" s="849"/>
      <c r="AH89" s="343"/>
      <c r="AS89" s="353"/>
      <c r="AT89" s="864"/>
      <c r="AU89" s="865"/>
      <c r="AV89" s="349"/>
      <c r="AW89" s="369"/>
      <c r="AX89" s="876"/>
      <c r="AY89" s="877"/>
      <c r="BA89" s="361"/>
      <c r="BB89" s="361"/>
      <c r="BC89" s="431"/>
      <c r="BD89" s="432"/>
    </row>
    <row r="90" spans="4:58" x14ac:dyDescent="0.35">
      <c r="K90" s="353"/>
      <c r="V90" s="343"/>
      <c r="Z90" s="343"/>
      <c r="AA90" s="559"/>
      <c r="AB90" s="562"/>
      <c r="AC90" s="562"/>
      <c r="AH90" s="343"/>
      <c r="AS90" s="353"/>
      <c r="AW90" s="353"/>
      <c r="BA90" s="357">
        <v>4.4897959183673466E-2</v>
      </c>
      <c r="BB90" s="357"/>
      <c r="BC90" s="434" t="s">
        <v>608</v>
      </c>
      <c r="BD90" s="434"/>
    </row>
    <row r="91" spans="4:58" ht="17.5" x14ac:dyDescent="0.35">
      <c r="K91" s="353"/>
      <c r="M91" s="340" t="s">
        <v>47</v>
      </c>
      <c r="N91" s="453">
        <f>$E$5*$L$96</f>
        <v>213.85983635716829</v>
      </c>
      <c r="V91" s="343"/>
      <c r="AH91" s="341"/>
      <c r="AI91" s="394" t="s">
        <v>712</v>
      </c>
      <c r="AS91" s="353"/>
      <c r="AW91" s="353"/>
      <c r="BA91" s="361"/>
      <c r="BB91" s="361"/>
      <c r="BC91" s="434"/>
      <c r="BD91" s="434"/>
    </row>
    <row r="92" spans="4:58" ht="45.5" x14ac:dyDescent="0.35">
      <c r="K92" s="353"/>
      <c r="M92" s="340" t="s">
        <v>653</v>
      </c>
      <c r="N92" s="453">
        <f>(($E$5+$H$5)*$G$5/(1-$G$5)+$H$5)*$L$96</f>
        <v>86.847701490177485</v>
      </c>
      <c r="Q92" s="384" t="s">
        <v>858</v>
      </c>
      <c r="R92" s="340" t="s">
        <v>859</v>
      </c>
      <c r="S92" s="340" t="s">
        <v>860</v>
      </c>
      <c r="T92" s="340" t="s">
        <v>861</v>
      </c>
      <c r="V92" s="343"/>
      <c r="Z92" s="384" t="s">
        <v>858</v>
      </c>
      <c r="AA92" s="340" t="s">
        <v>859</v>
      </c>
      <c r="AB92" s="340" t="s">
        <v>860</v>
      </c>
      <c r="AC92" s="340" t="s">
        <v>861</v>
      </c>
      <c r="AH92" s="384" t="s">
        <v>862</v>
      </c>
      <c r="AI92" s="384" t="s">
        <v>863</v>
      </c>
      <c r="AJ92" s="384" t="s">
        <v>864</v>
      </c>
      <c r="AK92" s="340" t="s">
        <v>861</v>
      </c>
      <c r="AS92" s="353"/>
      <c r="AW92" s="353"/>
      <c r="BA92" s="357"/>
      <c r="BB92" s="350"/>
      <c r="BC92" s="368"/>
      <c r="BD92" s="368"/>
    </row>
    <row r="93" spans="4:58" x14ac:dyDescent="0.35">
      <c r="K93" s="353"/>
      <c r="M93" s="340" t="s">
        <v>655</v>
      </c>
      <c r="N93" s="455">
        <f>N91+N92</f>
        <v>300.70753784734575</v>
      </c>
      <c r="Q93" s="453"/>
      <c r="R93" s="463"/>
      <c r="V93" s="343"/>
      <c r="Z93" s="468">
        <f>Q94/$Z$95</f>
        <v>10707.268175425646</v>
      </c>
      <c r="AA93" s="468">
        <f t="shared" ref="AA93:AB93" si="427">R94/$Z$95</f>
        <v>1505.5450826803024</v>
      </c>
      <c r="AB93" s="468">
        <f t="shared" si="427"/>
        <v>2842.6375686970746</v>
      </c>
      <c r="AC93" s="463">
        <f>Z94-Z93-AA93-AB93</f>
        <v>0</v>
      </c>
      <c r="AH93" s="468">
        <f>Z93/$AH$95</f>
        <v>11727.566457202242</v>
      </c>
      <c r="AI93" s="468">
        <f t="shared" ref="AI93:AJ93" si="428">AA93/$AH$95</f>
        <v>1649.0088528809445</v>
      </c>
      <c r="AJ93" s="468">
        <f t="shared" si="428"/>
        <v>3113.5132187262589</v>
      </c>
      <c r="AK93" s="463">
        <f>AH94-AH93-AI93-AJ93</f>
        <v>0</v>
      </c>
      <c r="AS93" s="353"/>
      <c r="AW93" s="353"/>
      <c r="BA93" s="361"/>
      <c r="BB93" s="684">
        <f>SUM(BB94:BB98)</f>
        <v>616.83673469387759</v>
      </c>
      <c r="BC93" s="368"/>
      <c r="BD93" s="368"/>
    </row>
    <row r="94" spans="4:58" x14ac:dyDescent="0.35">
      <c r="K94" s="353"/>
      <c r="M94" s="340" t="s">
        <v>729</v>
      </c>
      <c r="N94" s="455">
        <f>N93/($J$96/(1-$G$5))*1000</f>
        <v>13531.839203130559</v>
      </c>
      <c r="O94" s="453">
        <f>'Giá mua Chai-Vảy'!E17</f>
        <v>13300</v>
      </c>
      <c r="P94" s="463">
        <f>N94-O94</f>
        <v>231.83920313055933</v>
      </c>
      <c r="Q94" s="453">
        <f>'Giá mua Chai-Vảy (Giá giảm)'!I27</f>
        <v>9623.692636072572</v>
      </c>
      <c r="R94" s="453">
        <f>'Giá mua Chai-Vảy (Giá giảm)'!K27</f>
        <v>1353.1839203130558</v>
      </c>
      <c r="S94" s="453">
        <f>'Giá mua Chai-Vảy (Giá giảm)'!L27</f>
        <v>2554.9626467449307</v>
      </c>
      <c r="T94" s="463">
        <f>N94-Q94-R94-S94</f>
        <v>0</v>
      </c>
      <c r="V94" s="343"/>
      <c r="Z94" s="465">
        <f>N94/Z95</f>
        <v>15055.450826803024</v>
      </c>
      <c r="AA94" s="465">
        <f>Z94-AA101</f>
        <v>14576.394670265427</v>
      </c>
      <c r="AH94" s="465">
        <f>Z94/AH95</f>
        <v>16490.088528809447</v>
      </c>
      <c r="AI94" s="465">
        <f>AH94-AI103</f>
        <v>16000.588528809447</v>
      </c>
      <c r="AJ94" s="342">
        <f>V96</f>
        <v>0.02</v>
      </c>
      <c r="AK94" s="454">
        <f>N94/AK95</f>
        <v>16490.088528809443</v>
      </c>
      <c r="AS94" s="353"/>
      <c r="AW94" s="353"/>
      <c r="AZ94" s="453">
        <v>6500</v>
      </c>
      <c r="BA94" s="362">
        <v>2.1428571428571429E-2</v>
      </c>
      <c r="BB94" s="683">
        <f>AZ94*BA94</f>
        <v>139.28571428571428</v>
      </c>
      <c r="BC94" s="431" t="s">
        <v>576</v>
      </c>
      <c r="BD94" s="430"/>
    </row>
    <row r="95" spans="4:58" x14ac:dyDescent="0.35">
      <c r="K95" s="353"/>
      <c r="V95" s="343"/>
      <c r="Z95" s="417">
        <f>SUM(Z96:Z99)</f>
        <v>0.89880000000000004</v>
      </c>
      <c r="AH95" s="416">
        <f>SUM(AH96:AH101)</f>
        <v>0.91300000000000003</v>
      </c>
      <c r="AK95" s="393">
        <f>Z95*AH95</f>
        <v>0.82060440000000012</v>
      </c>
      <c r="AS95" s="353"/>
      <c r="AW95" s="353"/>
      <c r="BA95" s="343"/>
      <c r="BB95" s="343"/>
      <c r="BC95" s="430"/>
      <c r="BD95" s="430"/>
    </row>
    <row r="96" spans="4:58" x14ac:dyDescent="0.35">
      <c r="D96" s="878"/>
      <c r="E96" s="841" t="s">
        <v>548</v>
      </c>
      <c r="F96" s="842"/>
      <c r="G96" s="346"/>
      <c r="H96" s="862" t="s">
        <v>549</v>
      </c>
      <c r="I96" s="863"/>
      <c r="J96" s="340">
        <v>20</v>
      </c>
      <c r="K96" s="371">
        <v>0.02</v>
      </c>
      <c r="L96" s="575">
        <f>'Giá mua Chai-Vảy (Giá giảm)'!H17</f>
        <v>1.8925649235147637E-2</v>
      </c>
      <c r="M96" s="866"/>
      <c r="N96" s="868" t="s">
        <v>728</v>
      </c>
      <c r="O96" s="869"/>
      <c r="P96" s="346"/>
      <c r="Q96" s="346"/>
      <c r="R96" s="845"/>
      <c r="S96" s="872" t="s">
        <v>728</v>
      </c>
      <c r="T96" s="873"/>
      <c r="U96" s="347"/>
      <c r="V96" s="408">
        <v>0.02</v>
      </c>
      <c r="W96" s="862" t="s">
        <v>551</v>
      </c>
      <c r="X96" s="863"/>
      <c r="Y96" s="346"/>
      <c r="Z96" s="348">
        <v>0.59130000000000005</v>
      </c>
      <c r="AA96" s="835"/>
      <c r="AB96" s="850" t="s">
        <v>733</v>
      </c>
      <c r="AC96" s="850"/>
      <c r="AD96" s="346"/>
      <c r="AE96" s="862" t="s">
        <v>557</v>
      </c>
      <c r="AF96" s="863"/>
      <c r="AG96" s="476">
        <f>$AI$94*$AI96</f>
        <v>16000.588528809447</v>
      </c>
      <c r="AH96" s="372">
        <v>7.4999999999999997E-2</v>
      </c>
      <c r="AI96" s="835" t="s">
        <v>700</v>
      </c>
      <c r="AJ96" s="841" t="s">
        <v>735</v>
      </c>
      <c r="AK96" s="842"/>
      <c r="AL96" s="346"/>
      <c r="AM96" s="862" t="s">
        <v>554</v>
      </c>
      <c r="AN96" s="863"/>
      <c r="AO96" s="346"/>
      <c r="AP96" s="862" t="s">
        <v>555</v>
      </c>
      <c r="AQ96" s="863"/>
      <c r="AR96" s="359"/>
      <c r="AS96" s="353"/>
      <c r="AW96" s="353"/>
      <c r="AZ96" s="453">
        <v>14000</v>
      </c>
      <c r="BA96" s="350">
        <v>2.2448979591836733E-2</v>
      </c>
      <c r="BB96" s="683">
        <f>AZ96*BA96</f>
        <v>314.28571428571428</v>
      </c>
      <c r="BC96" s="431" t="s">
        <v>573</v>
      </c>
      <c r="BD96" s="432"/>
    </row>
    <row r="97" spans="4:59" x14ac:dyDescent="0.35">
      <c r="D97" s="879"/>
      <c r="E97" s="843"/>
      <c r="F97" s="844"/>
      <c r="H97" s="864"/>
      <c r="I97" s="865"/>
      <c r="J97" s="366"/>
      <c r="K97" s="353"/>
      <c r="M97" s="867"/>
      <c r="N97" s="870"/>
      <c r="O97" s="871"/>
      <c r="R97" s="845"/>
      <c r="S97" s="872"/>
      <c r="T97" s="873"/>
      <c r="U97" s="354"/>
      <c r="V97" s="343"/>
      <c r="W97" s="864"/>
      <c r="X97" s="865"/>
      <c r="Z97" s="353"/>
      <c r="AA97" s="836"/>
      <c r="AB97" s="850"/>
      <c r="AC97" s="850"/>
      <c r="AE97" s="864"/>
      <c r="AF97" s="865"/>
      <c r="AH97" s="374"/>
      <c r="AI97" s="836"/>
      <c r="AJ97" s="843"/>
      <c r="AK97" s="844"/>
      <c r="AM97" s="864"/>
      <c r="AN97" s="865"/>
      <c r="AP97" s="864"/>
      <c r="AQ97" s="865"/>
      <c r="AR97" s="349"/>
      <c r="AS97" s="353"/>
      <c r="AW97" s="353"/>
      <c r="BA97" s="350"/>
      <c r="BB97" s="350"/>
      <c r="BC97" s="431"/>
      <c r="BD97" s="432"/>
    </row>
    <row r="98" spans="4:59" x14ac:dyDescent="0.35">
      <c r="K98" s="353"/>
      <c r="V98" s="343"/>
      <c r="Z98" s="348">
        <v>0.3075</v>
      </c>
      <c r="AA98" s="835"/>
      <c r="AB98" s="850" t="s">
        <v>734</v>
      </c>
      <c r="AC98" s="850"/>
      <c r="AG98" s="476">
        <f>$AI$94*$AI98</f>
        <v>12800.470823047559</v>
      </c>
      <c r="AH98" s="374">
        <v>0.76900000000000002</v>
      </c>
      <c r="AI98" s="835" t="s">
        <v>701</v>
      </c>
      <c r="AJ98" s="841" t="s">
        <v>736</v>
      </c>
      <c r="AK98" s="842"/>
      <c r="AS98" s="353"/>
      <c r="AW98" s="353"/>
      <c r="AZ98" s="453">
        <v>8000</v>
      </c>
      <c r="BA98" s="350">
        <v>2.0408163265306121E-2</v>
      </c>
      <c r="BB98" s="683">
        <f>AZ98*BA98</f>
        <v>163.26530612244898</v>
      </c>
      <c r="BC98" s="422" t="s">
        <v>579</v>
      </c>
      <c r="BD98" s="423"/>
    </row>
    <row r="99" spans="4:59" x14ac:dyDescent="0.35">
      <c r="K99" s="353"/>
      <c r="U99" s="375"/>
      <c r="V99" s="343"/>
      <c r="Z99" s="353"/>
      <c r="AA99" s="836"/>
      <c r="AB99" s="850"/>
      <c r="AC99" s="850"/>
      <c r="AH99" s="374"/>
      <c r="AI99" s="836"/>
      <c r="AJ99" s="843"/>
      <c r="AK99" s="844"/>
      <c r="AS99" s="353"/>
      <c r="AW99" s="353"/>
      <c r="BA99" s="343"/>
      <c r="BB99" s="343"/>
      <c r="BC99" s="424"/>
      <c r="BD99" s="425"/>
    </row>
    <row r="100" spans="4:59" x14ac:dyDescent="0.35">
      <c r="K100" s="353"/>
      <c r="U100" s="375"/>
      <c r="V100" s="343"/>
      <c r="Z100" s="353"/>
      <c r="AG100" s="476">
        <f>$AI$94*$AI100</f>
        <v>9600.3531172856674</v>
      </c>
      <c r="AH100" s="374">
        <v>6.9000000000000006E-2</v>
      </c>
      <c r="AI100" s="845" t="s">
        <v>702</v>
      </c>
      <c r="AJ100" s="841" t="s">
        <v>737</v>
      </c>
      <c r="AK100" s="842"/>
      <c r="AS100" s="353"/>
      <c r="AW100" s="353"/>
      <c r="BB100" s="343"/>
    </row>
    <row r="101" spans="4:59" x14ac:dyDescent="0.35">
      <c r="K101" s="353"/>
      <c r="U101" s="389">
        <f>Z101+AH103</f>
        <v>0.13771281154134124</v>
      </c>
      <c r="V101" s="343"/>
      <c r="Z101" s="390">
        <f>SUM(Z102:Z115)</f>
        <v>5.7712811541341218E-2</v>
      </c>
      <c r="AA101" s="564">
        <f>SUM(AA102:AA115)</f>
        <v>479.05615653759764</v>
      </c>
      <c r="AH101" s="374"/>
      <c r="AI101" s="845"/>
      <c r="AJ101" s="843"/>
      <c r="AK101" s="844"/>
      <c r="AS101" s="353"/>
      <c r="AW101" s="353"/>
      <c r="BB101" s="343"/>
    </row>
    <row r="102" spans="4:59" x14ac:dyDescent="0.35">
      <c r="K102" s="353"/>
      <c r="U102" s="375"/>
      <c r="V102" s="343"/>
      <c r="Y102" s="463">
        <f>Y13</f>
        <v>10000</v>
      </c>
      <c r="Z102" s="362">
        <v>3.6400000000000002E-2</v>
      </c>
      <c r="AA102" s="927">
        <f>Y102*Z102</f>
        <v>364</v>
      </c>
      <c r="AB102" s="851" t="s">
        <v>732</v>
      </c>
      <c r="AC102" s="842"/>
      <c r="AH102" s="374"/>
      <c r="AI102" s="569"/>
      <c r="AJ102" s="566"/>
      <c r="AK102" s="566"/>
      <c r="AS102" s="353"/>
      <c r="AW102" s="369"/>
      <c r="AX102" s="349"/>
      <c r="AY102" s="349"/>
      <c r="AZ102" s="349"/>
      <c r="BA102" s="356"/>
      <c r="BB102" s="356"/>
      <c r="BC102" s="437"/>
      <c r="BD102" s="437"/>
      <c r="BE102" s="384"/>
      <c r="BF102" s="384"/>
      <c r="BG102" s="384"/>
    </row>
    <row r="103" spans="4:59" x14ac:dyDescent="0.35">
      <c r="K103" s="353"/>
      <c r="U103" s="341"/>
      <c r="V103" s="343"/>
      <c r="Z103" s="341"/>
      <c r="AA103" s="928"/>
      <c r="AB103" s="852"/>
      <c r="AC103" s="844"/>
      <c r="AH103" s="391">
        <f>SUM(AH104:AH117)</f>
        <v>8.0000000000000016E-2</v>
      </c>
      <c r="AI103" s="564">
        <f>SUM(AI104:AI117)</f>
        <v>489.5</v>
      </c>
      <c r="AJ103" s="567"/>
      <c r="AK103" s="567"/>
      <c r="AS103" s="353"/>
      <c r="AW103" s="353"/>
      <c r="AZ103" s="463">
        <f>AZ109-AZ104</f>
        <v>1656.3616405831672</v>
      </c>
      <c r="BA103" s="343"/>
      <c r="BB103" s="580" t="s">
        <v>712</v>
      </c>
      <c r="BC103" s="518">
        <f>'Hảo_R&amp;D (Vảy sạch)'!BR4</f>
        <v>0.26666666666666666</v>
      </c>
      <c r="BF103" s="384"/>
      <c r="BG103" s="384"/>
    </row>
    <row r="104" spans="4:59" ht="16" x14ac:dyDescent="0.35">
      <c r="K104" s="353"/>
      <c r="U104" s="341"/>
      <c r="V104" s="343"/>
      <c r="Y104" s="463">
        <f>Y51</f>
        <v>12000</v>
      </c>
      <c r="Z104" s="560">
        <v>2.0999999999999999E-3</v>
      </c>
      <c r="AA104" s="927">
        <f>Y104*Z104</f>
        <v>25.2</v>
      </c>
      <c r="AB104" s="854" t="s">
        <v>598</v>
      </c>
      <c r="AC104" s="855"/>
      <c r="AG104" s="463">
        <f>AG85</f>
        <v>6000</v>
      </c>
      <c r="AH104" s="350">
        <v>2E-3</v>
      </c>
      <c r="AI104" s="927">
        <f>AG104*AH104</f>
        <v>12</v>
      </c>
      <c r="AJ104" s="858" t="s">
        <v>601</v>
      </c>
      <c r="AK104" s="859"/>
      <c r="AM104" s="341"/>
      <c r="AS104" s="353"/>
      <c r="AW104" s="353"/>
      <c r="AZ104" s="466">
        <f>($AH$5)/BA104</f>
        <v>21532.70132758121</v>
      </c>
      <c r="BA104" s="578">
        <f>SUM(BA105:BA109)</f>
        <v>0.95300000000000007</v>
      </c>
      <c r="BB104" s="581">
        <f>SUM(BA105*BB105,BA107*BB107,BA109*BB109)</f>
        <v>1.0137614678899083</v>
      </c>
      <c r="BD104" s="439">
        <f>AK6*BA104</f>
        <v>0.77018361551251757</v>
      </c>
      <c r="BE104" s="468">
        <f>($N$5/BD104)</f>
        <v>21532.70132758121</v>
      </c>
      <c r="BF104" s="682">
        <f>BE104-AZ104</f>
        <v>0</v>
      </c>
    </row>
    <row r="105" spans="4:59" ht="16" x14ac:dyDescent="0.35">
      <c r="K105" s="353"/>
      <c r="U105" s="341"/>
      <c r="V105" s="343"/>
      <c r="Z105" s="350"/>
      <c r="AA105" s="928"/>
      <c r="AB105" s="856"/>
      <c r="AC105" s="857"/>
      <c r="AH105" s="343"/>
      <c r="AI105" s="928"/>
      <c r="AJ105" s="860"/>
      <c r="AK105" s="861"/>
      <c r="AM105" s="341"/>
      <c r="AS105" s="353"/>
      <c r="AW105" s="369"/>
      <c r="AX105" s="370"/>
      <c r="AY105" s="370"/>
      <c r="AZ105" s="467">
        <f>$AZ$104/$BB$104*BB105</f>
        <v>22604.464742076201</v>
      </c>
      <c r="BA105" s="577">
        <v>0.627</v>
      </c>
      <c r="BB105" s="581">
        <f>BB11</f>
        <v>1.0642201834862386</v>
      </c>
      <c r="BC105" s="433" t="s">
        <v>588</v>
      </c>
      <c r="BD105" s="440"/>
    </row>
    <row r="106" spans="4:59" x14ac:dyDescent="0.35">
      <c r="K106" s="353"/>
      <c r="U106" s="341"/>
      <c r="V106" s="343"/>
      <c r="Y106" s="463">
        <f>Y15</f>
        <v>2000</v>
      </c>
      <c r="Z106" s="350">
        <v>2.3999999999999998E-3</v>
      </c>
      <c r="AA106" s="927">
        <f>Y106*Z106</f>
        <v>4.8</v>
      </c>
      <c r="AB106" s="858" t="s">
        <v>568</v>
      </c>
      <c r="AC106" s="859"/>
      <c r="AG106" s="463">
        <f>AG77</f>
        <v>10500</v>
      </c>
      <c r="AH106" s="350">
        <v>5.0000000000000001E-3</v>
      </c>
      <c r="AI106" s="927">
        <f>AG106*AH106</f>
        <v>52.5</v>
      </c>
      <c r="AJ106" s="858" t="s">
        <v>738</v>
      </c>
      <c r="AK106" s="859"/>
      <c r="AM106" s="341"/>
      <c r="AS106" s="353"/>
      <c r="AW106" s="369"/>
      <c r="AX106" s="370"/>
      <c r="AY106" s="370"/>
      <c r="AZ106" s="469">
        <f>AZ105-AZ107</f>
        <v>584.59822608817922</v>
      </c>
      <c r="BA106" s="356"/>
      <c r="BB106" s="356"/>
      <c r="BC106" s="441"/>
      <c r="BD106" s="442"/>
    </row>
    <row r="107" spans="4:59" x14ac:dyDescent="0.35">
      <c r="K107" s="353"/>
      <c r="U107" s="341"/>
      <c r="V107" s="343"/>
      <c r="Z107" s="350"/>
      <c r="AA107" s="928"/>
      <c r="AB107" s="860"/>
      <c r="AC107" s="861"/>
      <c r="AH107" s="343"/>
      <c r="AI107" s="928"/>
      <c r="AJ107" s="860"/>
      <c r="AK107" s="861"/>
      <c r="AM107" s="341"/>
      <c r="AS107" s="353"/>
      <c r="AW107" s="369"/>
      <c r="AX107" s="370"/>
      <c r="AY107" s="370"/>
      <c r="AZ107" s="467">
        <f>$AZ$104/$BB$104*BB107</f>
        <v>22019.866515988022</v>
      </c>
      <c r="BA107" s="348">
        <v>0.17100000000000001</v>
      </c>
      <c r="BB107" s="451">
        <f>BB13</f>
        <v>1.036697247706422</v>
      </c>
      <c r="BC107" s="433" t="s">
        <v>590</v>
      </c>
      <c r="BD107" s="423"/>
    </row>
    <row r="108" spans="4:59" x14ac:dyDescent="0.35">
      <c r="K108" s="353"/>
      <c r="U108" s="341"/>
      <c r="V108" s="343"/>
      <c r="Y108" s="463">
        <f>Y19</f>
        <v>7000</v>
      </c>
      <c r="Z108" s="350">
        <v>7.4000000000000003E-3</v>
      </c>
      <c r="AA108" s="927">
        <f>Y108*Z108</f>
        <v>51.800000000000004</v>
      </c>
      <c r="AB108" s="851" t="s">
        <v>572</v>
      </c>
      <c r="AC108" s="842"/>
      <c r="AG108" s="463">
        <f>AG75</f>
        <v>8000</v>
      </c>
      <c r="AH108" s="350">
        <v>3.5000000000000003E-2</v>
      </c>
      <c r="AI108" s="927">
        <f>AG108*AH108</f>
        <v>280</v>
      </c>
      <c r="AJ108" s="841" t="s">
        <v>575</v>
      </c>
      <c r="AK108" s="842"/>
      <c r="AM108" s="341"/>
      <c r="AS108" s="353"/>
      <c r="AW108" s="352"/>
      <c r="AX108" s="874" t="s">
        <v>616</v>
      </c>
      <c r="AY108" s="875"/>
      <c r="AZ108" s="463">
        <f>AZ109-AZ105</f>
        <v>584.59822608817558</v>
      </c>
      <c r="BA108" s="361"/>
      <c r="BB108" s="361"/>
      <c r="BC108" s="431"/>
      <c r="BD108" s="432"/>
    </row>
    <row r="109" spans="4:59" ht="16" x14ac:dyDescent="0.35">
      <c r="K109" s="353"/>
      <c r="U109" s="341"/>
      <c r="V109" s="343"/>
      <c r="W109" s="341"/>
      <c r="Z109" s="350"/>
      <c r="AA109" s="928"/>
      <c r="AB109" s="852"/>
      <c r="AC109" s="844"/>
      <c r="AH109" s="343"/>
      <c r="AI109" s="928"/>
      <c r="AJ109" s="843"/>
      <c r="AK109" s="844"/>
      <c r="AS109" s="353"/>
      <c r="AW109" s="369"/>
      <c r="AX109" s="876"/>
      <c r="AY109" s="877"/>
      <c r="AZ109" s="467">
        <f>$AZ$104/$BB$104*BB109</f>
        <v>23189.062968164377</v>
      </c>
      <c r="BA109" s="579">
        <v>0.155</v>
      </c>
      <c r="BB109" s="582">
        <f>BB9</f>
        <v>1.0917431192660549</v>
      </c>
      <c r="BC109" s="434" t="s">
        <v>582</v>
      </c>
      <c r="BD109" s="434"/>
    </row>
    <row r="110" spans="4:59" x14ac:dyDescent="0.35">
      <c r="K110" s="353"/>
      <c r="V110" s="343"/>
      <c r="Y110" s="463">
        <f>Y17</f>
        <v>4166.6666666666661</v>
      </c>
      <c r="Z110" s="350">
        <v>7.1999999999999998E-3</v>
      </c>
      <c r="AA110" s="927">
        <f>Y110*Z110</f>
        <v>29.999999999999996</v>
      </c>
      <c r="AB110" s="841" t="s">
        <v>571</v>
      </c>
      <c r="AC110" s="842"/>
      <c r="AG110" s="463">
        <f>AG25</f>
        <v>4166.6666666666661</v>
      </c>
      <c r="AH110" s="350">
        <v>0.02</v>
      </c>
      <c r="AI110" s="927">
        <f>AG110*AH110</f>
        <v>83.333333333333329</v>
      </c>
      <c r="AJ110" s="841" t="s">
        <v>581</v>
      </c>
      <c r="AK110" s="842"/>
      <c r="AS110" s="353"/>
      <c r="AW110" s="369"/>
      <c r="AX110" s="368"/>
      <c r="AY110" s="368"/>
      <c r="BA110" s="361"/>
      <c r="BB110" s="361"/>
      <c r="BC110" s="434"/>
      <c r="BD110" s="434"/>
    </row>
    <row r="111" spans="4:59" x14ac:dyDescent="0.35">
      <c r="K111" s="353"/>
      <c r="V111" s="343"/>
      <c r="Z111" s="380"/>
      <c r="AA111" s="928"/>
      <c r="AB111" s="843"/>
      <c r="AC111" s="844"/>
      <c r="AH111" s="350"/>
      <c r="AI111" s="928"/>
      <c r="AJ111" s="843"/>
      <c r="AK111" s="844"/>
      <c r="AS111" s="353"/>
      <c r="AW111" s="369"/>
      <c r="AX111" s="378"/>
      <c r="AY111" s="378"/>
      <c r="BA111" s="357"/>
      <c r="BB111" s="684">
        <f>SUM(BB112:BB116)</f>
        <v>227.5</v>
      </c>
      <c r="BC111" s="368"/>
      <c r="BD111" s="368"/>
    </row>
    <row r="112" spans="4:59" ht="15" customHeight="1" x14ac:dyDescent="0.35">
      <c r="K112" s="353"/>
      <c r="V112" s="343"/>
      <c r="Y112" s="463">
        <f>Y21</f>
        <v>-300</v>
      </c>
      <c r="Z112" s="350">
        <v>8.1281154134122649E-4</v>
      </c>
      <c r="AA112" s="927">
        <f>Y112*Z112</f>
        <v>-0.24384346240236796</v>
      </c>
      <c r="AB112" s="841" t="s">
        <v>574</v>
      </c>
      <c r="AC112" s="842"/>
      <c r="AG112" s="463">
        <f>Y145</f>
        <v>1500</v>
      </c>
      <c r="AH112" s="350">
        <v>5.0000000000000001E-3</v>
      </c>
      <c r="AI112" s="927">
        <f>AG112*AH112</f>
        <v>7.5</v>
      </c>
      <c r="AJ112" s="846" t="s">
        <v>602</v>
      </c>
      <c r="AK112" s="847"/>
      <c r="AS112" s="353"/>
      <c r="AW112" s="369"/>
      <c r="AX112" s="378"/>
      <c r="AY112" s="378"/>
      <c r="AZ112" s="453">
        <v>8000</v>
      </c>
      <c r="BA112" s="362">
        <v>1.2E-2</v>
      </c>
      <c r="BB112" s="683">
        <f>AZ112*BA112</f>
        <v>96</v>
      </c>
      <c r="BC112" s="434" t="s">
        <v>579</v>
      </c>
      <c r="BD112" s="430"/>
      <c r="BG112" s="463"/>
    </row>
    <row r="113" spans="4:98" x14ac:dyDescent="0.35">
      <c r="K113" s="353"/>
      <c r="V113" s="343"/>
      <c r="Z113" s="343"/>
      <c r="AA113" s="928"/>
      <c r="AB113" s="843"/>
      <c r="AC113" s="844"/>
      <c r="AH113" s="350"/>
      <c r="AI113" s="928"/>
      <c r="AJ113" s="848"/>
      <c r="AK113" s="849"/>
      <c r="AS113" s="353"/>
      <c r="AW113" s="369"/>
      <c r="BA113" s="361"/>
      <c r="BB113" s="343"/>
    </row>
    <row r="114" spans="4:98" ht="15" customHeight="1" x14ac:dyDescent="0.35">
      <c r="K114" s="353"/>
      <c r="V114" s="343"/>
      <c r="Y114" s="463">
        <f>Y23</f>
        <v>2500</v>
      </c>
      <c r="Z114" s="350">
        <v>1.4E-3</v>
      </c>
      <c r="AA114" s="927">
        <f>Y114*Z114</f>
        <v>3.5</v>
      </c>
      <c r="AB114" s="841" t="s">
        <v>577</v>
      </c>
      <c r="AC114" s="842"/>
      <c r="AG114" s="463">
        <f>AG110</f>
        <v>4166.6666666666661</v>
      </c>
      <c r="AH114" s="350">
        <v>6.0000000000000001E-3</v>
      </c>
      <c r="AI114" s="927">
        <f>AG114*AH114</f>
        <v>24.999999999999996</v>
      </c>
      <c r="AJ114" s="841" t="s">
        <v>622</v>
      </c>
      <c r="AK114" s="842"/>
      <c r="AS114" s="353"/>
      <c r="AW114" s="369"/>
      <c r="AZ114" s="453">
        <v>6500</v>
      </c>
      <c r="BA114" s="362">
        <v>3.0000000000000001E-3</v>
      </c>
      <c r="BB114" s="683">
        <f>AZ114*BA114</f>
        <v>19.5</v>
      </c>
      <c r="BC114" s="431" t="s">
        <v>576</v>
      </c>
      <c r="BD114" s="430"/>
    </row>
    <row r="115" spans="4:98" x14ac:dyDescent="0.35">
      <c r="K115" s="353"/>
      <c r="V115" s="343"/>
      <c r="AA115" s="928"/>
      <c r="AB115" s="843"/>
      <c r="AC115" s="844"/>
      <c r="AH115" s="350"/>
      <c r="AI115" s="928"/>
      <c r="AJ115" s="843"/>
      <c r="AK115" s="844"/>
      <c r="AS115" s="353"/>
      <c r="AW115" s="353"/>
      <c r="BA115" s="343"/>
      <c r="BB115" s="343"/>
      <c r="BC115" s="443"/>
      <c r="BD115" s="443"/>
    </row>
    <row r="116" spans="4:98" ht="15" customHeight="1" x14ac:dyDescent="0.35">
      <c r="K116" s="353"/>
      <c r="V116" s="343"/>
      <c r="Y116" s="463">
        <f>N94</f>
        <v>13531.839203130559</v>
      </c>
      <c r="Z116" s="388">
        <v>4.3400000000000001E-2</v>
      </c>
      <c r="AA116" s="933">
        <f>Y116*Z116</f>
        <v>587.28182141586626</v>
      </c>
      <c r="AB116" s="846" t="s">
        <v>482</v>
      </c>
      <c r="AC116" s="847"/>
      <c r="AG116" s="463">
        <f>AG110</f>
        <v>4166.6666666666661</v>
      </c>
      <c r="AH116" s="350">
        <v>7.0000000000000001E-3</v>
      </c>
      <c r="AI116" s="927">
        <f>AG116*AH116</f>
        <v>29.166666666666664</v>
      </c>
      <c r="AJ116" s="841" t="s">
        <v>583</v>
      </c>
      <c r="AK116" s="842"/>
      <c r="AS116" s="353"/>
      <c r="AW116" s="353"/>
      <c r="AZ116" s="453">
        <v>14000</v>
      </c>
      <c r="BA116" s="350">
        <v>8.0000000000000002E-3</v>
      </c>
      <c r="BB116" s="683">
        <f>AZ116*BA116</f>
        <v>112</v>
      </c>
      <c r="BC116" s="431" t="s">
        <v>573</v>
      </c>
      <c r="BD116" s="432"/>
    </row>
    <row r="117" spans="4:98" x14ac:dyDescent="0.35">
      <c r="K117" s="353"/>
      <c r="V117" s="343"/>
      <c r="Z117" s="343"/>
      <c r="AA117" s="934"/>
      <c r="AB117" s="848"/>
      <c r="AC117" s="849"/>
      <c r="AH117" s="350"/>
      <c r="AI117" s="928"/>
      <c r="AJ117" s="843"/>
      <c r="AK117" s="844"/>
      <c r="AS117" s="353"/>
      <c r="AW117" s="353"/>
    </row>
    <row r="118" spans="4:98" ht="15" customHeight="1" x14ac:dyDescent="0.35">
      <c r="K118" s="353"/>
      <c r="V118" s="343"/>
      <c r="Z118" s="350"/>
      <c r="AA118" s="835"/>
      <c r="AB118" s="846"/>
      <c r="AC118" s="847"/>
      <c r="AG118" s="463">
        <f>Z94</f>
        <v>15055.450826803024</v>
      </c>
      <c r="AH118" s="388">
        <v>7.0000000000000001E-3</v>
      </c>
      <c r="AI118" s="741">
        <f>AG118*AH118</f>
        <v>105.38815578762117</v>
      </c>
      <c r="AJ118" s="713" t="s">
        <v>482</v>
      </c>
      <c r="AK118" s="714"/>
      <c r="AS118" s="353"/>
      <c r="AW118" s="353"/>
      <c r="BA118" s="577">
        <v>8.0000000000000002E-3</v>
      </c>
      <c r="BB118" s="577"/>
      <c r="BC118" s="434" t="s">
        <v>621</v>
      </c>
      <c r="BD118" s="444"/>
    </row>
    <row r="119" spans="4:98" x14ac:dyDescent="0.35">
      <c r="K119" s="353"/>
      <c r="N119" s="453"/>
      <c r="V119" s="343"/>
      <c r="Z119" s="343"/>
      <c r="AA119" s="836"/>
      <c r="AB119" s="848"/>
      <c r="AC119" s="849"/>
      <c r="AI119" s="717"/>
      <c r="AJ119" s="715"/>
      <c r="AK119" s="716"/>
      <c r="AS119" s="353"/>
      <c r="AW119" s="353"/>
    </row>
    <row r="120" spans="4:98" ht="17.5" x14ac:dyDescent="0.35">
      <c r="K120" s="353"/>
      <c r="M120" s="340" t="s">
        <v>47</v>
      </c>
      <c r="N120" s="453">
        <f>$E$5*$L$125</f>
        <v>3569.6905016008541</v>
      </c>
      <c r="V120" s="343"/>
      <c r="Z120" s="343"/>
      <c r="AA120" s="559"/>
      <c r="AB120" s="562"/>
      <c r="AC120" s="562"/>
      <c r="AI120" s="394" t="s">
        <v>712</v>
      </c>
      <c r="AS120" s="353"/>
      <c r="AW120" s="353"/>
      <c r="BA120" s="343"/>
      <c r="BB120" s="343"/>
      <c r="BC120" s="445"/>
      <c r="BD120" s="446"/>
    </row>
    <row r="121" spans="4:98" ht="45.5" x14ac:dyDescent="0.35">
      <c r="K121" s="353"/>
      <c r="M121" s="340" t="s">
        <v>653</v>
      </c>
      <c r="N121" s="453">
        <f>(($E$5+$H$5)*$G$5/(1-$G$5)+$H$5)*$L$125</f>
        <v>1449.6383256255187</v>
      </c>
      <c r="Q121" s="384" t="s">
        <v>858</v>
      </c>
      <c r="R121" s="340" t="s">
        <v>859</v>
      </c>
      <c r="S121" s="340" t="s">
        <v>860</v>
      </c>
      <c r="T121" s="340" t="s">
        <v>861</v>
      </c>
      <c r="V121" s="343"/>
      <c r="Z121" s="384" t="s">
        <v>858</v>
      </c>
      <c r="AA121" s="340" t="s">
        <v>859</v>
      </c>
      <c r="AB121" s="340" t="s">
        <v>860</v>
      </c>
      <c r="AC121" s="340" t="s">
        <v>861</v>
      </c>
      <c r="AH121" s="384" t="s">
        <v>862</v>
      </c>
      <c r="AI121" s="384" t="s">
        <v>863</v>
      </c>
      <c r="AJ121" s="384" t="s">
        <v>864</v>
      </c>
      <c r="AK121" s="340" t="s">
        <v>861</v>
      </c>
      <c r="AS121" s="353"/>
      <c r="AW121" s="353"/>
      <c r="BA121" s="350"/>
      <c r="BB121" s="580" t="s">
        <v>712</v>
      </c>
      <c r="BC121" s="518">
        <f>'Hảo_R&amp;D (Vảy sạch)'!BR4</f>
        <v>0.26666666666666666</v>
      </c>
      <c r="BD121" s="368"/>
    </row>
    <row r="122" spans="4:98" ht="16" x14ac:dyDescent="0.35">
      <c r="K122" s="353"/>
      <c r="L122" s="340" t="s">
        <v>712</v>
      </c>
      <c r="M122" s="340" t="s">
        <v>655</v>
      </c>
      <c r="N122" s="455">
        <f>N120+N121</f>
        <v>5019.3288272263726</v>
      </c>
      <c r="Q122" s="453"/>
      <c r="R122" s="463"/>
      <c r="V122" s="343"/>
      <c r="Z122" s="468">
        <f>Q123/$Z$124</f>
        <v>12682.965242817852</v>
      </c>
      <c r="AA122" s="468">
        <f>R123/$Z$124</f>
        <v>1783.3471285378098</v>
      </c>
      <c r="AB122" s="468">
        <f>S123/$Z$124</f>
        <v>3367.1589140224382</v>
      </c>
      <c r="AC122" s="463">
        <f>Z123-Z122-AA122-AB122</f>
        <v>0</v>
      </c>
      <c r="AH122" s="468">
        <f>Z122/$AH$124</f>
        <v>13767.87368955477</v>
      </c>
      <c r="AI122" s="468">
        <f t="shared" ref="AI122:AJ122" si="429">AA122/$AH$124</f>
        <v>1935.8957105273664</v>
      </c>
      <c r="AJ122" s="468">
        <f t="shared" si="429"/>
        <v>3655.1877051915312</v>
      </c>
      <c r="AK122" s="463">
        <f>AH123-AH122-AI122-AJ122</f>
        <v>0</v>
      </c>
      <c r="AS122" s="353"/>
      <c r="AW122" s="353"/>
      <c r="AZ122" s="466">
        <f>($AH$5*0.95+$AH$5*0.05)/BA122</f>
        <v>22084.325504161796</v>
      </c>
      <c r="BA122" s="578">
        <f>SUM(BA123:BA125)</f>
        <v>0.92919588426269883</v>
      </c>
      <c r="BB122" s="581">
        <f>SUM(BA123*BB123,BA125*BB125,BA127*BB127)</f>
        <v>0.98871495300705992</v>
      </c>
      <c r="BC122" s="368"/>
      <c r="BD122" s="438">
        <f>(0.95*AK6+0.05*AK6)*BA122</f>
        <v>0.75094590310681641</v>
      </c>
      <c r="BE122" s="468">
        <f>($N$5/BD122)*0.95+($N$5/BD122)*0.05</f>
        <v>22084.325504161803</v>
      </c>
      <c r="BF122" s="682">
        <f>BE122-AZ122</f>
        <v>0</v>
      </c>
    </row>
    <row r="123" spans="4:98" ht="16" x14ac:dyDescent="0.35">
      <c r="K123" s="353"/>
      <c r="M123" s="340" t="s">
        <v>727</v>
      </c>
      <c r="N123" s="455">
        <f>N122/($J$125/(1-$G$5))*1000</f>
        <v>15057.98648167912</v>
      </c>
      <c r="O123" s="453">
        <f>O41</f>
        <v>14800</v>
      </c>
      <c r="P123" s="463">
        <f>N123-O123</f>
        <v>257.98648167911961</v>
      </c>
      <c r="Q123" s="453">
        <f>'Giá mua Chai-Vảy (Giá giảm)'!I28</f>
        <v>10709.071504802563</v>
      </c>
      <c r="R123" s="453">
        <f>'Giá mua Chai-Vảy (Giá giảm)'!K28</f>
        <v>1505.7986481679118</v>
      </c>
      <c r="S123" s="453">
        <f>'Giá mua Chai-Vảy (Giá giảm)'!L28</f>
        <v>2843.1163287086447</v>
      </c>
      <c r="T123" s="463">
        <f>N123-Q123-R123-S123</f>
        <v>0</v>
      </c>
      <c r="V123" s="343"/>
      <c r="Z123" s="465">
        <f>N123/Z124</f>
        <v>17833.471285378098</v>
      </c>
      <c r="AA123" s="465">
        <f>Z123-AA130</f>
        <v>16977.829618711432</v>
      </c>
      <c r="AH123" s="465">
        <f>Z123/AH124</f>
        <v>19358.957105273665</v>
      </c>
      <c r="AI123" s="465">
        <f>AH123-AI138</f>
        <v>19119.290438606997</v>
      </c>
      <c r="AJ123" s="342">
        <f>V125</f>
        <v>0.3</v>
      </c>
      <c r="AK123" s="454">
        <f>N123/AK124</f>
        <v>19358.957105273665</v>
      </c>
      <c r="AS123" s="353"/>
      <c r="AW123" s="353"/>
      <c r="AZ123" s="467">
        <f>$AZ$122/$BB$122*BB123</f>
        <v>23770.839986518407</v>
      </c>
      <c r="BA123" s="577">
        <v>0.92359831869485121</v>
      </c>
      <c r="BB123" s="581">
        <f>BB11</f>
        <v>1.0642201834862386</v>
      </c>
      <c r="BC123" s="426" t="s">
        <v>597</v>
      </c>
      <c r="BD123" s="423"/>
    </row>
    <row r="124" spans="4:98" x14ac:dyDescent="0.35">
      <c r="K124" s="353"/>
      <c r="N124" s="460"/>
      <c r="V124" s="343"/>
      <c r="Z124" s="417">
        <f>SUM(Z125:Z127)</f>
        <v>0.84436654203297834</v>
      </c>
      <c r="AH124" s="417">
        <f>SUM(AH125:AH132)</f>
        <v>0.92119999999999991</v>
      </c>
      <c r="AK124" s="393">
        <f>Z124*AH124</f>
        <v>0.77783045852077959</v>
      </c>
      <c r="AS124" s="353"/>
      <c r="AW124" s="353"/>
      <c r="AZ124" s="469">
        <f>AZ123-AZ125</f>
        <v>614.76310309961627</v>
      </c>
      <c r="BA124" s="356"/>
      <c r="BB124" s="356"/>
      <c r="BC124" s="424"/>
      <c r="BD124" s="425"/>
    </row>
    <row r="125" spans="4:98" ht="20" customHeight="1" x14ac:dyDescent="0.35">
      <c r="D125" s="878"/>
      <c r="E125" s="841" t="s">
        <v>548</v>
      </c>
      <c r="F125" s="842"/>
      <c r="G125" s="346"/>
      <c r="H125" s="862" t="s">
        <v>549</v>
      </c>
      <c r="I125" s="863"/>
      <c r="J125" s="340">
        <v>300</v>
      </c>
      <c r="K125" s="371">
        <v>0.3</v>
      </c>
      <c r="L125" s="575">
        <f>'Giá mua Chai-Vảy (Giá giảm)'!H18</f>
        <v>0.31590181430096054</v>
      </c>
      <c r="M125" s="866"/>
      <c r="N125" s="868" t="s">
        <v>390</v>
      </c>
      <c r="O125" s="869"/>
      <c r="P125" s="346"/>
      <c r="Q125" s="346"/>
      <c r="R125" s="845"/>
      <c r="S125" s="872" t="s">
        <v>609</v>
      </c>
      <c r="T125" s="873"/>
      <c r="U125" s="347"/>
      <c r="V125" s="408">
        <v>0.3</v>
      </c>
      <c r="W125" s="862" t="s">
        <v>551</v>
      </c>
      <c r="X125" s="863"/>
      <c r="Y125" s="346"/>
      <c r="Z125" s="348">
        <v>0.449642345554147</v>
      </c>
      <c r="AA125" s="835"/>
      <c r="AB125" s="841" t="s">
        <v>610</v>
      </c>
      <c r="AC125" s="842"/>
      <c r="AG125" s="476">
        <f>$AI$123*$AI125</f>
        <v>19119.290438606997</v>
      </c>
      <c r="AH125" s="348">
        <v>1.2800000000000001E-2</v>
      </c>
      <c r="AI125" s="835" t="s">
        <v>700</v>
      </c>
      <c r="AJ125" s="841" t="s">
        <v>611</v>
      </c>
      <c r="AK125" s="842"/>
      <c r="AL125" s="346"/>
      <c r="AM125" s="862" t="s">
        <v>554</v>
      </c>
      <c r="AN125" s="863"/>
      <c r="AO125" s="346"/>
      <c r="AP125" s="862" t="s">
        <v>555</v>
      </c>
      <c r="AQ125" s="863"/>
      <c r="AR125" s="359"/>
      <c r="AS125" s="353"/>
      <c r="AW125" s="352"/>
      <c r="AX125" s="894" t="s">
        <v>623</v>
      </c>
      <c r="AY125" s="895"/>
      <c r="AZ125" s="467">
        <f>$AZ$122/$BB$122*BB125</f>
        <v>23156.076883418791</v>
      </c>
      <c r="BA125" s="348">
        <v>5.5975655678475837E-3</v>
      </c>
      <c r="BB125" s="451">
        <f>BB13</f>
        <v>1.036697247706422</v>
      </c>
      <c r="BC125" s="426" t="s">
        <v>590</v>
      </c>
      <c r="BD125" s="423"/>
      <c r="BS125" s="382"/>
      <c r="BT125" s="382"/>
      <c r="BU125" s="382"/>
      <c r="BV125" s="382"/>
      <c r="BW125" s="382"/>
      <c r="BX125" s="382"/>
      <c r="BY125" s="775"/>
      <c r="BZ125" s="382"/>
      <c r="CA125" s="382"/>
      <c r="CB125" s="382"/>
      <c r="CC125" s="382"/>
      <c r="CD125" s="382"/>
      <c r="CE125" s="382"/>
      <c r="CG125" s="382"/>
      <c r="CH125" s="382"/>
      <c r="CI125" s="382"/>
      <c r="CJ125" s="382"/>
      <c r="CK125" s="382"/>
      <c r="CL125" s="382"/>
      <c r="CM125" s="382"/>
      <c r="CN125" s="382"/>
      <c r="CO125" s="382"/>
      <c r="CP125" s="382"/>
      <c r="CQ125" s="382"/>
      <c r="CR125" s="382"/>
      <c r="CT125" s="382"/>
    </row>
    <row r="126" spans="4:98" x14ac:dyDescent="0.35">
      <c r="D126" s="879"/>
      <c r="E126" s="843"/>
      <c r="F126" s="844"/>
      <c r="H126" s="864"/>
      <c r="I126" s="865"/>
      <c r="J126" s="366"/>
      <c r="M126" s="867"/>
      <c r="N126" s="870"/>
      <c r="O126" s="871"/>
      <c r="R126" s="845"/>
      <c r="S126" s="872"/>
      <c r="T126" s="873"/>
      <c r="U126" s="354"/>
      <c r="V126" s="343"/>
      <c r="W126" s="864"/>
      <c r="X126" s="865"/>
      <c r="Z126" s="361"/>
      <c r="AA126" s="836"/>
      <c r="AB126" s="843"/>
      <c r="AC126" s="844"/>
      <c r="AD126" s="346"/>
      <c r="AE126" s="862" t="s">
        <v>557</v>
      </c>
      <c r="AF126" s="863"/>
      <c r="AG126" s="346"/>
      <c r="AH126" s="361"/>
      <c r="AI126" s="836"/>
      <c r="AJ126" s="843"/>
      <c r="AK126" s="844"/>
      <c r="AM126" s="864"/>
      <c r="AN126" s="865"/>
      <c r="AP126" s="864"/>
      <c r="AQ126" s="865"/>
      <c r="AR126" s="349"/>
      <c r="AS126" s="353"/>
      <c r="AW126" s="369"/>
      <c r="AX126" s="896"/>
      <c r="AY126" s="897"/>
      <c r="BA126" s="361"/>
      <c r="BB126" s="361"/>
      <c r="BC126" s="431"/>
      <c r="BD126" s="432"/>
      <c r="BS126" s="382"/>
      <c r="BT126" s="382"/>
      <c r="BU126" s="382"/>
      <c r="BV126" s="382"/>
      <c r="BW126" s="382"/>
      <c r="BX126" s="382"/>
      <c r="BY126" s="775"/>
      <c r="BZ126" s="382"/>
      <c r="CA126" s="382"/>
      <c r="CB126" s="382"/>
      <c r="CC126" s="382"/>
      <c r="CD126" s="382"/>
      <c r="CE126" s="382"/>
      <c r="CG126" s="382"/>
      <c r="CH126" s="382"/>
      <c r="CI126" s="382"/>
      <c r="CJ126" s="382"/>
      <c r="CK126" s="382"/>
      <c r="CL126" s="382"/>
      <c r="CM126" s="382"/>
      <c r="CN126" s="382"/>
      <c r="CO126" s="382"/>
      <c r="CP126" s="382"/>
      <c r="CQ126" s="382"/>
      <c r="CR126" s="382"/>
      <c r="CT126" s="382"/>
    </row>
    <row r="127" spans="4:98" ht="15.75" customHeight="1" x14ac:dyDescent="0.35">
      <c r="Z127" s="357">
        <v>0.39472419647883134</v>
      </c>
      <c r="AA127" s="835"/>
      <c r="AB127" s="841" t="s">
        <v>612</v>
      </c>
      <c r="AC127" s="842"/>
      <c r="AE127" s="864"/>
      <c r="AF127" s="865"/>
      <c r="AG127" s="476">
        <f>$AI$123*$AI127</f>
        <v>15295.432350885598</v>
      </c>
      <c r="AH127" s="357">
        <v>0.38569999999999999</v>
      </c>
      <c r="AI127" s="835" t="s">
        <v>701</v>
      </c>
      <c r="AJ127" s="841" t="s">
        <v>613</v>
      </c>
      <c r="AK127" s="842"/>
      <c r="AS127" s="353"/>
      <c r="AW127" s="353"/>
      <c r="BA127" s="357">
        <v>0</v>
      </c>
      <c r="BB127" s="357"/>
      <c r="BC127" s="434" t="s">
        <v>608</v>
      </c>
      <c r="BD127" s="434"/>
      <c r="BS127" s="382"/>
      <c r="BT127" s="382"/>
      <c r="BU127" s="382"/>
      <c r="BV127" s="382"/>
      <c r="BW127" s="382"/>
      <c r="BX127" s="382"/>
      <c r="BY127" s="775"/>
      <c r="BZ127" s="382"/>
      <c r="CA127" s="382"/>
      <c r="CB127" s="382"/>
      <c r="CC127" s="382"/>
      <c r="CD127" s="382"/>
      <c r="CE127" s="382"/>
      <c r="CG127" s="382"/>
      <c r="CH127" s="382"/>
      <c r="CI127" s="382"/>
      <c r="CJ127" s="382"/>
      <c r="CK127" s="382"/>
      <c r="CL127" s="382"/>
      <c r="CM127" s="382"/>
      <c r="CN127" s="382"/>
      <c r="CO127" s="382"/>
      <c r="CP127" s="382"/>
      <c r="CQ127" s="382"/>
      <c r="CR127" s="382"/>
      <c r="CT127" s="382"/>
    </row>
    <row r="128" spans="4:98" x14ac:dyDescent="0.35">
      <c r="Z128" s="361"/>
      <c r="AA128" s="836"/>
      <c r="AB128" s="843"/>
      <c r="AC128" s="844"/>
      <c r="AH128" s="361"/>
      <c r="AI128" s="836"/>
      <c r="AJ128" s="843"/>
      <c r="AK128" s="844"/>
      <c r="AR128" s="382"/>
      <c r="AS128" s="353"/>
      <c r="AW128" s="353"/>
      <c r="BA128" s="361"/>
      <c r="BB128" s="361"/>
      <c r="BC128" s="434"/>
      <c r="BD128" s="434"/>
      <c r="BS128" s="382"/>
      <c r="BT128" s="382"/>
      <c r="BU128" s="382"/>
      <c r="BV128" s="382"/>
      <c r="BW128" s="382"/>
      <c r="BX128" s="382"/>
      <c r="BY128" s="775"/>
      <c r="BZ128" s="382"/>
      <c r="CA128" s="382"/>
      <c r="CB128" s="382"/>
      <c r="CC128" s="382"/>
      <c r="CD128" s="382"/>
      <c r="CE128" s="382"/>
      <c r="CG128" s="382"/>
      <c r="CH128" s="382"/>
      <c r="CI128" s="382"/>
      <c r="CJ128" s="382"/>
      <c r="CK128" s="382"/>
      <c r="CL128" s="382"/>
      <c r="CM128" s="382"/>
      <c r="CN128" s="382"/>
      <c r="CQ128" s="382"/>
      <c r="CR128" s="382"/>
    </row>
    <row r="129" spans="15:56" ht="15.75" customHeight="1" x14ac:dyDescent="0.35">
      <c r="Z129" s="361"/>
      <c r="AG129" s="476">
        <f>$AI$123*$AI129</f>
        <v>11471.574263164197</v>
      </c>
      <c r="AH129" s="357">
        <v>0.38119999999999998</v>
      </c>
      <c r="AI129" s="845" t="s">
        <v>702</v>
      </c>
      <c r="AJ129" s="841" t="s">
        <v>614</v>
      </c>
      <c r="AK129" s="842"/>
      <c r="AS129" s="353"/>
      <c r="AW129" s="353"/>
      <c r="BA129" s="357"/>
      <c r="BB129" s="350"/>
      <c r="BC129" s="368"/>
      <c r="BD129" s="368"/>
    </row>
    <row r="130" spans="15:56" ht="20" customHeight="1" x14ac:dyDescent="0.35">
      <c r="U130" s="388" t="s">
        <v>628</v>
      </c>
      <c r="Z130" s="391">
        <f>SUM(Z131:Z153)</f>
        <v>0.109</v>
      </c>
      <c r="AA130" s="564">
        <f>SUM(AA131:AA154)</f>
        <v>855.64166666666654</v>
      </c>
      <c r="AH130" s="361"/>
      <c r="AI130" s="845"/>
      <c r="AJ130" s="843"/>
      <c r="AK130" s="844"/>
      <c r="AS130" s="353"/>
      <c r="AW130" s="353"/>
      <c r="BA130" s="361"/>
      <c r="BB130" s="343"/>
      <c r="BC130" s="368"/>
      <c r="BD130" s="368"/>
    </row>
    <row r="131" spans="15:56" ht="20.5" customHeight="1" x14ac:dyDescent="0.35">
      <c r="Y131" s="463">
        <f>Y13</f>
        <v>10000</v>
      </c>
      <c r="Z131" s="362">
        <v>8.0000000000000002E-3</v>
      </c>
      <c r="AA131" s="927">
        <f>Y131*Z131</f>
        <v>80</v>
      </c>
      <c r="AB131" s="841" t="s">
        <v>565</v>
      </c>
      <c r="AC131" s="842"/>
      <c r="AG131" s="476">
        <f>$AI$123*$AI131</f>
        <v>9559.6452193034984</v>
      </c>
      <c r="AH131" s="357">
        <v>0.14149999999999999</v>
      </c>
      <c r="AI131" s="845" t="s">
        <v>703</v>
      </c>
      <c r="AJ131" s="841" t="s">
        <v>615</v>
      </c>
      <c r="AK131" s="842"/>
      <c r="AS131" s="353"/>
      <c r="AW131" s="353"/>
      <c r="BA131" s="357"/>
      <c r="BB131" s="684">
        <f>SUM(BB132:BB136)</f>
        <v>368.88465961712654</v>
      </c>
      <c r="BC131" s="436"/>
      <c r="BD131" s="436"/>
    </row>
    <row r="132" spans="15:56" x14ac:dyDescent="0.35">
      <c r="Z132" s="343"/>
      <c r="AA132" s="928"/>
      <c r="AB132" s="886"/>
      <c r="AC132" s="887"/>
      <c r="AH132" s="361"/>
      <c r="AI132" s="845"/>
      <c r="AJ132" s="843"/>
      <c r="AK132" s="844"/>
      <c r="AS132" s="353"/>
      <c r="AW132" s="353"/>
      <c r="AZ132" s="453">
        <v>6500</v>
      </c>
      <c r="BA132" s="362">
        <v>2.2135827472851807E-2</v>
      </c>
      <c r="BB132" s="683">
        <f>AZ132*BA132</f>
        <v>143.88287857353674</v>
      </c>
      <c r="BC132" s="431" t="s">
        <v>576</v>
      </c>
      <c r="BD132" s="430"/>
    </row>
    <row r="133" spans="15:56" x14ac:dyDescent="0.35">
      <c r="Y133" s="463">
        <f>Y25</f>
        <v>12000</v>
      </c>
      <c r="Z133" s="560">
        <v>1.2E-2</v>
      </c>
      <c r="AA133" s="927">
        <f>Y133*Z133</f>
        <v>144</v>
      </c>
      <c r="AB133" s="922" t="s">
        <v>617</v>
      </c>
      <c r="AC133" s="922"/>
      <c r="AH133" s="357"/>
      <c r="AS133" s="353"/>
      <c r="AW133" s="353"/>
      <c r="BA133" s="343"/>
      <c r="BB133" s="343"/>
      <c r="BC133" s="430"/>
      <c r="BD133" s="430"/>
    </row>
    <row r="134" spans="15:56" ht="15.75" customHeight="1" x14ac:dyDescent="0.35">
      <c r="Z134" s="343"/>
      <c r="AA134" s="928"/>
      <c r="AB134" s="922"/>
      <c r="AC134" s="922"/>
      <c r="AH134" s="361"/>
      <c r="AS134" s="353"/>
      <c r="AW134" s="353"/>
      <c r="AZ134" s="453">
        <v>14000</v>
      </c>
      <c r="BA134" s="350">
        <v>5.5975655678475837E-3</v>
      </c>
      <c r="BB134" s="683">
        <f>AZ134*BA134</f>
        <v>78.365917949866173</v>
      </c>
      <c r="BC134" s="431" t="s">
        <v>573</v>
      </c>
      <c r="BD134" s="432"/>
    </row>
    <row r="135" spans="15:56" ht="15" customHeight="1" x14ac:dyDescent="0.35">
      <c r="O135" s="385"/>
      <c r="S135" s="341"/>
      <c r="Y135" s="463">
        <f>Y15</f>
        <v>2000</v>
      </c>
      <c r="Z135" s="350">
        <v>5.1999999999999998E-3</v>
      </c>
      <c r="AA135" s="927">
        <f>Y135*Z135</f>
        <v>10.4</v>
      </c>
      <c r="AB135" s="841" t="s">
        <v>568</v>
      </c>
      <c r="AC135" s="842"/>
      <c r="AH135" s="361"/>
      <c r="AS135" s="353"/>
      <c r="AW135" s="353"/>
      <c r="BA135" s="343"/>
      <c r="BB135" s="343"/>
      <c r="BC135" s="424"/>
      <c r="BD135" s="425"/>
    </row>
    <row r="136" spans="15:56" x14ac:dyDescent="0.35">
      <c r="O136" s="385"/>
      <c r="S136" s="341"/>
      <c r="Z136" s="343"/>
      <c r="AA136" s="928"/>
      <c r="AB136" s="843"/>
      <c r="AC136" s="844"/>
      <c r="AH136" s="361"/>
      <c r="AS136" s="353"/>
      <c r="AW136" s="353"/>
      <c r="AZ136" s="453">
        <v>8000</v>
      </c>
      <c r="BA136" s="350">
        <v>1.8329482886715449E-2</v>
      </c>
      <c r="BB136" s="683">
        <f>AZ136*BA136</f>
        <v>146.6358630937236</v>
      </c>
      <c r="BC136" s="422" t="s">
        <v>579</v>
      </c>
      <c r="BD136" s="423"/>
    </row>
    <row r="137" spans="15:56" ht="15.75" customHeight="1" x14ac:dyDescent="0.35">
      <c r="O137" s="385"/>
      <c r="S137" s="341"/>
      <c r="Y137" s="463">
        <f>Y17</f>
        <v>4166.6666666666661</v>
      </c>
      <c r="Z137" s="350">
        <v>6.4000000000000003E-3</v>
      </c>
      <c r="AA137" s="927">
        <f>Y137*Z137</f>
        <v>26.666666666666664</v>
      </c>
      <c r="AB137" s="841" t="s">
        <v>571</v>
      </c>
      <c r="AC137" s="842"/>
      <c r="AH137" s="361"/>
      <c r="AS137" s="353"/>
      <c r="AW137" s="353"/>
      <c r="BA137" s="343"/>
      <c r="BB137" s="343"/>
      <c r="BC137" s="424"/>
      <c r="BD137" s="425"/>
    </row>
    <row r="138" spans="15:56" ht="17.5" customHeight="1" x14ac:dyDescent="0.35">
      <c r="O138" s="385"/>
      <c r="S138" s="341"/>
      <c r="Z138" s="343"/>
      <c r="AA138" s="928"/>
      <c r="AB138" s="843"/>
      <c r="AC138" s="844"/>
      <c r="AH138" s="391">
        <f>SUM(AH139:AH153)</f>
        <v>5.0500000000000003E-2</v>
      </c>
      <c r="AI138" s="564">
        <f>SUM(AI139:AI154)</f>
        <v>239.66666666666666</v>
      </c>
      <c r="AK138" s="341">
        <f>Z124-AH138-AK124</f>
        <v>1.6036083512198762E-2</v>
      </c>
      <c r="AS138" s="353"/>
      <c r="AW138" s="353"/>
      <c r="BA138" s="350">
        <v>5.5975655678475837E-3</v>
      </c>
      <c r="BB138" s="683">
        <f>AZ138*BA138</f>
        <v>0</v>
      </c>
      <c r="BC138" s="422" t="s">
        <v>621</v>
      </c>
      <c r="BD138" s="444"/>
    </row>
    <row r="139" spans="15:56" ht="17.5" customHeight="1" x14ac:dyDescent="0.35">
      <c r="O139" s="385"/>
      <c r="S139" s="341"/>
      <c r="W139" s="341"/>
      <c r="Y139" s="463">
        <f>Y174</f>
        <v>11250</v>
      </c>
      <c r="Z139" s="350">
        <v>2.3900000000000001E-2</v>
      </c>
      <c r="AA139" s="927">
        <f>Y139*Z139</f>
        <v>268.875</v>
      </c>
      <c r="AB139" s="841" t="s">
        <v>618</v>
      </c>
      <c r="AC139" s="842"/>
      <c r="AG139" s="463">
        <f>AG79</f>
        <v>4500</v>
      </c>
      <c r="AH139" s="386">
        <v>2.5999999999999999E-2</v>
      </c>
      <c r="AI139" s="927">
        <f>AG139*AH139</f>
        <v>117</v>
      </c>
      <c r="AJ139" s="841" t="s">
        <v>575</v>
      </c>
      <c r="AK139" s="842"/>
      <c r="AS139" s="353"/>
      <c r="AW139" s="353"/>
      <c r="BA139" s="343"/>
      <c r="BB139" s="343"/>
      <c r="BC139" s="445"/>
      <c r="BD139" s="446"/>
    </row>
    <row r="140" spans="15:56" x14ac:dyDescent="0.35">
      <c r="O140" s="385"/>
      <c r="S140" s="341"/>
      <c r="Z140" s="343"/>
      <c r="AA140" s="928"/>
      <c r="AB140" s="843"/>
      <c r="AC140" s="844"/>
      <c r="AH140" s="343"/>
      <c r="AI140" s="928"/>
      <c r="AJ140" s="843"/>
      <c r="AK140" s="844"/>
      <c r="AS140" s="353"/>
      <c r="AW140" s="369"/>
      <c r="AX140" s="349"/>
      <c r="AY140" s="349"/>
    </row>
    <row r="141" spans="15:56" ht="15.75" customHeight="1" x14ac:dyDescent="0.35">
      <c r="O141" s="385"/>
      <c r="S141" s="341"/>
      <c r="Y141" s="463">
        <f>Y176</f>
        <v>9900</v>
      </c>
      <c r="Z141" s="350">
        <v>1.5E-3</v>
      </c>
      <c r="AA141" s="927">
        <f>Y141*Z141</f>
        <v>14.85</v>
      </c>
      <c r="AB141" s="841" t="s">
        <v>619</v>
      </c>
      <c r="AC141" s="842"/>
      <c r="AG141" s="463">
        <f>AG106</f>
        <v>10500</v>
      </c>
      <c r="AH141" s="350">
        <v>2.5000000000000001E-3</v>
      </c>
      <c r="AI141" s="927">
        <f>AG141*AH141</f>
        <v>26.25</v>
      </c>
      <c r="AJ141" s="841" t="s">
        <v>578</v>
      </c>
      <c r="AK141" s="842"/>
      <c r="AS141" s="353"/>
      <c r="AW141" s="353"/>
    </row>
    <row r="142" spans="15:56" x14ac:dyDescent="0.35">
      <c r="O142" s="385"/>
      <c r="S142" s="341"/>
      <c r="Z142" s="343"/>
      <c r="AA142" s="928"/>
      <c r="AB142" s="843"/>
      <c r="AC142" s="844"/>
      <c r="AH142" s="343"/>
      <c r="AI142" s="928"/>
      <c r="AJ142" s="843"/>
      <c r="AK142" s="844"/>
      <c r="AS142" s="373"/>
      <c r="AT142" s="349"/>
      <c r="AU142" s="349"/>
      <c r="AV142" s="349"/>
      <c r="AW142" s="353"/>
    </row>
    <row r="143" spans="15:56" ht="15.75" customHeight="1" x14ac:dyDescent="0.35">
      <c r="O143" s="385"/>
      <c r="S143" s="341"/>
      <c r="Y143" s="463">
        <f>Y178</f>
        <v>6500</v>
      </c>
      <c r="Z143" s="350">
        <v>4.4999999999999998E-2</v>
      </c>
      <c r="AA143" s="927">
        <f>Y143*Z143</f>
        <v>292.5</v>
      </c>
      <c r="AB143" s="850" t="s">
        <v>620</v>
      </c>
      <c r="AC143" s="850"/>
      <c r="AG143" s="463">
        <f>AG79</f>
        <v>4500</v>
      </c>
      <c r="AH143" s="350">
        <v>4.5999999999999999E-3</v>
      </c>
      <c r="AI143" s="927">
        <f>AG143*AH143</f>
        <v>20.7</v>
      </c>
      <c r="AJ143" s="841" t="s">
        <v>599</v>
      </c>
      <c r="AK143" s="842"/>
      <c r="AS143" s="373"/>
      <c r="AT143" s="349"/>
      <c r="AU143" s="349"/>
      <c r="AV143" s="349"/>
      <c r="AW143" s="353"/>
      <c r="BA143" s="343"/>
      <c r="BB143" s="343"/>
    </row>
    <row r="144" spans="15:56" x14ac:dyDescent="0.35">
      <c r="O144" s="385"/>
      <c r="S144" s="341"/>
      <c r="Z144" s="343"/>
      <c r="AA144" s="928"/>
      <c r="AB144" s="850"/>
      <c r="AC144" s="850"/>
      <c r="AH144" s="343"/>
      <c r="AI144" s="928"/>
      <c r="AJ144" s="843"/>
      <c r="AK144" s="844"/>
      <c r="AS144" s="353"/>
      <c r="AW144" s="353"/>
      <c r="BA144" s="343"/>
      <c r="BB144" s="580" t="s">
        <v>712</v>
      </c>
      <c r="BC144" s="518">
        <f>'Hảo_R&amp;D (Vảy sạch)'!BR4</f>
        <v>0.26666666666666666</v>
      </c>
    </row>
    <row r="145" spans="15:59" ht="15.75" customHeight="1" x14ac:dyDescent="0.35">
      <c r="O145" s="385"/>
      <c r="S145" s="341"/>
      <c r="Y145" s="453">
        <v>1500</v>
      </c>
      <c r="Z145" s="350">
        <v>3.3999999999999998E-3</v>
      </c>
      <c r="AA145" s="927">
        <f>Y145*Z145</f>
        <v>5.0999999999999996</v>
      </c>
      <c r="AB145" s="846" t="s">
        <v>602</v>
      </c>
      <c r="AC145" s="847"/>
      <c r="AG145" s="463">
        <f>AG25</f>
        <v>4166.6666666666661</v>
      </c>
      <c r="AH145" s="350">
        <v>8.8000000000000005E-3</v>
      </c>
      <c r="AI145" s="927">
        <f>AG145*AH145</f>
        <v>36.666666666666664</v>
      </c>
      <c r="AJ145" s="841" t="s">
        <v>581</v>
      </c>
      <c r="AK145" s="842"/>
      <c r="AS145" s="353"/>
      <c r="AW145" s="353"/>
      <c r="AZ145" s="466">
        <f>($AH$5*0.855+$AH$123*0.095+$AH$5*0.05)/BA145</f>
        <v>21484.528605782449</v>
      </c>
      <c r="BA145" s="578">
        <f>SUM(BA146:BA149)</f>
        <v>0.95000000000000007</v>
      </c>
      <c r="BB145" s="343"/>
      <c r="BD145" s="438">
        <f>(0.855*AK6+0.095*AK124+0.05*AK6)*BA145</f>
        <v>0.76502119619197995</v>
      </c>
      <c r="BE145" s="468">
        <f>($N$5/BD145)*0.855+($N$123/BD145)*0.095+($N$5/BD145)*0.05</f>
        <v>21488.489274015108</v>
      </c>
      <c r="BF145" s="682">
        <f>BE145-AZ145</f>
        <v>3.9606682326593727</v>
      </c>
      <c r="BG145" s="463"/>
    </row>
    <row r="146" spans="15:59" ht="16" x14ac:dyDescent="0.35">
      <c r="O146" s="385"/>
      <c r="S146" s="341"/>
      <c r="Z146" s="343"/>
      <c r="AA146" s="928"/>
      <c r="AB146" s="848"/>
      <c r="AC146" s="849"/>
      <c r="AH146" s="343"/>
      <c r="AI146" s="928"/>
      <c r="AJ146" s="843"/>
      <c r="AK146" s="844"/>
      <c r="AS146" s="353"/>
      <c r="AT146" s="888"/>
      <c r="AU146" s="888"/>
      <c r="AV146" s="349"/>
      <c r="AW146" s="353"/>
      <c r="AZ146" s="349"/>
      <c r="BA146" s="577">
        <v>0.93400000000000005</v>
      </c>
      <c r="BB146" s="581">
        <f>BB11</f>
        <v>1.0642201834862386</v>
      </c>
      <c r="BC146" s="426" t="s">
        <v>597</v>
      </c>
      <c r="BD146" s="423"/>
      <c r="BE146" s="340" t="s">
        <v>640</v>
      </c>
    </row>
    <row r="147" spans="15:59" ht="15.75" customHeight="1" x14ac:dyDescent="0.35">
      <c r="Y147" s="463">
        <f>Y21</f>
        <v>-300</v>
      </c>
      <c r="Z147" s="350">
        <v>1.5E-3</v>
      </c>
      <c r="AA147" s="927">
        <f>Y147*Z147</f>
        <v>-0.45</v>
      </c>
      <c r="AB147" s="846" t="s">
        <v>574</v>
      </c>
      <c r="AC147" s="847"/>
      <c r="AG147" s="463">
        <f>AG27</f>
        <v>4166.6666666666661</v>
      </c>
      <c r="AH147" s="350">
        <v>2.0999999999999999E-3</v>
      </c>
      <c r="AI147" s="927">
        <f>AG147*AH147</f>
        <v>8.7499999999999982</v>
      </c>
      <c r="AJ147" s="899" t="s">
        <v>622</v>
      </c>
      <c r="AK147" s="900"/>
      <c r="AS147" s="353"/>
      <c r="AT147" s="888"/>
      <c r="AU147" s="888"/>
      <c r="AV147" s="349"/>
      <c r="AW147" s="353"/>
      <c r="AZ147" s="349"/>
      <c r="BA147" s="356"/>
      <c r="BB147" s="356"/>
      <c r="BC147" s="424"/>
      <c r="BD147" s="425"/>
    </row>
    <row r="148" spans="15:59" x14ac:dyDescent="0.35">
      <c r="Z148" s="343"/>
      <c r="AA148" s="928"/>
      <c r="AB148" s="848"/>
      <c r="AC148" s="849"/>
      <c r="AH148" s="343"/>
      <c r="AI148" s="928"/>
      <c r="AJ148" s="901"/>
      <c r="AK148" s="902"/>
      <c r="AS148" s="353"/>
      <c r="AT148" s="888"/>
      <c r="AU148" s="888"/>
      <c r="AV148" s="349"/>
      <c r="AW148" s="352"/>
      <c r="AX148" s="894" t="s">
        <v>624</v>
      </c>
      <c r="AY148" s="895"/>
      <c r="AZ148" s="346"/>
      <c r="BA148" s="348">
        <v>1.6E-2</v>
      </c>
      <c r="BB148" s="451">
        <f>BB13</f>
        <v>1.036697247706422</v>
      </c>
      <c r="BC148" s="426" t="s">
        <v>590</v>
      </c>
      <c r="BD148" s="423"/>
      <c r="BE148" s="340" t="s">
        <v>641</v>
      </c>
    </row>
    <row r="149" spans="15:59" ht="15.75" customHeight="1" x14ac:dyDescent="0.35">
      <c r="Y149" s="463">
        <f>Y23</f>
        <v>2500</v>
      </c>
      <c r="Z149" s="350">
        <v>8.0000000000000004E-4</v>
      </c>
      <c r="AA149" s="927">
        <f>Y149*Z149</f>
        <v>2</v>
      </c>
      <c r="AB149" s="846" t="s">
        <v>577</v>
      </c>
      <c r="AC149" s="847"/>
      <c r="AG149" s="463">
        <f>AG147</f>
        <v>4166.6666666666661</v>
      </c>
      <c r="AH149" s="350">
        <v>5.4000000000000003E-3</v>
      </c>
      <c r="AI149" s="927">
        <f>AG149*AH149</f>
        <v>22.499999999999996</v>
      </c>
      <c r="AJ149" s="841" t="s">
        <v>583</v>
      </c>
      <c r="AK149" s="842"/>
      <c r="AS149" s="353"/>
      <c r="AT149" s="888"/>
      <c r="AU149" s="888"/>
      <c r="AW149" s="353"/>
      <c r="AX149" s="896"/>
      <c r="AY149" s="897"/>
      <c r="BA149" s="361"/>
      <c r="BB149" s="361"/>
      <c r="BC149" s="431"/>
      <c r="BD149" s="432"/>
    </row>
    <row r="150" spans="15:59" x14ac:dyDescent="0.35">
      <c r="Z150" s="343"/>
      <c r="AA150" s="928"/>
      <c r="AB150" s="848"/>
      <c r="AC150" s="849"/>
      <c r="AH150" s="343"/>
      <c r="AI150" s="928"/>
      <c r="AJ150" s="843"/>
      <c r="AK150" s="844"/>
      <c r="AS150" s="353"/>
      <c r="AT150" s="888"/>
      <c r="AU150" s="888"/>
      <c r="AW150" s="353"/>
      <c r="BA150" s="357">
        <v>0</v>
      </c>
      <c r="BB150" s="357"/>
      <c r="BC150" s="422" t="s">
        <v>608</v>
      </c>
      <c r="BD150" s="423"/>
      <c r="BE150" s="340" t="s">
        <v>642</v>
      </c>
    </row>
    <row r="151" spans="15:59" ht="15.75" customHeight="1" x14ac:dyDescent="0.35">
      <c r="Y151" s="463">
        <f>Y84</f>
        <v>6000</v>
      </c>
      <c r="Z151" s="350">
        <v>2.9999999999999997E-4</v>
      </c>
      <c r="AA151" s="927">
        <f>Y151*Z151</f>
        <v>1.7999999999999998</v>
      </c>
      <c r="AB151" s="929" t="s">
        <v>601</v>
      </c>
      <c r="AC151" s="930"/>
      <c r="AG151" s="453">
        <v>10000</v>
      </c>
      <c r="AH151" s="350">
        <v>2.9999999999999997E-4</v>
      </c>
      <c r="AI151" s="927">
        <f>AG151*AH151</f>
        <v>2.9999999999999996</v>
      </c>
      <c r="AJ151" s="841" t="s">
        <v>587</v>
      </c>
      <c r="AK151" s="842"/>
      <c r="AS151" s="353"/>
      <c r="AT151" s="888"/>
      <c r="AU151" s="888"/>
      <c r="AW151" s="353"/>
      <c r="BA151" s="361"/>
      <c r="BB151" s="361"/>
      <c r="BC151" s="424"/>
      <c r="BD151" s="425"/>
    </row>
    <row r="152" spans="15:59" x14ac:dyDescent="0.35">
      <c r="Y152" s="463"/>
      <c r="Z152" s="350"/>
      <c r="AA152" s="928"/>
      <c r="AB152" s="931"/>
      <c r="AC152" s="932"/>
      <c r="AH152" s="343"/>
      <c r="AI152" s="928"/>
      <c r="AJ152" s="843"/>
      <c r="AK152" s="844"/>
      <c r="AS152" s="353"/>
      <c r="AT152" s="888"/>
      <c r="AU152" s="888"/>
      <c r="AW152" s="353"/>
      <c r="BA152" s="357">
        <v>1E-3</v>
      </c>
      <c r="BB152" s="357"/>
      <c r="BC152" s="422" t="s">
        <v>600</v>
      </c>
      <c r="BD152" s="423"/>
      <c r="BE152" s="340" t="s">
        <v>643</v>
      </c>
    </row>
    <row r="153" spans="15:59" x14ac:dyDescent="0.35">
      <c r="Y153" s="463">
        <f>Y176</f>
        <v>9900</v>
      </c>
      <c r="Z153" s="350">
        <v>1E-3</v>
      </c>
      <c r="AA153" s="927">
        <f>Y153*Z153</f>
        <v>9.9</v>
      </c>
      <c r="AB153" s="929" t="s">
        <v>619</v>
      </c>
      <c r="AC153" s="930"/>
      <c r="AG153" s="463">
        <f>AG31</f>
        <v>6000</v>
      </c>
      <c r="AH153" s="350">
        <v>8.0000000000000004E-4</v>
      </c>
      <c r="AI153" s="927">
        <f>AG153*AH153</f>
        <v>4.8</v>
      </c>
      <c r="AJ153" s="841" t="s">
        <v>589</v>
      </c>
      <c r="AK153" s="842"/>
      <c r="AS153" s="353"/>
      <c r="AT153" s="888"/>
      <c r="AU153" s="888"/>
      <c r="AW153" s="353"/>
      <c r="BA153" s="361"/>
      <c r="BB153" s="361"/>
      <c r="BC153" s="424"/>
      <c r="BD153" s="425"/>
    </row>
    <row r="154" spans="15:59" x14ac:dyDescent="0.35">
      <c r="AA154" s="928"/>
      <c r="AB154" s="931"/>
      <c r="AC154" s="932"/>
      <c r="AH154" s="343"/>
      <c r="AI154" s="928"/>
      <c r="AJ154" s="843"/>
      <c r="AK154" s="844"/>
      <c r="AS154" s="353"/>
      <c r="AT154" s="888"/>
      <c r="AU154" s="888"/>
      <c r="AW154" s="353"/>
      <c r="BA154" s="357"/>
      <c r="BB154" s="350"/>
      <c r="BC154" s="436"/>
      <c r="BD154" s="436"/>
    </row>
    <row r="155" spans="15:59" x14ac:dyDescent="0.35">
      <c r="Y155" s="463">
        <f>N123</f>
        <v>15057.98648167912</v>
      </c>
      <c r="Z155" s="388">
        <v>4.6800000000000001E-2</v>
      </c>
      <c r="AA155" s="927">
        <f>Y155*Z155</f>
        <v>704.71376734258286</v>
      </c>
      <c r="AB155" s="846" t="s">
        <v>482</v>
      </c>
      <c r="AC155" s="847"/>
      <c r="AG155" s="463">
        <f>Z123</f>
        <v>17833.471285378098</v>
      </c>
      <c r="AH155" s="388">
        <v>2.8299999999999999E-2</v>
      </c>
      <c r="AI155" s="741">
        <f>AG155*AH155</f>
        <v>504.68723737620019</v>
      </c>
      <c r="AJ155" s="837" t="s">
        <v>482</v>
      </c>
      <c r="AK155" s="838"/>
      <c r="AS155" s="353"/>
      <c r="AT155" s="888"/>
      <c r="AU155" s="888"/>
      <c r="AW155" s="353"/>
      <c r="BA155" s="361"/>
      <c r="BB155" s="684">
        <f>SUM(BB156:BB160)</f>
        <v>213</v>
      </c>
      <c r="BC155" s="436"/>
      <c r="BD155" s="436"/>
    </row>
    <row r="156" spans="15:59" x14ac:dyDescent="0.35">
      <c r="Z156" s="343"/>
      <c r="AA156" s="928"/>
      <c r="AB156" s="848"/>
      <c r="AC156" s="849"/>
      <c r="AH156" s="343"/>
      <c r="AI156" s="741"/>
      <c r="AJ156" s="839"/>
      <c r="AK156" s="840"/>
      <c r="AS156" s="353"/>
      <c r="AW156" s="353"/>
      <c r="AZ156" s="453">
        <v>6500</v>
      </c>
      <c r="BA156" s="362">
        <v>1.7999999999999999E-2</v>
      </c>
      <c r="BB156" s="683">
        <f>AZ156*BA156</f>
        <v>116.99999999999999</v>
      </c>
      <c r="BC156" s="431" t="s">
        <v>576</v>
      </c>
      <c r="BD156" s="430"/>
    </row>
    <row r="157" spans="15:59" x14ac:dyDescent="0.35">
      <c r="AS157" s="353"/>
      <c r="AW157" s="353"/>
      <c r="BA157" s="343"/>
      <c r="BB157" s="343"/>
      <c r="BC157" s="430"/>
      <c r="BD157" s="430"/>
    </row>
    <row r="158" spans="15:59" ht="17.5" x14ac:dyDescent="0.35">
      <c r="Z158" s="465"/>
      <c r="AA158" s="465">
        <f>Z158-AA165</f>
        <v>0</v>
      </c>
      <c r="AH158" s="465">
        <f>Z158/AH159</f>
        <v>0</v>
      </c>
      <c r="AI158" s="394" t="s">
        <v>712</v>
      </c>
      <c r="AK158" s="454">
        <f>N158/AK159</f>
        <v>0</v>
      </c>
      <c r="AR158" s="341"/>
      <c r="AS158" s="353"/>
      <c r="AW158" s="353"/>
      <c r="AZ158" s="453">
        <v>14000</v>
      </c>
      <c r="BA158" s="350">
        <v>0</v>
      </c>
      <c r="BB158" s="683">
        <f>AZ158*BA158</f>
        <v>0</v>
      </c>
      <c r="BC158" s="431" t="s">
        <v>573</v>
      </c>
      <c r="BD158" s="432"/>
    </row>
    <row r="159" spans="15:59" x14ac:dyDescent="0.35">
      <c r="Z159" s="389">
        <f>SUM(Z160:Z161)</f>
        <v>0.9093</v>
      </c>
      <c r="AH159" s="413">
        <f>SUM(AH160:AH165)</f>
        <v>0.94030000000000002</v>
      </c>
      <c r="AK159" s="412">
        <f>Z159*AH159</f>
        <v>0.85501479000000002</v>
      </c>
      <c r="AS159" s="353"/>
      <c r="AW159" s="353"/>
      <c r="BA159" s="343"/>
      <c r="BB159" s="343"/>
      <c r="BC159" s="424"/>
      <c r="BD159" s="425"/>
    </row>
    <row r="160" spans="15:59" ht="15" customHeight="1" x14ac:dyDescent="0.35">
      <c r="R160" s="835"/>
      <c r="S160" s="918" t="s">
        <v>646</v>
      </c>
      <c r="T160" s="919"/>
      <c r="U160" s="347"/>
      <c r="V160" s="408">
        <v>0.05</v>
      </c>
      <c r="W160" s="862" t="s">
        <v>551</v>
      </c>
      <c r="X160" s="863"/>
      <c r="Y160" s="346"/>
      <c r="Z160" s="348">
        <v>0.9093</v>
      </c>
      <c r="AA160" s="835"/>
      <c r="AB160" s="915" t="s">
        <v>647</v>
      </c>
      <c r="AC160" s="915"/>
      <c r="AD160" s="346"/>
      <c r="AE160" s="862" t="s">
        <v>557</v>
      </c>
      <c r="AF160" s="863"/>
      <c r="AG160" s="476">
        <f>$AI$159*$AI160</f>
        <v>0</v>
      </c>
      <c r="AH160" s="372">
        <v>0.34100000000000003</v>
      </c>
      <c r="AI160" s="835" t="s">
        <v>700</v>
      </c>
      <c r="AJ160" s="903" t="s">
        <v>645</v>
      </c>
      <c r="AK160" s="904"/>
      <c r="AS160" s="353"/>
      <c r="AW160" s="353"/>
      <c r="AZ160" s="453">
        <v>8000</v>
      </c>
      <c r="BA160" s="350">
        <v>1.2E-2</v>
      </c>
      <c r="BB160" s="683">
        <f>AZ160*BA160</f>
        <v>96</v>
      </c>
      <c r="BC160" s="422" t="s">
        <v>579</v>
      </c>
      <c r="BD160" s="423"/>
    </row>
    <row r="161" spans="18:58" x14ac:dyDescent="0.35">
      <c r="R161" s="836"/>
      <c r="S161" s="920"/>
      <c r="T161" s="921"/>
      <c r="U161" s="354"/>
      <c r="V161" s="343"/>
      <c r="W161" s="864"/>
      <c r="X161" s="865"/>
      <c r="Z161" s="353"/>
      <c r="AA161" s="836"/>
      <c r="AB161" s="915"/>
      <c r="AC161" s="915"/>
      <c r="AE161" s="864"/>
      <c r="AF161" s="865"/>
      <c r="AH161" s="374"/>
      <c r="AI161" s="836"/>
      <c r="AJ161" s="905"/>
      <c r="AK161" s="906"/>
      <c r="AS161" s="353"/>
      <c r="AW161" s="353"/>
      <c r="BA161" s="343"/>
      <c r="BB161" s="343"/>
      <c r="BC161" s="424"/>
      <c r="BD161" s="425"/>
    </row>
    <row r="162" spans="18:58" ht="15" customHeight="1" x14ac:dyDescent="0.35">
      <c r="Z162" s="357">
        <v>0.39472419647883134</v>
      </c>
      <c r="AA162" s="835"/>
      <c r="AB162" s="903" t="s">
        <v>647</v>
      </c>
      <c r="AC162" s="904"/>
      <c r="AG162" s="476">
        <f>$AI$159*$AI162</f>
        <v>0</v>
      </c>
      <c r="AH162" s="374">
        <v>0.46600000000000003</v>
      </c>
      <c r="AI162" s="835" t="s">
        <v>701</v>
      </c>
      <c r="AJ162" s="903" t="s">
        <v>645</v>
      </c>
      <c r="AK162" s="904"/>
      <c r="AS162" s="353"/>
      <c r="AW162" s="353"/>
      <c r="BA162" s="350">
        <v>0</v>
      </c>
      <c r="BB162" s="683">
        <f>AZ162*BA162</f>
        <v>0</v>
      </c>
      <c r="BC162" s="422" t="s">
        <v>621</v>
      </c>
      <c r="BD162" s="444"/>
    </row>
    <row r="163" spans="18:58" x14ac:dyDescent="0.35">
      <c r="Z163" s="361"/>
      <c r="AA163" s="836"/>
      <c r="AB163" s="905"/>
      <c r="AC163" s="906"/>
      <c r="AH163" s="374"/>
      <c r="AI163" s="836"/>
      <c r="AJ163" s="905"/>
      <c r="AK163" s="906"/>
      <c r="AS163" s="353"/>
      <c r="AW163" s="353"/>
      <c r="AX163" s="349"/>
      <c r="AY163" s="349"/>
      <c r="BA163" s="343"/>
      <c r="BB163" s="343"/>
      <c r="BC163" s="445"/>
      <c r="BD163" s="446"/>
    </row>
    <row r="164" spans="18:58" ht="15" customHeight="1" x14ac:dyDescent="0.35">
      <c r="Z164" s="361"/>
      <c r="AB164" s="414"/>
      <c r="AC164" s="414"/>
      <c r="AG164" s="476">
        <f>$AI$159*$AI164</f>
        <v>0</v>
      </c>
      <c r="AH164" s="374">
        <v>0.1333</v>
      </c>
      <c r="AI164" s="845" t="s">
        <v>702</v>
      </c>
      <c r="AJ164" s="903" t="s">
        <v>645</v>
      </c>
      <c r="AK164" s="904"/>
      <c r="AS164" s="353"/>
      <c r="AW164" s="353"/>
    </row>
    <row r="165" spans="18:58" x14ac:dyDescent="0.35">
      <c r="Z165" s="391">
        <f>SUM(Z166:Z187)</f>
        <v>0.1084</v>
      </c>
      <c r="AA165" s="465"/>
      <c r="AB165" s="414"/>
      <c r="AC165" s="414"/>
      <c r="AH165" s="374"/>
      <c r="AI165" s="845"/>
      <c r="AJ165" s="905"/>
      <c r="AK165" s="906"/>
      <c r="AS165" s="353"/>
      <c r="AW165" s="353"/>
      <c r="BA165" s="343"/>
      <c r="BB165" s="343"/>
    </row>
    <row r="166" spans="18:58" x14ac:dyDescent="0.35">
      <c r="Y166" s="463">
        <f>Y13</f>
        <v>10000</v>
      </c>
      <c r="Z166" s="362">
        <v>8.0000000000000002E-3</v>
      </c>
      <c r="AA166" s="835"/>
      <c r="AB166" s="903" t="s">
        <v>565</v>
      </c>
      <c r="AC166" s="904"/>
      <c r="AJ166" s="414"/>
      <c r="AK166" s="414"/>
      <c r="AS166" s="353"/>
      <c r="AW166" s="353"/>
      <c r="BA166" s="343"/>
      <c r="BB166" s="580" t="s">
        <v>712</v>
      </c>
      <c r="BC166" s="518">
        <f>'Hảo_R&amp;D (Vảy sạch)'!BR26</f>
        <v>0</v>
      </c>
    </row>
    <row r="167" spans="18:58" ht="16" x14ac:dyDescent="0.35">
      <c r="Z167" s="343"/>
      <c r="AA167" s="836"/>
      <c r="AB167" s="916"/>
      <c r="AC167" s="917"/>
      <c r="AJ167" s="414"/>
      <c r="AK167" s="414"/>
      <c r="AS167" s="353"/>
      <c r="AW167" s="353"/>
      <c r="AZ167" s="466">
        <f>($AH$5*0.855+$AH$123*0.095+$AH$5*0.05)/BA167</f>
        <v>23460.11744309578</v>
      </c>
      <c r="BA167" s="578">
        <f>SUM(BA168:BA171)</f>
        <v>0.87</v>
      </c>
      <c r="BB167" s="343"/>
      <c r="BD167" s="438">
        <f>(0.855*AK28+0.095*AK146+0.05*AK28)*BA167</f>
        <v>0</v>
      </c>
      <c r="BE167" s="468" t="e">
        <f>($N$5/BD167)*0.855+($N$123/BD167)*0.095+($N$5/BD167)*0.05</f>
        <v>#DIV/0!</v>
      </c>
      <c r="BF167" s="682" t="e">
        <f>BE167-AZ167</f>
        <v>#DIV/0!</v>
      </c>
    </row>
    <row r="168" spans="18:58" ht="16" x14ac:dyDescent="0.35">
      <c r="Y168" s="463">
        <f>Y25</f>
        <v>12000</v>
      </c>
      <c r="Z168" s="350">
        <v>1.2E-2</v>
      </c>
      <c r="AA168" s="835"/>
      <c r="AB168" s="915" t="s">
        <v>617</v>
      </c>
      <c r="AC168" s="915"/>
      <c r="AH168" s="392">
        <f>SUM(AH169:AH181)</f>
        <v>5.0841552977177101E-2</v>
      </c>
      <c r="AJ168" s="414"/>
      <c r="AK168" s="415">
        <f>Z153-AH168-AK154</f>
        <v>-4.98415529771771E-2</v>
      </c>
      <c r="AS168" s="353"/>
      <c r="AW168" s="353"/>
      <c r="AZ168" s="349"/>
      <c r="BA168" s="577">
        <v>0.86529999999999996</v>
      </c>
      <c r="BB168" s="581">
        <f>BB33</f>
        <v>0</v>
      </c>
      <c r="BC168" s="426" t="s">
        <v>597</v>
      </c>
      <c r="BD168" s="423"/>
      <c r="BE168" s="340" t="s">
        <v>640</v>
      </c>
    </row>
    <row r="169" spans="18:58" x14ac:dyDescent="0.35">
      <c r="Z169" s="343"/>
      <c r="AA169" s="836"/>
      <c r="AB169" s="915"/>
      <c r="AC169" s="915"/>
      <c r="AG169" s="463">
        <f>AG139</f>
        <v>4500</v>
      </c>
      <c r="AH169" s="386">
        <v>2.6265459645543797E-2</v>
      </c>
      <c r="AI169" s="835"/>
      <c r="AJ169" s="903" t="s">
        <v>575</v>
      </c>
      <c r="AK169" s="904"/>
      <c r="AS169" s="353"/>
      <c r="AW169" s="353"/>
      <c r="AZ169" s="349"/>
      <c r="BA169" s="356"/>
      <c r="BB169" s="356"/>
      <c r="BC169" s="424"/>
      <c r="BD169" s="425"/>
    </row>
    <row r="170" spans="18:58" x14ac:dyDescent="0.35">
      <c r="Y170" s="463">
        <f>Y15</f>
        <v>2000</v>
      </c>
      <c r="Z170" s="350">
        <v>5.1999999999999998E-3</v>
      </c>
      <c r="AA170" s="835"/>
      <c r="AB170" s="903" t="s">
        <v>568</v>
      </c>
      <c r="AC170" s="904"/>
      <c r="AH170" s="343"/>
      <c r="AI170" s="836"/>
      <c r="AJ170" s="905"/>
      <c r="AK170" s="906"/>
      <c r="AS170" s="353"/>
      <c r="AW170" s="352"/>
      <c r="AX170" s="894" t="s">
        <v>820</v>
      </c>
      <c r="AY170" s="895"/>
      <c r="AZ170" s="346"/>
      <c r="BA170" s="348">
        <v>4.7000000000000002E-3</v>
      </c>
      <c r="BB170" s="484">
        <f>BB35</f>
        <v>420.99009998208032</v>
      </c>
      <c r="BC170" s="426" t="s">
        <v>590</v>
      </c>
      <c r="BD170" s="423"/>
      <c r="BE170" s="340" t="s">
        <v>641</v>
      </c>
    </row>
    <row r="171" spans="18:58" x14ac:dyDescent="0.35">
      <c r="Z171" s="343"/>
      <c r="AA171" s="836"/>
      <c r="AB171" s="905"/>
      <c r="AC171" s="906"/>
      <c r="AG171" s="463">
        <f>AG141</f>
        <v>10500</v>
      </c>
      <c r="AH171" s="350">
        <v>2.4760933316333037E-3</v>
      </c>
      <c r="AI171" s="835"/>
      <c r="AJ171" s="903" t="s">
        <v>578</v>
      </c>
      <c r="AK171" s="904"/>
      <c r="AS171" s="353"/>
      <c r="AW171" s="353"/>
      <c r="AX171" s="896"/>
      <c r="AY171" s="897"/>
      <c r="BA171" s="361"/>
      <c r="BB171" s="361"/>
      <c r="BC171" s="431"/>
      <c r="BD171" s="432"/>
    </row>
    <row r="172" spans="18:58" ht="15.75" customHeight="1" x14ac:dyDescent="0.35">
      <c r="Y172" s="463">
        <f>Y17</f>
        <v>4166.6666666666661</v>
      </c>
      <c r="Z172" s="350">
        <v>7.6E-3</v>
      </c>
      <c r="AA172" s="835"/>
      <c r="AB172" s="903" t="s">
        <v>571</v>
      </c>
      <c r="AC172" s="904"/>
      <c r="AH172" s="343"/>
      <c r="AI172" s="836"/>
      <c r="AJ172" s="905"/>
      <c r="AK172" s="906"/>
      <c r="AS172" s="353"/>
      <c r="AW172" s="353"/>
      <c r="BA172" s="357">
        <v>0</v>
      </c>
      <c r="BB172" s="357"/>
      <c r="BC172" s="422" t="s">
        <v>608</v>
      </c>
      <c r="BD172" s="423"/>
      <c r="BE172" s="340" t="s">
        <v>642</v>
      </c>
    </row>
    <row r="173" spans="18:58" x14ac:dyDescent="0.35">
      <c r="Z173" s="343"/>
      <c r="AA173" s="836"/>
      <c r="AB173" s="905"/>
      <c r="AC173" s="906"/>
      <c r="AG173" s="463">
        <f>AG143</f>
        <v>4500</v>
      </c>
      <c r="AH173" s="350">
        <v>4.5999999999999999E-3</v>
      </c>
      <c r="AI173" s="835"/>
      <c r="AJ173" s="903" t="s">
        <v>599</v>
      </c>
      <c r="AK173" s="904"/>
      <c r="AS173" s="353"/>
      <c r="AW173" s="353"/>
      <c r="BA173" s="361"/>
      <c r="BB173" s="361"/>
      <c r="BC173" s="424"/>
      <c r="BD173" s="425"/>
    </row>
    <row r="174" spans="18:58" x14ac:dyDescent="0.35">
      <c r="Y174" s="453">
        <v>11250</v>
      </c>
      <c r="Z174" s="350">
        <v>2.3900000000000001E-2</v>
      </c>
      <c r="AA174" s="835"/>
      <c r="AB174" s="903" t="s">
        <v>618</v>
      </c>
      <c r="AC174" s="904"/>
      <c r="AH174" s="343"/>
      <c r="AI174" s="836"/>
      <c r="AJ174" s="905"/>
      <c r="AK174" s="906"/>
      <c r="AS174" s="353"/>
      <c r="AW174" s="353"/>
      <c r="BA174" s="357">
        <v>0</v>
      </c>
      <c r="BB174" s="357"/>
      <c r="BC174" s="422" t="s">
        <v>600</v>
      </c>
      <c r="BD174" s="423"/>
      <c r="BE174" s="340" t="s">
        <v>643</v>
      </c>
    </row>
    <row r="175" spans="18:58" x14ac:dyDescent="0.35">
      <c r="Z175" s="343"/>
      <c r="AA175" s="836"/>
      <c r="AB175" s="905"/>
      <c r="AC175" s="906"/>
      <c r="AG175" s="463">
        <f>AG149</f>
        <v>4166.6666666666661</v>
      </c>
      <c r="AH175" s="350">
        <v>8.8000000000000005E-3</v>
      </c>
      <c r="AI175" s="835"/>
      <c r="AJ175" s="903" t="s">
        <v>581</v>
      </c>
      <c r="AK175" s="904"/>
      <c r="AS175" s="353"/>
      <c r="AW175" s="353"/>
      <c r="BA175" s="361"/>
      <c r="BB175" s="361"/>
      <c r="BC175" s="424"/>
      <c r="BD175" s="425"/>
    </row>
    <row r="176" spans="18:58" ht="15.75" customHeight="1" x14ac:dyDescent="0.35">
      <c r="Y176" s="453">
        <v>9900</v>
      </c>
      <c r="Z176" s="350">
        <v>1E-3</v>
      </c>
      <c r="AA176" s="835"/>
      <c r="AB176" s="903" t="s">
        <v>619</v>
      </c>
      <c r="AC176" s="904"/>
      <c r="AH176" s="343"/>
      <c r="AI176" s="836"/>
      <c r="AJ176" s="905"/>
      <c r="AK176" s="906"/>
      <c r="AS176" s="353"/>
      <c r="AW176" s="353"/>
      <c r="BA176" s="357"/>
      <c r="BB176" s="350"/>
      <c r="BC176" s="436"/>
      <c r="BD176" s="436"/>
    </row>
    <row r="177" spans="25:58" x14ac:dyDescent="0.35">
      <c r="Z177" s="343"/>
      <c r="AA177" s="836"/>
      <c r="AB177" s="905"/>
      <c r="AC177" s="906"/>
      <c r="AG177" s="463">
        <f>AG175</f>
        <v>4166.6666666666661</v>
      </c>
      <c r="AH177" s="350">
        <v>2.0999999999999999E-3</v>
      </c>
      <c r="AI177" s="835"/>
      <c r="AJ177" s="907" t="s">
        <v>622</v>
      </c>
      <c r="AK177" s="908"/>
      <c r="AS177" s="353"/>
      <c r="AW177" s="353"/>
      <c r="BA177" s="361"/>
      <c r="BB177" s="684">
        <f>SUM(BB178:BB182)</f>
        <v>356.15258220596451</v>
      </c>
      <c r="BC177" s="436"/>
      <c r="BD177" s="436"/>
    </row>
    <row r="178" spans="25:58" x14ac:dyDescent="0.35">
      <c r="Y178" s="453">
        <v>6500</v>
      </c>
      <c r="Z178" s="350">
        <v>4.4999999999999998E-2</v>
      </c>
      <c r="AA178" s="835"/>
      <c r="AB178" s="915" t="s">
        <v>620</v>
      </c>
      <c r="AC178" s="915"/>
      <c r="AH178" s="343"/>
      <c r="AI178" s="836"/>
      <c r="AJ178" s="909"/>
      <c r="AK178" s="910"/>
      <c r="AS178" s="353"/>
      <c r="AW178" s="353"/>
      <c r="AZ178" s="453">
        <v>6500</v>
      </c>
      <c r="BA178" s="362">
        <v>3.9E-2</v>
      </c>
      <c r="BB178" s="683">
        <f>AZ178*BA178</f>
        <v>253.5</v>
      </c>
      <c r="BC178" s="431" t="s">
        <v>576</v>
      </c>
      <c r="BD178" s="430"/>
    </row>
    <row r="179" spans="25:58" x14ac:dyDescent="0.35">
      <c r="Z179" s="343"/>
      <c r="AA179" s="836"/>
      <c r="AB179" s="915"/>
      <c r="AC179" s="915"/>
      <c r="AG179" s="463">
        <f>AG177</f>
        <v>4166.6666666666661</v>
      </c>
      <c r="AH179" s="350">
        <v>5.4000000000000003E-3</v>
      </c>
      <c r="AI179" s="835"/>
      <c r="AJ179" s="903" t="s">
        <v>583</v>
      </c>
      <c r="AK179" s="904"/>
      <c r="AS179" s="353"/>
      <c r="AW179" s="353"/>
      <c r="BA179" s="343"/>
      <c r="BB179" s="343"/>
      <c r="BC179" s="430"/>
      <c r="BD179" s="430"/>
    </row>
    <row r="180" spans="25:58" x14ac:dyDescent="0.35">
      <c r="Y180" s="463">
        <f>Y145</f>
        <v>1500</v>
      </c>
      <c r="Z180" s="350">
        <v>3.3999999999999998E-3</v>
      </c>
      <c r="AA180" s="835"/>
      <c r="AB180" s="911" t="s">
        <v>602</v>
      </c>
      <c r="AC180" s="912"/>
      <c r="AH180" s="343"/>
      <c r="AI180" s="836"/>
      <c r="AJ180" s="905"/>
      <c r="AK180" s="906"/>
      <c r="AS180" s="353"/>
      <c r="AW180" s="353"/>
      <c r="AZ180" s="453">
        <v>14000</v>
      </c>
      <c r="BA180" s="350">
        <v>0</v>
      </c>
      <c r="BB180" s="683">
        <f>AZ180*BA180</f>
        <v>0</v>
      </c>
      <c r="BC180" s="431" t="s">
        <v>573</v>
      </c>
      <c r="BD180" s="432"/>
    </row>
    <row r="181" spans="25:58" x14ac:dyDescent="0.35">
      <c r="Z181" s="343"/>
      <c r="AA181" s="836"/>
      <c r="AB181" s="913"/>
      <c r="AC181" s="914"/>
      <c r="AG181" s="463">
        <f>AG151</f>
        <v>10000</v>
      </c>
      <c r="AH181" s="350">
        <v>1.1999999999999999E-3</v>
      </c>
      <c r="AI181" s="835"/>
      <c r="AJ181" s="903" t="s">
        <v>587</v>
      </c>
      <c r="AK181" s="904"/>
      <c r="AS181" s="353"/>
      <c r="AW181" s="353"/>
      <c r="BA181" s="343"/>
      <c r="BB181" s="343"/>
      <c r="BC181" s="424"/>
      <c r="BD181" s="425"/>
    </row>
    <row r="182" spans="25:58" x14ac:dyDescent="0.35">
      <c r="Y182" s="463">
        <f>Y61</f>
        <v>-300</v>
      </c>
      <c r="Z182" s="350">
        <v>1.5E-3</v>
      </c>
      <c r="AA182" s="835"/>
      <c r="AB182" s="911" t="s">
        <v>574</v>
      </c>
      <c r="AC182" s="912"/>
      <c r="AH182" s="343"/>
      <c r="AI182" s="836"/>
      <c r="AJ182" s="905"/>
      <c r="AK182" s="906"/>
      <c r="AS182" s="353"/>
      <c r="AW182" s="353"/>
      <c r="AZ182" s="453">
        <v>8000</v>
      </c>
      <c r="BA182" s="350">
        <v>1.2831572775745564E-2</v>
      </c>
      <c r="BB182" s="683">
        <f>AZ182*BA182</f>
        <v>102.65258220596452</v>
      </c>
      <c r="BC182" s="422" t="s">
        <v>579</v>
      </c>
      <c r="BD182" s="423"/>
    </row>
    <row r="183" spans="25:58" x14ac:dyDescent="0.35">
      <c r="Z183" s="343"/>
      <c r="AA183" s="836"/>
      <c r="AB183" s="913"/>
      <c r="AC183" s="914"/>
      <c r="AH183" s="388">
        <v>2.8000000000000001E-2</v>
      </c>
      <c r="AI183" s="835"/>
      <c r="AJ183" s="911" t="s">
        <v>739</v>
      </c>
      <c r="AK183" s="912"/>
      <c r="AS183" s="353"/>
      <c r="AW183" s="353"/>
      <c r="BA183" s="343"/>
      <c r="BB183" s="343"/>
      <c r="BC183" s="424"/>
      <c r="BD183" s="425"/>
    </row>
    <row r="184" spans="25:58" x14ac:dyDescent="0.35">
      <c r="Y184" s="463">
        <f>Y23</f>
        <v>2500</v>
      </c>
      <c r="Z184" s="350">
        <v>8.0000000000000004E-4</v>
      </c>
      <c r="AA184" s="835"/>
      <c r="AB184" s="911" t="s">
        <v>577</v>
      </c>
      <c r="AC184" s="912"/>
      <c r="AH184" s="343"/>
      <c r="AI184" s="836"/>
      <c r="AJ184" s="913"/>
      <c r="AK184" s="914"/>
      <c r="AS184" s="353"/>
      <c r="AW184" s="353"/>
      <c r="BA184" s="350">
        <v>0</v>
      </c>
      <c r="BB184" s="683">
        <f>AZ184*BA184</f>
        <v>0</v>
      </c>
      <c r="BC184" s="422" t="s">
        <v>621</v>
      </c>
      <c r="BD184" s="444"/>
    </row>
    <row r="185" spans="25:58" x14ac:dyDescent="0.35">
      <c r="Z185" s="343"/>
      <c r="AA185" s="836"/>
      <c r="AB185" s="913"/>
      <c r="AC185" s="914"/>
      <c r="AS185" s="353"/>
      <c r="AW185" s="353"/>
      <c r="AX185" s="349"/>
      <c r="AY185" s="349"/>
      <c r="BA185" s="343"/>
      <c r="BB185" s="343"/>
      <c r="BC185" s="445"/>
      <c r="BD185" s="446"/>
    </row>
    <row r="186" spans="25:58" x14ac:dyDescent="0.35">
      <c r="Z186" s="350"/>
      <c r="AA186" s="835"/>
      <c r="AB186" s="846"/>
      <c r="AC186" s="847"/>
      <c r="AS186" s="353"/>
      <c r="AW186" s="353"/>
    </row>
    <row r="187" spans="25:58" x14ac:dyDescent="0.35">
      <c r="Z187" s="343"/>
      <c r="AA187" s="836"/>
      <c r="AB187" s="848"/>
      <c r="AC187" s="849"/>
      <c r="AS187" s="353"/>
      <c r="AW187" s="353"/>
      <c r="BA187" s="343"/>
      <c r="BB187" s="343"/>
    </row>
    <row r="188" spans="25:58" x14ac:dyDescent="0.35">
      <c r="AS188" s="353"/>
      <c r="AW188" s="353"/>
      <c r="BA188" s="343"/>
      <c r="BB188" s="580" t="s">
        <v>712</v>
      </c>
      <c r="BC188" s="518">
        <f>'Hảo_R&amp;D (Vảy sạch)'!BR48</f>
        <v>0</v>
      </c>
    </row>
    <row r="189" spans="25:58" ht="16" x14ac:dyDescent="0.35">
      <c r="AS189" s="353"/>
      <c r="AW189" s="353"/>
      <c r="AZ189" s="466">
        <f>($AH$5*0.855+$AH$41*0.095+$AH$5*0.05)/BA189</f>
        <v>22493.646575786068</v>
      </c>
      <c r="BA189" s="578">
        <f>SUM(BA190:BA193)</f>
        <v>0.9</v>
      </c>
      <c r="BB189" s="343"/>
      <c r="BD189" s="438">
        <f>(0.855*AK50+0.095*AK168+0.05*AK50)*BA189</f>
        <v>-4.2614527795486424E-3</v>
      </c>
      <c r="BE189" s="468">
        <f>($N$5/BD189)*0.855+($N$123/BD189)*0.095+($N$5/BD189)*0.05</f>
        <v>-3857639.7813580246</v>
      </c>
      <c r="BF189" s="682">
        <f>BE189-AZ189</f>
        <v>-3880133.4279338107</v>
      </c>
    </row>
    <row r="190" spans="25:58" ht="16" x14ac:dyDescent="0.35">
      <c r="AS190" s="353"/>
      <c r="AW190" s="353"/>
      <c r="AZ190" s="349"/>
      <c r="BA190" s="577">
        <v>0.89700000000000002</v>
      </c>
      <c r="BB190" s="581">
        <f>BB55</f>
        <v>0</v>
      </c>
      <c r="BC190" s="426" t="s">
        <v>597</v>
      </c>
      <c r="BD190" s="423"/>
      <c r="BE190" s="340" t="s">
        <v>640</v>
      </c>
    </row>
    <row r="191" spans="25:58" x14ac:dyDescent="0.35">
      <c r="AS191" s="353"/>
      <c r="AW191" s="353"/>
      <c r="AZ191" s="349"/>
      <c r="BA191" s="356"/>
      <c r="BB191" s="356"/>
      <c r="BC191" s="424"/>
      <c r="BD191" s="425"/>
    </row>
    <row r="192" spans="25:58" x14ac:dyDescent="0.35">
      <c r="AS192" s="353"/>
      <c r="AW192" s="352"/>
      <c r="AX192" s="894" t="s">
        <v>821</v>
      </c>
      <c r="AY192" s="895"/>
      <c r="AZ192" s="346"/>
      <c r="BA192" s="348">
        <v>3.0000000000000001E-3</v>
      </c>
      <c r="BB192" s="451">
        <f>BB57</f>
        <v>61.78228884019908</v>
      </c>
      <c r="BC192" s="426" t="s">
        <v>590</v>
      </c>
      <c r="BD192" s="423"/>
      <c r="BE192" s="340" t="s">
        <v>641</v>
      </c>
    </row>
    <row r="193" spans="45:57" x14ac:dyDescent="0.35">
      <c r="AS193" s="353"/>
      <c r="AW193" s="349"/>
      <c r="AX193" s="896"/>
      <c r="AY193" s="897"/>
      <c r="BA193" s="361"/>
      <c r="BB193" s="361"/>
      <c r="BC193" s="431"/>
      <c r="BD193" s="432"/>
    </row>
    <row r="194" spans="45:57" x14ac:dyDescent="0.35">
      <c r="AS194" s="353"/>
      <c r="BA194" s="357">
        <v>6.8000000000000005E-2</v>
      </c>
      <c r="BB194" s="357"/>
      <c r="BC194" s="422" t="s">
        <v>608</v>
      </c>
      <c r="BD194" s="423"/>
      <c r="BE194" s="340" t="s">
        <v>642</v>
      </c>
    </row>
    <row r="195" spans="45:57" x14ac:dyDescent="0.35">
      <c r="AS195" s="353"/>
      <c r="BA195" s="361"/>
      <c r="BB195" s="361"/>
      <c r="BC195" s="424"/>
      <c r="BD195" s="425"/>
    </row>
    <row r="196" spans="45:57" x14ac:dyDescent="0.35">
      <c r="AS196" s="353"/>
      <c r="BA196" s="357">
        <v>0</v>
      </c>
      <c r="BB196" s="357"/>
      <c r="BC196" s="422" t="s">
        <v>600</v>
      </c>
      <c r="BD196" s="423"/>
      <c r="BE196" s="340" t="s">
        <v>643</v>
      </c>
    </row>
    <row r="197" spans="45:57" x14ac:dyDescent="0.35">
      <c r="AS197" s="353"/>
      <c r="BA197" s="361"/>
      <c r="BB197" s="361"/>
      <c r="BC197" s="424"/>
      <c r="BD197" s="425"/>
    </row>
    <row r="198" spans="45:57" x14ac:dyDescent="0.35">
      <c r="AS198" s="353"/>
      <c r="BA198" s="357"/>
      <c r="BB198" s="350"/>
      <c r="BC198" s="436"/>
      <c r="BD198" s="436"/>
    </row>
    <row r="199" spans="45:57" x14ac:dyDescent="0.35">
      <c r="AS199" s="353"/>
      <c r="BA199" s="361"/>
      <c r="BB199" s="684">
        <f>SUM(BB200:BB204)</f>
        <v>114.5</v>
      </c>
      <c r="BC199" s="436"/>
      <c r="BD199" s="436"/>
    </row>
    <row r="200" spans="45:57" x14ac:dyDescent="0.35">
      <c r="AS200" s="353"/>
      <c r="AZ200" s="453">
        <v>6500</v>
      </c>
      <c r="BA200" s="362">
        <v>8.9999999999999993E-3</v>
      </c>
      <c r="BB200" s="683">
        <f>AZ200*BA200</f>
        <v>58.499999999999993</v>
      </c>
      <c r="BC200" s="431" t="s">
        <v>576</v>
      </c>
      <c r="BD200" s="430"/>
    </row>
    <row r="201" spans="45:57" x14ac:dyDescent="0.35">
      <c r="AS201" s="353"/>
      <c r="BA201" s="343"/>
      <c r="BB201" s="343"/>
      <c r="BC201" s="430"/>
      <c r="BD201" s="430"/>
    </row>
    <row r="202" spans="45:57" x14ac:dyDescent="0.35">
      <c r="AS202" s="353"/>
      <c r="AZ202" s="453">
        <v>14000</v>
      </c>
      <c r="BA202" s="350">
        <v>0</v>
      </c>
      <c r="BB202" s="683">
        <f>AZ202*BA202</f>
        <v>0</v>
      </c>
      <c r="BC202" s="431" t="s">
        <v>573</v>
      </c>
      <c r="BD202" s="432"/>
    </row>
    <row r="203" spans="45:57" x14ac:dyDescent="0.35">
      <c r="AS203" s="353"/>
      <c r="BA203" s="343"/>
      <c r="BB203" s="343"/>
      <c r="BC203" s="424"/>
      <c r="BD203" s="425"/>
    </row>
    <row r="204" spans="45:57" x14ac:dyDescent="0.35">
      <c r="AS204" s="353"/>
      <c r="AZ204" s="453">
        <v>8000</v>
      </c>
      <c r="BA204" s="350">
        <v>7.0000000000000001E-3</v>
      </c>
      <c r="BB204" s="683">
        <f>AZ204*BA204</f>
        <v>56</v>
      </c>
      <c r="BC204" s="422" t="s">
        <v>579</v>
      </c>
      <c r="BD204" s="423"/>
    </row>
    <row r="205" spans="45:57" x14ac:dyDescent="0.35">
      <c r="AS205" s="353"/>
      <c r="BA205" s="343"/>
      <c r="BB205" s="343"/>
      <c r="BC205" s="424"/>
      <c r="BD205" s="425"/>
    </row>
    <row r="206" spans="45:57" x14ac:dyDescent="0.35">
      <c r="AS206" s="353"/>
      <c r="BA206" s="350">
        <v>0</v>
      </c>
      <c r="BB206" s="683">
        <f>AZ206*BA206</f>
        <v>0</v>
      </c>
      <c r="BC206" s="422" t="s">
        <v>621</v>
      </c>
      <c r="BD206" s="444"/>
    </row>
    <row r="207" spans="45:57" x14ac:dyDescent="0.35">
      <c r="AS207" s="353"/>
      <c r="AW207" s="349"/>
      <c r="AX207" s="349"/>
      <c r="AY207" s="349"/>
      <c r="BA207" s="343"/>
      <c r="BB207" s="343"/>
      <c r="BC207" s="445"/>
      <c r="BD207" s="446"/>
    </row>
    <row r="208" spans="45:57" x14ac:dyDescent="0.35">
      <c r="AS208" s="353"/>
      <c r="BA208" s="343"/>
      <c r="BB208" s="343"/>
    </row>
    <row r="209" spans="45:59" x14ac:dyDescent="0.35">
      <c r="AS209" s="353"/>
      <c r="BA209" s="343"/>
      <c r="BB209" s="580" t="s">
        <v>712</v>
      </c>
      <c r="BC209" s="518">
        <f>'Hảo_R&amp;D (Vảy sạch)'!BR5</f>
        <v>6.6666666666666666E-2</v>
      </c>
    </row>
    <row r="210" spans="45:59" ht="16" x14ac:dyDescent="0.35">
      <c r="AS210" s="353"/>
      <c r="AZ210" s="466">
        <f>($AH$5*0.3+$AH$41*0.15+$AH$123*0.55+$AH$5*0)/BA210</f>
        <v>20456.108552955662</v>
      </c>
      <c r="BA210" s="578">
        <f>SUM(BA211)</f>
        <v>0.95058803508799916</v>
      </c>
      <c r="BB210" s="343"/>
      <c r="BD210" s="438">
        <f>(0.3*AK6+0.15*AK42+0.55*AK124+0*AK6)*BA210</f>
        <v>0.75905330750481881</v>
      </c>
      <c r="BE210" s="468">
        <f>($N$5/BD210)*0.3+($N$41/BD210)*0.15+($N$123/BD210)*0.55+($N$5/BD210)*0</f>
        <v>20441.028992084575</v>
      </c>
      <c r="BF210" s="463">
        <f>BE210-AZ210</f>
        <v>-15.079560871086869</v>
      </c>
      <c r="BG210" s="463"/>
    </row>
    <row r="211" spans="45:59" ht="16" x14ac:dyDescent="0.35">
      <c r="AS211" s="353"/>
      <c r="AZ211" s="349"/>
      <c r="BA211" s="577">
        <v>0.95058803508799916</v>
      </c>
      <c r="BB211" s="581">
        <f>BB13</f>
        <v>1.036697247706422</v>
      </c>
      <c r="BC211" s="426" t="s">
        <v>590</v>
      </c>
      <c r="BD211" s="423"/>
      <c r="BE211" s="340" t="s">
        <v>640</v>
      </c>
    </row>
    <row r="212" spans="45:59" x14ac:dyDescent="0.35">
      <c r="AS212" s="353"/>
      <c r="AZ212" s="349"/>
      <c r="BA212" s="356"/>
      <c r="BB212" s="356"/>
      <c r="BC212" s="431"/>
      <c r="BD212" s="432"/>
    </row>
    <row r="213" spans="45:59" x14ac:dyDescent="0.35">
      <c r="AS213" s="358"/>
      <c r="AT213" s="862" t="s">
        <v>625</v>
      </c>
      <c r="AU213" s="863"/>
      <c r="AV213" s="359"/>
      <c r="AW213" s="359"/>
      <c r="AX213" s="894" t="s">
        <v>657</v>
      </c>
      <c r="AY213" s="895"/>
      <c r="AZ213" s="346"/>
      <c r="BA213" s="348">
        <v>1.5555076937803624E-2</v>
      </c>
      <c r="BB213" s="350"/>
      <c r="BC213" s="426" t="s">
        <v>626</v>
      </c>
      <c r="BD213" s="423"/>
      <c r="BE213" s="340" t="s">
        <v>642</v>
      </c>
    </row>
    <row r="214" spans="45:59" x14ac:dyDescent="0.35">
      <c r="AS214" s="353"/>
      <c r="AT214" s="864"/>
      <c r="AU214" s="865"/>
      <c r="AV214" s="349"/>
      <c r="AW214" s="369"/>
      <c r="AX214" s="896"/>
      <c r="AY214" s="897"/>
      <c r="BA214" s="361"/>
      <c r="BB214" s="361"/>
      <c r="BC214" s="424"/>
      <c r="BD214" s="425"/>
    </row>
    <row r="215" spans="45:59" x14ac:dyDescent="0.35">
      <c r="AS215" s="353"/>
      <c r="AW215" s="353"/>
      <c r="BA215" s="357"/>
      <c r="BB215" s="684">
        <f>SUM(BB216:BB220)</f>
        <v>127.5808797526078</v>
      </c>
      <c r="BC215" s="368"/>
      <c r="BD215" s="368"/>
    </row>
    <row r="216" spans="45:59" x14ac:dyDescent="0.35">
      <c r="AS216" s="353"/>
      <c r="AW216" s="353"/>
      <c r="AZ216" s="453">
        <v>6500</v>
      </c>
      <c r="BA216" s="362">
        <v>1.2428107625178484E-2</v>
      </c>
      <c r="BB216" s="683">
        <f>AZ216*BA216</f>
        <v>80.782699563660145</v>
      </c>
      <c r="BC216" s="431" t="s">
        <v>576</v>
      </c>
      <c r="BD216" s="430"/>
    </row>
    <row r="217" spans="45:59" x14ac:dyDescent="0.35">
      <c r="AS217" s="353"/>
      <c r="AW217" s="353"/>
      <c r="BA217" s="343"/>
      <c r="BB217" s="343"/>
      <c r="BC217" s="430"/>
      <c r="BD217" s="430"/>
    </row>
    <row r="218" spans="45:59" x14ac:dyDescent="0.35">
      <c r="AS218" s="353"/>
      <c r="AW218" s="353"/>
      <c r="AZ218" s="453">
        <v>14000</v>
      </c>
      <c r="BA218" s="350">
        <v>0</v>
      </c>
      <c r="BB218" s="683">
        <f>AZ218*BA218</f>
        <v>0</v>
      </c>
      <c r="BC218" s="431" t="s">
        <v>573</v>
      </c>
      <c r="BD218" s="432"/>
    </row>
    <row r="219" spans="45:59" x14ac:dyDescent="0.35">
      <c r="AS219" s="353"/>
      <c r="AW219" s="353"/>
      <c r="BA219" s="343"/>
      <c r="BB219" s="343"/>
      <c r="BC219" s="424"/>
      <c r="BD219" s="425"/>
    </row>
    <row r="220" spans="45:59" x14ac:dyDescent="0.35">
      <c r="AS220" s="353"/>
      <c r="AW220" s="353"/>
      <c r="AZ220" s="453">
        <v>8000</v>
      </c>
      <c r="BA220" s="350">
        <v>5.8497725236184564E-3</v>
      </c>
      <c r="BB220" s="683">
        <f>AZ220*BA220</f>
        <v>46.798180188947654</v>
      </c>
      <c r="BC220" s="422" t="s">
        <v>579</v>
      </c>
      <c r="BD220" s="423"/>
    </row>
    <row r="221" spans="45:59" x14ac:dyDescent="0.35">
      <c r="AS221" s="353"/>
      <c r="AW221" s="353"/>
      <c r="BA221" s="343"/>
      <c r="BB221" s="343"/>
      <c r="BC221" s="424"/>
      <c r="BD221" s="425"/>
    </row>
    <row r="222" spans="45:59" x14ac:dyDescent="0.35">
      <c r="AS222" s="353"/>
      <c r="AW222" s="353"/>
    </row>
    <row r="223" spans="45:59" x14ac:dyDescent="0.35">
      <c r="AS223" s="353"/>
      <c r="AW223" s="353"/>
      <c r="BA223" s="343"/>
      <c r="BB223" s="343"/>
    </row>
    <row r="224" spans="45:59" x14ac:dyDescent="0.35">
      <c r="AS224" s="353"/>
      <c r="AW224" s="353"/>
      <c r="BA224" s="343"/>
      <c r="BB224" s="580" t="s">
        <v>712</v>
      </c>
      <c r="BC224" s="518">
        <f>'Hảo_R&amp;D (Vảy sạch)'!BR5</f>
        <v>6.6666666666666666E-2</v>
      </c>
    </row>
    <row r="225" spans="45:59" ht="16" x14ac:dyDescent="0.35">
      <c r="AS225" s="353"/>
      <c r="AW225" s="353"/>
      <c r="AZ225" s="466">
        <f>($AH$5*0+$AH$41*0.3+$AH$123*0.7+$AH$5*0)/BA225</f>
        <v>21990.583081320605</v>
      </c>
      <c r="BA225" s="578">
        <f>BA226</f>
        <v>0.85648854961832066</v>
      </c>
      <c r="BB225" s="343"/>
      <c r="BD225" s="438">
        <f>(0.3*AK42+0.7*AK124)*BA225</f>
        <v>0.68603513010398487</v>
      </c>
      <c r="BE225" s="468">
        <f>($N$5/BD225)*0+($N$41/BD225)*0.3+($N$123/BD225)*0.7+($N$5/BD225)*0</f>
        <v>21949.293587045206</v>
      </c>
      <c r="BF225" s="463">
        <f>BE225-AZ225</f>
        <v>-41.289494275399193</v>
      </c>
      <c r="BG225" s="463"/>
    </row>
    <row r="226" spans="45:59" ht="16" x14ac:dyDescent="0.35">
      <c r="AS226" s="353"/>
      <c r="AW226" s="353"/>
      <c r="AZ226" s="349"/>
      <c r="BA226" s="577">
        <v>0.85648854961832066</v>
      </c>
      <c r="BB226" s="581">
        <f>BB13</f>
        <v>1.036697247706422</v>
      </c>
      <c r="BC226" s="426" t="s">
        <v>590</v>
      </c>
      <c r="BD226" s="423"/>
    </row>
    <row r="227" spans="45:59" x14ac:dyDescent="0.35">
      <c r="AS227" s="353"/>
      <c r="AW227" s="353"/>
      <c r="AZ227" s="349"/>
      <c r="BA227" s="356"/>
      <c r="BB227" s="356"/>
      <c r="BC227" s="431"/>
      <c r="BD227" s="432"/>
    </row>
    <row r="228" spans="45:59" x14ac:dyDescent="0.35">
      <c r="AS228" s="353"/>
      <c r="AW228" s="352"/>
      <c r="AX228" s="894" t="s">
        <v>627</v>
      </c>
      <c r="AY228" s="895"/>
      <c r="AZ228" s="346"/>
      <c r="BA228" s="348">
        <v>0.10076335877862595</v>
      </c>
      <c r="BB228" s="350"/>
      <c r="BC228" s="426" t="s">
        <v>626</v>
      </c>
      <c r="BD228" s="423"/>
    </row>
    <row r="229" spans="45:59" x14ac:dyDescent="0.35">
      <c r="AS229" s="353"/>
      <c r="AW229" s="666"/>
      <c r="AX229" s="896"/>
      <c r="AY229" s="897"/>
      <c r="BA229" s="361"/>
      <c r="BB229" s="361"/>
      <c r="BC229" s="424"/>
      <c r="BD229" s="425"/>
    </row>
    <row r="230" spans="45:59" x14ac:dyDescent="0.35">
      <c r="AS230" s="353"/>
      <c r="AW230" s="353"/>
      <c r="AX230" s="414" t="s">
        <v>644</v>
      </c>
      <c r="BA230" s="357"/>
      <c r="BB230" s="350"/>
      <c r="BC230" s="368"/>
      <c r="BD230" s="368"/>
    </row>
    <row r="231" spans="45:59" x14ac:dyDescent="0.35">
      <c r="AS231" s="353"/>
      <c r="AW231" s="353"/>
      <c r="BA231" s="361"/>
      <c r="BB231" s="684">
        <f>SUM(BB232:BB236)</f>
        <v>208.07633587786256</v>
      </c>
    </row>
    <row r="232" spans="45:59" x14ac:dyDescent="0.35">
      <c r="AS232" s="353"/>
      <c r="AW232" s="353"/>
      <c r="AZ232" s="453">
        <v>6500</v>
      </c>
      <c r="BA232" s="362">
        <v>6.8702290076335876E-3</v>
      </c>
      <c r="BB232" s="683">
        <f>AZ232*BA232</f>
        <v>44.656488549618317</v>
      </c>
      <c r="BC232" s="431" t="s">
        <v>576</v>
      </c>
      <c r="BD232" s="430"/>
    </row>
    <row r="233" spans="45:59" x14ac:dyDescent="0.35">
      <c r="AS233" s="353"/>
      <c r="AW233" s="353"/>
      <c r="BA233" s="343"/>
      <c r="BB233" s="343"/>
      <c r="BC233" s="430"/>
      <c r="BD233" s="430"/>
    </row>
    <row r="234" spans="45:59" x14ac:dyDescent="0.35">
      <c r="AS234" s="353"/>
      <c r="AW234" s="353"/>
      <c r="AZ234" s="453">
        <v>14000</v>
      </c>
      <c r="BA234" s="350">
        <v>0</v>
      </c>
      <c r="BB234" s="683">
        <f>AZ234*BA234</f>
        <v>0</v>
      </c>
      <c r="BC234" s="431" t="s">
        <v>573</v>
      </c>
      <c r="BD234" s="432"/>
    </row>
    <row r="235" spans="45:59" x14ac:dyDescent="0.35">
      <c r="AS235" s="353"/>
      <c r="AW235" s="353"/>
      <c r="BA235" s="343"/>
      <c r="BB235" s="343"/>
      <c r="BC235" s="424"/>
      <c r="BD235" s="425"/>
    </row>
    <row r="236" spans="45:59" x14ac:dyDescent="0.35">
      <c r="AS236" s="353"/>
      <c r="AW236" s="353"/>
      <c r="AZ236" s="453">
        <v>8000</v>
      </c>
      <c r="BA236" s="350">
        <v>2.0427480916030534E-2</v>
      </c>
      <c r="BB236" s="683">
        <f>AZ236*BA236</f>
        <v>163.41984732824426</v>
      </c>
      <c r="BC236" s="422" t="s">
        <v>579</v>
      </c>
      <c r="BD236" s="423"/>
    </row>
    <row r="237" spans="45:59" x14ac:dyDescent="0.35">
      <c r="AS237" s="353"/>
      <c r="AW237" s="353"/>
      <c r="BA237" s="343"/>
      <c r="BB237" s="343"/>
      <c r="BC237" s="424"/>
      <c r="BD237" s="425"/>
    </row>
    <row r="238" spans="45:59" x14ac:dyDescent="0.35">
      <c r="AS238" s="353"/>
      <c r="AW238" s="353"/>
      <c r="BC238" s="340"/>
      <c r="BD238" s="340"/>
    </row>
    <row r="239" spans="45:59" x14ac:dyDescent="0.35">
      <c r="AS239" s="353"/>
      <c r="AW239" s="353"/>
    </row>
    <row r="240" spans="45:59" x14ac:dyDescent="0.35">
      <c r="AS240" s="353"/>
      <c r="AW240" s="353"/>
      <c r="BA240" s="343"/>
      <c r="BB240" s="580" t="s">
        <v>712</v>
      </c>
      <c r="BC240" s="518">
        <f>'Hảo_R&amp;D (Vảy sạch)'!BR5</f>
        <v>6.6666666666666666E-2</v>
      </c>
    </row>
    <row r="241" spans="45:58" ht="16" x14ac:dyDescent="0.35">
      <c r="AS241" s="353"/>
      <c r="AW241" s="353"/>
      <c r="AZ241" s="466">
        <f>($AH$5*1)/BA241</f>
        <v>21587.33710895617</v>
      </c>
      <c r="BA241" s="578">
        <f>SUM(BA242)</f>
        <v>0.95058803508799916</v>
      </c>
      <c r="BB241" s="343"/>
      <c r="BD241" s="438">
        <f>AK6*BA241</f>
        <v>0.76823434388983736</v>
      </c>
      <c r="BE241" s="468">
        <f>($N$5/BD241)</f>
        <v>21587.337108956173</v>
      </c>
      <c r="BF241" s="463">
        <f>BE241-AZ241</f>
        <v>0</v>
      </c>
    </row>
    <row r="242" spans="45:58" ht="16" x14ac:dyDescent="0.35">
      <c r="AS242" s="353"/>
      <c r="AW242" s="353"/>
      <c r="AZ242" s="349"/>
      <c r="BA242" s="577">
        <v>0.95058803508799916</v>
      </c>
      <c r="BB242" s="685">
        <f>BB56</f>
        <v>227.79357778196965</v>
      </c>
      <c r="BC242" s="426" t="s">
        <v>685</v>
      </c>
      <c r="BD242" s="423"/>
      <c r="BE242" s="340" t="s">
        <v>640</v>
      </c>
    </row>
    <row r="243" spans="45:58" x14ac:dyDescent="0.35">
      <c r="AS243" s="353"/>
      <c r="AW243" s="353"/>
      <c r="BA243" s="356"/>
      <c r="BB243" s="356"/>
      <c r="BC243" s="431"/>
      <c r="BD243" s="432"/>
    </row>
    <row r="244" spans="45:58" x14ac:dyDescent="0.35">
      <c r="AS244" s="353"/>
      <c r="AT244" s="862" t="s">
        <v>625</v>
      </c>
      <c r="AU244" s="863"/>
      <c r="AW244" s="353"/>
      <c r="AX244" s="874" t="s">
        <v>563</v>
      </c>
      <c r="AY244" s="875"/>
      <c r="AZ244" s="358"/>
      <c r="BA244" s="348">
        <v>1.5555076937803624E-2</v>
      </c>
      <c r="BB244" s="350"/>
      <c r="BC244" s="426" t="s">
        <v>626</v>
      </c>
      <c r="BD244" s="423"/>
      <c r="BE244" s="340" t="s">
        <v>642</v>
      </c>
    </row>
    <row r="245" spans="45:58" x14ac:dyDescent="0.35">
      <c r="AS245" s="353"/>
      <c r="AT245" s="864"/>
      <c r="AU245" s="865"/>
      <c r="AW245" s="353"/>
      <c r="AX245" s="876"/>
      <c r="AY245" s="877"/>
      <c r="BA245" s="361"/>
      <c r="BB245" s="361"/>
      <c r="BC245" s="424"/>
      <c r="BD245" s="425"/>
    </row>
    <row r="246" spans="45:58" x14ac:dyDescent="0.35">
      <c r="AS246" s="353"/>
      <c r="AT246" s="340" t="s">
        <v>684</v>
      </c>
      <c r="AW246" s="353"/>
      <c r="BA246" s="357"/>
      <c r="BB246" s="684">
        <f>SUM(BB247:BB251)</f>
        <v>127.5808797526078</v>
      </c>
      <c r="BC246" s="368"/>
      <c r="BD246" s="368"/>
    </row>
    <row r="247" spans="45:58" x14ac:dyDescent="0.35">
      <c r="AS247" s="353"/>
      <c r="AW247" s="353"/>
      <c r="AZ247" s="453">
        <v>6500</v>
      </c>
      <c r="BA247" s="362">
        <v>1.2428107625178484E-2</v>
      </c>
      <c r="BB247" s="683">
        <f>AZ247*BA247</f>
        <v>80.782699563660145</v>
      </c>
      <c r="BC247" s="431" t="s">
        <v>576</v>
      </c>
      <c r="BD247" s="430"/>
    </row>
    <row r="248" spans="45:58" x14ac:dyDescent="0.35">
      <c r="AS248" s="353"/>
      <c r="AW248" s="353"/>
      <c r="BA248" s="343"/>
      <c r="BB248" s="343"/>
      <c r="BC248" s="430"/>
      <c r="BD248" s="430"/>
    </row>
    <row r="249" spans="45:58" x14ac:dyDescent="0.35">
      <c r="AS249" s="353"/>
      <c r="AW249" s="353"/>
      <c r="AZ249" s="453">
        <v>14000</v>
      </c>
      <c r="BA249" s="350">
        <v>0</v>
      </c>
      <c r="BB249" s="683">
        <f>AZ249*BA249</f>
        <v>0</v>
      </c>
      <c r="BC249" s="431" t="s">
        <v>573</v>
      </c>
      <c r="BD249" s="432"/>
    </row>
    <row r="250" spans="45:58" x14ac:dyDescent="0.35">
      <c r="AS250" s="353"/>
      <c r="AW250" s="353"/>
      <c r="BA250" s="343"/>
      <c r="BB250" s="343"/>
      <c r="BC250" s="424"/>
      <c r="BD250" s="425"/>
    </row>
    <row r="251" spans="45:58" x14ac:dyDescent="0.35">
      <c r="AS251" s="353"/>
      <c r="AW251" s="353"/>
      <c r="AZ251" s="453">
        <v>8000</v>
      </c>
      <c r="BA251" s="350">
        <v>5.8497725236184564E-3</v>
      </c>
      <c r="BB251" s="683">
        <f>AZ251*BA251</f>
        <v>46.798180188947654</v>
      </c>
      <c r="BC251" s="422" t="s">
        <v>579</v>
      </c>
      <c r="BD251" s="423"/>
    </row>
    <row r="252" spans="45:58" x14ac:dyDescent="0.35">
      <c r="AS252" s="680"/>
      <c r="AW252" s="353"/>
      <c r="BA252" s="343"/>
      <c r="BB252" s="343"/>
      <c r="BC252" s="424"/>
      <c r="BD252" s="425"/>
    </row>
    <row r="253" spans="45:58" x14ac:dyDescent="0.35">
      <c r="AS253" s="680"/>
      <c r="AW253" s="353"/>
    </row>
    <row r="254" spans="45:58" x14ac:dyDescent="0.35">
      <c r="AS254" s="680"/>
      <c r="AW254" s="353"/>
    </row>
    <row r="255" spans="45:58" x14ac:dyDescent="0.35">
      <c r="AS255" s="680"/>
      <c r="AW255" s="353"/>
    </row>
    <row r="256" spans="45:58" x14ac:dyDescent="0.35">
      <c r="AS256" s="680"/>
      <c r="AW256" s="353"/>
      <c r="BA256" s="343"/>
      <c r="BB256" s="580" t="s">
        <v>712</v>
      </c>
      <c r="BC256" s="518">
        <f>'Hảo_R&amp;D (Vảy sạch)'!BR42</f>
        <v>0</v>
      </c>
    </row>
    <row r="257" spans="45:58" ht="16" x14ac:dyDescent="0.35">
      <c r="AS257" s="680"/>
      <c r="AW257" s="353"/>
      <c r="AZ257" s="466">
        <f>($AH$5*0+$AH$123*0.9+$AH$94*0.1+$AH$5*0)/BA257</f>
        <v>21771.769689072193</v>
      </c>
      <c r="BA257" s="578">
        <f>BA258</f>
        <v>0.876</v>
      </c>
      <c r="BB257" s="343"/>
      <c r="BD257" s="438">
        <f>(0.3*AK79+0.7*AK161)*BA257</f>
        <v>0</v>
      </c>
      <c r="BE257" s="468" t="e">
        <f>($N$5/BD257)*0+($N$41/BD257)*0.3+($N$123/BD257)*0.7+($N$5/BD257)*0</f>
        <v>#DIV/0!</v>
      </c>
      <c r="BF257" s="463" t="e">
        <f>BE257-AZ257</f>
        <v>#DIV/0!</v>
      </c>
    </row>
    <row r="258" spans="45:58" ht="16" x14ac:dyDescent="0.35">
      <c r="AS258" s="680"/>
      <c r="AW258" s="353"/>
      <c r="AZ258" s="349"/>
      <c r="BA258" s="577">
        <v>0.876</v>
      </c>
      <c r="BB258" s="581">
        <f>BB50</f>
        <v>0</v>
      </c>
      <c r="BC258" s="426" t="s">
        <v>590</v>
      </c>
      <c r="BD258" s="423"/>
    </row>
    <row r="259" spans="45:58" x14ac:dyDescent="0.35">
      <c r="AS259" s="680"/>
      <c r="AW259" s="353"/>
      <c r="AZ259" s="349"/>
      <c r="BA259" s="356"/>
      <c r="BB259" s="356"/>
      <c r="BC259" s="431"/>
      <c r="BD259" s="432"/>
    </row>
    <row r="260" spans="45:58" x14ac:dyDescent="0.35">
      <c r="AS260" s="680"/>
      <c r="AW260" s="352"/>
      <c r="AX260" s="894" t="s">
        <v>824</v>
      </c>
      <c r="AY260" s="895"/>
      <c r="AZ260" s="346"/>
      <c r="BA260" s="348">
        <v>8.1000000000000003E-2</v>
      </c>
      <c r="BB260" s="350"/>
      <c r="BC260" s="426" t="s">
        <v>626</v>
      </c>
      <c r="BD260" s="423"/>
    </row>
    <row r="261" spans="45:58" x14ac:dyDescent="0.35">
      <c r="AS261" s="680"/>
      <c r="AW261" s="349"/>
      <c r="AX261" s="896"/>
      <c r="AY261" s="897"/>
      <c r="BA261" s="361"/>
      <c r="BB261" s="361"/>
      <c r="BC261" s="424"/>
      <c r="BD261" s="425"/>
    </row>
    <row r="262" spans="45:58" x14ac:dyDescent="0.35">
      <c r="AS262" s="680"/>
      <c r="BA262" s="357"/>
      <c r="BB262" s="350"/>
      <c r="BC262" s="368"/>
      <c r="BD262" s="368"/>
    </row>
    <row r="263" spans="45:58" x14ac:dyDescent="0.35">
      <c r="AS263" s="680"/>
      <c r="BA263" s="361"/>
      <c r="BB263" s="684">
        <f>SUM(BB264:BB268)</f>
        <v>167</v>
      </c>
      <c r="BC263" s="368"/>
      <c r="BD263" s="368"/>
    </row>
    <row r="264" spans="45:58" x14ac:dyDescent="0.35">
      <c r="AS264" s="680"/>
      <c r="AZ264" s="453">
        <v>6500</v>
      </c>
      <c r="BA264" s="362">
        <v>6.0000000000000001E-3</v>
      </c>
      <c r="BB264" s="683">
        <f>AZ264*BA264</f>
        <v>39</v>
      </c>
      <c r="BC264" s="431" t="s">
        <v>576</v>
      </c>
      <c r="BD264" s="430"/>
    </row>
    <row r="265" spans="45:58" x14ac:dyDescent="0.35">
      <c r="AS265" s="680"/>
      <c r="BA265" s="343"/>
      <c r="BB265" s="343"/>
      <c r="BC265" s="430"/>
      <c r="BD265" s="430"/>
    </row>
    <row r="266" spans="45:58" x14ac:dyDescent="0.35">
      <c r="AS266" s="680"/>
      <c r="AZ266" s="453">
        <v>14000</v>
      </c>
      <c r="BA266" s="350">
        <v>0</v>
      </c>
      <c r="BB266" s="683">
        <f>AZ266*BA266</f>
        <v>0</v>
      </c>
      <c r="BC266" s="431" t="s">
        <v>573</v>
      </c>
      <c r="BD266" s="432"/>
    </row>
    <row r="267" spans="45:58" x14ac:dyDescent="0.35">
      <c r="AS267" s="680"/>
      <c r="BA267" s="343"/>
      <c r="BB267" s="343"/>
      <c r="BC267" s="424"/>
      <c r="BD267" s="425"/>
    </row>
    <row r="268" spans="45:58" x14ac:dyDescent="0.35">
      <c r="AS268" s="680"/>
      <c r="AZ268" s="453">
        <v>8000</v>
      </c>
      <c r="BA268" s="350">
        <v>1.6E-2</v>
      </c>
      <c r="BB268" s="683">
        <f>AZ268*BA268</f>
        <v>128</v>
      </c>
      <c r="BC268" s="422" t="s">
        <v>579</v>
      </c>
      <c r="BD268" s="423"/>
    </row>
    <row r="269" spans="45:58" x14ac:dyDescent="0.35">
      <c r="AS269" s="680"/>
      <c r="BA269" s="343"/>
      <c r="BB269" s="343"/>
      <c r="BC269" s="424"/>
      <c r="BD269" s="425"/>
    </row>
    <row r="270" spans="45:58" x14ac:dyDescent="0.35">
      <c r="AS270" s="680"/>
      <c r="BA270" s="350">
        <v>5.0000000000000001E-3</v>
      </c>
      <c r="BB270" s="350"/>
      <c r="BC270" s="422" t="s">
        <v>825</v>
      </c>
      <c r="BD270" s="444"/>
    </row>
    <row r="271" spans="45:58" x14ac:dyDescent="0.35">
      <c r="AS271" s="680"/>
      <c r="BA271" s="343"/>
      <c r="BB271" s="343"/>
      <c r="BC271" s="445"/>
      <c r="BD271" s="446"/>
    </row>
    <row r="272" spans="45:58" x14ac:dyDescent="0.35">
      <c r="AS272" s="680"/>
    </row>
    <row r="273" spans="45:58" x14ac:dyDescent="0.35">
      <c r="AS273" s="680"/>
      <c r="BA273" s="343"/>
      <c r="BB273" s="580" t="s">
        <v>712</v>
      </c>
      <c r="BC273" s="518">
        <f>'Hảo_R&amp;D (Vảy sạch)'!BR81</f>
        <v>0</v>
      </c>
    </row>
    <row r="274" spans="45:58" ht="16" x14ac:dyDescent="0.35">
      <c r="AS274" s="680"/>
      <c r="AZ274" s="466">
        <f>($AH$5*0.3+$AH$41*0.15+$AH$123*0.55+$AH$5*0)/BA274</f>
        <v>21274.980344530566</v>
      </c>
      <c r="BA274" s="578">
        <f>SUM(BA275:BA277)</f>
        <v>0.91399999999999992</v>
      </c>
      <c r="BB274" s="343"/>
      <c r="BD274" s="438" t="e">
        <f>(0.3*AK82+0.15*#REF!+0.55*AK200+0*AK82)*BA274</f>
        <v>#REF!</v>
      </c>
      <c r="BE274" s="468" t="e">
        <f>($N$5/BD274)*0.3+($N$41/BD274)*0.15+($N$123/BD274)*0.55+($N$5/BD274)*0</f>
        <v>#REF!</v>
      </c>
      <c r="BF274" s="463" t="e">
        <f>BE274-AZ274</f>
        <v>#REF!</v>
      </c>
    </row>
    <row r="275" spans="45:58" ht="16" x14ac:dyDescent="0.35">
      <c r="AS275" s="680"/>
      <c r="AZ275" s="349"/>
      <c r="BA275" s="577">
        <v>0.35</v>
      </c>
      <c r="BB275" s="581">
        <f>BB89</f>
        <v>0</v>
      </c>
      <c r="BC275" s="426" t="s">
        <v>685</v>
      </c>
      <c r="BD275" s="423"/>
      <c r="BE275" s="340" t="s">
        <v>640</v>
      </c>
    </row>
    <row r="276" spans="45:58" x14ac:dyDescent="0.35">
      <c r="AS276" s="680"/>
      <c r="AZ276" s="349"/>
      <c r="BA276" s="356"/>
      <c r="BB276" s="356"/>
      <c r="BC276" s="431"/>
      <c r="BD276" s="432"/>
    </row>
    <row r="277" spans="45:58" x14ac:dyDescent="0.35">
      <c r="AS277" s="681"/>
      <c r="AT277" s="862" t="s">
        <v>826</v>
      </c>
      <c r="AU277" s="863"/>
      <c r="AV277" s="359"/>
      <c r="AW277" s="359"/>
      <c r="AX277" s="894" t="s">
        <v>657</v>
      </c>
      <c r="AY277" s="895"/>
      <c r="AZ277" s="346"/>
      <c r="BA277" s="348">
        <v>0.56399999999999995</v>
      </c>
      <c r="BB277" s="361"/>
      <c r="BC277" s="426" t="s">
        <v>836</v>
      </c>
      <c r="BD277" s="423"/>
      <c r="BE277" s="340" t="s">
        <v>642</v>
      </c>
    </row>
    <row r="278" spans="45:58" x14ac:dyDescent="0.35">
      <c r="AS278" s="680"/>
      <c r="AT278" s="864"/>
      <c r="AU278" s="865"/>
      <c r="AV278" s="349"/>
      <c r="AW278" s="679"/>
      <c r="AX278" s="896"/>
      <c r="AY278" s="897"/>
      <c r="BA278" s="361"/>
      <c r="BC278" s="424"/>
      <c r="BD278" s="425"/>
    </row>
    <row r="279" spans="45:58" x14ac:dyDescent="0.35">
      <c r="AS279" s="680"/>
      <c r="BA279" s="357"/>
      <c r="BB279" s="350"/>
      <c r="BC279" s="368"/>
      <c r="BD279" s="368"/>
    </row>
    <row r="280" spans="45:58" x14ac:dyDescent="0.35">
      <c r="AS280" s="680"/>
      <c r="BA280" s="361"/>
      <c r="BB280" s="684">
        <f>SUM(BB281:BB285)</f>
        <v>728.78269956366012</v>
      </c>
    </row>
    <row r="281" spans="45:58" x14ac:dyDescent="0.35">
      <c r="AS281" s="680"/>
      <c r="AZ281" s="453">
        <v>6500</v>
      </c>
      <c r="BA281" s="362">
        <v>1.2428107625178484E-2</v>
      </c>
      <c r="BB281" s="683">
        <f>AZ281*BA281</f>
        <v>80.782699563660145</v>
      </c>
      <c r="BC281" s="431" t="s">
        <v>576</v>
      </c>
      <c r="BD281" s="430"/>
    </row>
    <row r="282" spans="45:58" x14ac:dyDescent="0.35">
      <c r="AS282" s="680"/>
      <c r="BA282" s="343"/>
      <c r="BB282" s="343"/>
      <c r="BC282" s="430"/>
      <c r="BD282" s="430"/>
    </row>
    <row r="283" spans="45:58" x14ac:dyDescent="0.35">
      <c r="AS283" s="680"/>
      <c r="AZ283" s="453">
        <v>14000</v>
      </c>
      <c r="BA283" s="350">
        <v>0</v>
      </c>
      <c r="BB283" s="683">
        <f>AZ283*BA283</f>
        <v>0</v>
      </c>
      <c r="BC283" s="431" t="s">
        <v>573</v>
      </c>
      <c r="BD283" s="432"/>
    </row>
    <row r="284" spans="45:58" x14ac:dyDescent="0.35">
      <c r="AS284" s="680"/>
      <c r="BA284" s="343"/>
      <c r="BB284" s="343"/>
      <c r="BC284" s="424"/>
      <c r="BD284" s="425"/>
    </row>
    <row r="285" spans="45:58" x14ac:dyDescent="0.35">
      <c r="AS285" s="680"/>
      <c r="AZ285" s="453">
        <v>8000</v>
      </c>
      <c r="BA285" s="350">
        <v>8.1000000000000003E-2</v>
      </c>
      <c r="BB285" s="683">
        <f>AZ285*BA285</f>
        <v>648</v>
      </c>
      <c r="BC285" s="422" t="s">
        <v>579</v>
      </c>
      <c r="BD285" s="423"/>
    </row>
    <row r="286" spans="45:58" x14ac:dyDescent="0.35">
      <c r="AS286" s="680"/>
      <c r="BA286" s="343"/>
      <c r="BB286" s="343"/>
      <c r="BC286" s="424"/>
      <c r="BD286" s="425"/>
    </row>
    <row r="287" spans="45:58" x14ac:dyDescent="0.35">
      <c r="AS287" s="680"/>
    </row>
    <row r="288" spans="45:58" x14ac:dyDescent="0.35">
      <c r="AS288" s="680"/>
    </row>
    <row r="289" spans="45:58" x14ac:dyDescent="0.35">
      <c r="AS289" s="680"/>
      <c r="BA289" s="343"/>
      <c r="BB289" s="580" t="s">
        <v>712</v>
      </c>
      <c r="BC289" s="518">
        <f>'Hảo_R&amp;D (Vảy sạch)'!BR99</f>
        <v>0</v>
      </c>
    </row>
    <row r="290" spans="45:58" ht="16" x14ac:dyDescent="0.35">
      <c r="AS290" s="680"/>
      <c r="AZ290" s="466">
        <f>($AH$5*0.3+$AH$41*0.15+$AH$123*0.55+$AH$5*0)/BA290</f>
        <v>28059.642186004236</v>
      </c>
      <c r="BA290" s="578">
        <f>SUM(BA291,BA292:BA293)</f>
        <v>0.69300000000000006</v>
      </c>
      <c r="BB290" s="343"/>
      <c r="BD290" s="438">
        <f>(0.3*AK100+0.15*AK136+0.55*AK218+0*AK100)*BA290</f>
        <v>0</v>
      </c>
      <c r="BE290" s="468" t="e">
        <f>($N$5/BD290)*0.3+($N$41/BD290)*0.15+($N$123/BD290)*0.55+($N$5/BD290)*0</f>
        <v>#DIV/0!</v>
      </c>
      <c r="BF290" s="463" t="e">
        <f>BE290-AZ290</f>
        <v>#DIV/0!</v>
      </c>
    </row>
    <row r="291" spans="45:58" ht="16" x14ac:dyDescent="0.35">
      <c r="AS291" s="680"/>
      <c r="AZ291" s="349"/>
      <c r="BA291" s="577">
        <v>0.54</v>
      </c>
      <c r="BB291" s="581"/>
      <c r="BC291" s="426" t="s">
        <v>685</v>
      </c>
      <c r="BD291" s="423"/>
      <c r="BE291" s="340" t="s">
        <v>640</v>
      </c>
    </row>
    <row r="292" spans="45:58" x14ac:dyDescent="0.35">
      <c r="AS292" s="680"/>
      <c r="AZ292" s="349"/>
      <c r="BA292" s="356"/>
      <c r="BB292" s="356"/>
      <c r="BC292" s="431"/>
      <c r="BD292" s="432"/>
    </row>
    <row r="293" spans="45:58" x14ac:dyDescent="0.35">
      <c r="AS293" s="681"/>
      <c r="AT293" s="862" t="s">
        <v>827</v>
      </c>
      <c r="AU293" s="863"/>
      <c r="AV293" s="359"/>
      <c r="AW293" s="359"/>
      <c r="AX293" s="894" t="s">
        <v>831</v>
      </c>
      <c r="AY293" s="895"/>
      <c r="AZ293" s="346"/>
      <c r="BA293" s="348">
        <v>0.153</v>
      </c>
      <c r="BB293" s="350"/>
      <c r="BC293" s="426" t="s">
        <v>838</v>
      </c>
      <c r="BD293" s="423"/>
      <c r="BE293" s="340" t="s">
        <v>642</v>
      </c>
    </row>
    <row r="294" spans="45:58" x14ac:dyDescent="0.35">
      <c r="AS294" s="680"/>
      <c r="AT294" s="864"/>
      <c r="AU294" s="865"/>
      <c r="AV294" s="349"/>
      <c r="AW294" s="369"/>
      <c r="AX294" s="896"/>
      <c r="AY294" s="897"/>
      <c r="BA294" s="361"/>
      <c r="BB294" s="361"/>
      <c r="BC294" s="424"/>
      <c r="BD294" s="425"/>
    </row>
    <row r="295" spans="45:58" x14ac:dyDescent="0.35">
      <c r="AS295" s="680"/>
      <c r="AW295" s="353"/>
      <c r="BA295" s="357"/>
      <c r="BB295" s="684">
        <f>SUM(BB296:BB300)</f>
        <v>648</v>
      </c>
      <c r="BC295" s="368"/>
      <c r="BD295" s="368"/>
    </row>
    <row r="296" spans="45:58" x14ac:dyDescent="0.35">
      <c r="AS296" s="680"/>
      <c r="AW296" s="353"/>
      <c r="AZ296" s="453">
        <v>6500</v>
      </c>
      <c r="BA296" s="362">
        <v>0</v>
      </c>
      <c r="BB296" s="683">
        <f>AZ296*BA296</f>
        <v>0</v>
      </c>
      <c r="BC296" s="431" t="s">
        <v>576</v>
      </c>
      <c r="BD296" s="430"/>
    </row>
    <row r="297" spans="45:58" x14ac:dyDescent="0.35">
      <c r="AS297" s="680"/>
      <c r="AW297" s="353"/>
      <c r="BA297" s="343"/>
      <c r="BB297" s="343"/>
      <c r="BC297" s="430"/>
      <c r="BD297" s="430"/>
    </row>
    <row r="298" spans="45:58" x14ac:dyDescent="0.35">
      <c r="AS298" s="680"/>
      <c r="AW298" s="353"/>
      <c r="AZ298" s="453">
        <v>14000</v>
      </c>
      <c r="BA298" s="350">
        <v>0</v>
      </c>
      <c r="BB298" s="683">
        <f>AZ298*BA298</f>
        <v>0</v>
      </c>
      <c r="BC298" s="431" t="s">
        <v>573</v>
      </c>
      <c r="BD298" s="432"/>
    </row>
    <row r="299" spans="45:58" x14ac:dyDescent="0.35">
      <c r="AS299" s="680"/>
      <c r="AW299" s="353"/>
      <c r="BA299" s="343"/>
      <c r="BB299" s="343"/>
      <c r="BC299" s="424"/>
      <c r="BD299" s="425"/>
    </row>
    <row r="300" spans="45:58" x14ac:dyDescent="0.35">
      <c r="AS300" s="680"/>
      <c r="AW300" s="353"/>
      <c r="AZ300" s="453">
        <v>8000</v>
      </c>
      <c r="BA300" s="350">
        <v>8.1000000000000003E-2</v>
      </c>
      <c r="BB300" s="683">
        <f>AZ300*BA300</f>
        <v>648</v>
      </c>
      <c r="BC300" s="422" t="s">
        <v>579</v>
      </c>
      <c r="BD300" s="423"/>
    </row>
    <row r="301" spans="45:58" x14ac:dyDescent="0.35">
      <c r="AS301" s="680"/>
      <c r="AW301" s="353"/>
      <c r="BA301" s="343"/>
      <c r="BB301" s="343"/>
      <c r="BC301" s="424"/>
      <c r="BD301" s="425"/>
    </row>
    <row r="302" spans="45:58" x14ac:dyDescent="0.35">
      <c r="AS302" s="680"/>
      <c r="AW302" s="353"/>
    </row>
    <row r="303" spans="45:58" x14ac:dyDescent="0.35">
      <c r="AS303" s="680"/>
      <c r="AW303" s="353"/>
    </row>
    <row r="304" spans="45:58" x14ac:dyDescent="0.35">
      <c r="AS304" s="680"/>
      <c r="AW304" s="353"/>
      <c r="BA304" s="343"/>
      <c r="BB304" s="580" t="s">
        <v>712</v>
      </c>
      <c r="BC304" s="518">
        <f>'Hảo_R&amp;D (Vảy sạch)'!BR116</f>
        <v>0</v>
      </c>
    </row>
    <row r="305" spans="45:58" ht="16" x14ac:dyDescent="0.35">
      <c r="AS305" s="680"/>
      <c r="AW305" s="353"/>
      <c r="AZ305" s="466">
        <f>($AH$5*0.7+$AH$41*0+$AH$123*0.3+$AH$5*0)/BA305</f>
        <v>21220.709121742857</v>
      </c>
      <c r="BA305" s="578">
        <f>SUM(BA306)</f>
        <v>0.95058803508799916</v>
      </c>
      <c r="BB305" s="343"/>
      <c r="BD305" s="438">
        <f>(0.3*AK117+0.15*AK153+0.55*AK228+0*AK117)*BA305</f>
        <v>0</v>
      </c>
      <c r="BE305" s="468" t="e">
        <f>($N$5/BD305)*0.3+($N$41/BD305)*0.15+($N$123/BD305)*0.55+($N$5/BD305)*0</f>
        <v>#DIV/0!</v>
      </c>
      <c r="BF305" s="463" t="e">
        <f>BE305-AZ305</f>
        <v>#DIV/0!</v>
      </c>
    </row>
    <row r="306" spans="45:58" ht="16" x14ac:dyDescent="0.35">
      <c r="AS306" s="680"/>
      <c r="AW306" s="353"/>
      <c r="AZ306" s="349"/>
      <c r="BA306" s="577">
        <v>0.95058803508799916</v>
      </c>
      <c r="BB306" s="581">
        <f>BB124</f>
        <v>0</v>
      </c>
      <c r="BC306" s="426" t="s">
        <v>685</v>
      </c>
      <c r="BD306" s="423"/>
      <c r="BE306" s="340" t="s">
        <v>640</v>
      </c>
    </row>
    <row r="307" spans="45:58" x14ac:dyDescent="0.35">
      <c r="AS307" s="680"/>
      <c r="AW307" s="353"/>
      <c r="AZ307" s="349"/>
      <c r="BA307" s="356"/>
      <c r="BB307" s="356"/>
      <c r="BC307" s="431"/>
      <c r="BD307" s="432"/>
    </row>
    <row r="308" spans="45:58" x14ac:dyDescent="0.35">
      <c r="AS308" s="680"/>
      <c r="AW308" s="367"/>
      <c r="AX308" s="894" t="s">
        <v>832</v>
      </c>
      <c r="AY308" s="895"/>
      <c r="AZ308" s="346"/>
      <c r="BA308" s="348">
        <v>1.5555076937803624E-2</v>
      </c>
      <c r="BB308" s="350"/>
      <c r="BC308" s="426" t="s">
        <v>838</v>
      </c>
      <c r="BD308" s="423"/>
      <c r="BE308" s="340" t="s">
        <v>642</v>
      </c>
    </row>
    <row r="309" spans="45:58" x14ac:dyDescent="0.35">
      <c r="AS309" s="680"/>
      <c r="AW309" s="369"/>
      <c r="AX309" s="896"/>
      <c r="AY309" s="897"/>
      <c r="BA309" s="361"/>
      <c r="BB309" s="361"/>
      <c r="BC309" s="424"/>
      <c r="BD309" s="425"/>
    </row>
    <row r="310" spans="45:58" x14ac:dyDescent="0.35">
      <c r="AS310" s="680"/>
      <c r="AW310" s="353"/>
      <c r="BA310" s="357"/>
      <c r="BB310" s="684">
        <f>SUM(BB311:BB315)</f>
        <v>127.5808797526078</v>
      </c>
      <c r="BC310" s="368"/>
      <c r="BD310" s="368"/>
    </row>
    <row r="311" spans="45:58" x14ac:dyDescent="0.35">
      <c r="AS311" s="680"/>
      <c r="AW311" s="353"/>
      <c r="AZ311" s="453">
        <v>6500</v>
      </c>
      <c r="BA311" s="362">
        <v>1.2428107625178484E-2</v>
      </c>
      <c r="BB311" s="683">
        <f>AZ311*BA311</f>
        <v>80.782699563660145</v>
      </c>
      <c r="BC311" s="431" t="s">
        <v>576</v>
      </c>
      <c r="BD311" s="430"/>
    </row>
    <row r="312" spans="45:58" x14ac:dyDescent="0.35">
      <c r="AS312" s="680"/>
      <c r="AW312" s="353"/>
      <c r="BA312" s="343"/>
      <c r="BB312" s="343"/>
      <c r="BC312" s="430"/>
      <c r="BD312" s="430"/>
    </row>
    <row r="313" spans="45:58" x14ac:dyDescent="0.35">
      <c r="AS313" s="680"/>
      <c r="AW313" s="353"/>
      <c r="AZ313" s="453">
        <v>14000</v>
      </c>
      <c r="BA313" s="350">
        <v>0</v>
      </c>
      <c r="BB313" s="683">
        <f>AZ313*BA313</f>
        <v>0</v>
      </c>
      <c r="BC313" s="431" t="s">
        <v>573</v>
      </c>
      <c r="BD313" s="432"/>
    </row>
    <row r="314" spans="45:58" x14ac:dyDescent="0.35">
      <c r="AS314" s="680"/>
      <c r="AW314" s="353"/>
      <c r="BA314" s="343"/>
      <c r="BB314" s="343"/>
      <c r="BC314" s="424"/>
      <c r="BD314" s="425"/>
    </row>
    <row r="315" spans="45:58" x14ac:dyDescent="0.35">
      <c r="AS315" s="680"/>
      <c r="AW315" s="353"/>
      <c r="AZ315" s="453">
        <v>8000</v>
      </c>
      <c r="BA315" s="350">
        <v>5.8497725236184564E-3</v>
      </c>
      <c r="BB315" s="683">
        <f>AZ315*BA315</f>
        <v>46.798180188947654</v>
      </c>
      <c r="BC315" s="422" t="s">
        <v>579</v>
      </c>
      <c r="BD315" s="423"/>
    </row>
    <row r="316" spans="45:58" x14ac:dyDescent="0.35">
      <c r="AS316" s="680"/>
      <c r="AW316" s="353"/>
      <c r="BA316" s="343"/>
      <c r="BB316" s="343"/>
      <c r="BC316" s="424"/>
      <c r="BD316" s="425"/>
    </row>
    <row r="317" spans="45:58" x14ac:dyDescent="0.35">
      <c r="AS317" s="680"/>
      <c r="AW317" s="353"/>
    </row>
    <row r="318" spans="45:58" x14ac:dyDescent="0.35">
      <c r="AS318" s="680"/>
      <c r="AW318" s="353"/>
    </row>
    <row r="319" spans="45:58" x14ac:dyDescent="0.35">
      <c r="AS319" s="680"/>
      <c r="AW319" s="353"/>
      <c r="BA319" s="343"/>
      <c r="BB319" s="580" t="s">
        <v>712</v>
      </c>
      <c r="BC319" s="518">
        <f>'Hảo_R&amp;D (Vảy sạch)'!BR133</f>
        <v>0</v>
      </c>
    </row>
    <row r="320" spans="45:58" ht="16" x14ac:dyDescent="0.35">
      <c r="AS320" s="680"/>
      <c r="AW320" s="353"/>
      <c r="AZ320" s="466">
        <f>($AH$5*0.95+$AH$41*0+$AH$94*0.05+$AH$5*0)/BA320</f>
        <v>23382.204342193461</v>
      </c>
      <c r="BA320" s="578">
        <f>SUM(BA321)</f>
        <v>0.86899999999999999</v>
      </c>
      <c r="BB320" s="343"/>
      <c r="BD320" s="438">
        <f>(0.3*AK134+0.15*AK170+0.55*AK240+0*AK134)*BA320</f>
        <v>0</v>
      </c>
      <c r="BE320" s="468" t="e">
        <f>($N$5/BD320)*0.3+($N$41/BD320)*0.15+($N$123/BD320)*0.55+($N$5/BD320)*0</f>
        <v>#DIV/0!</v>
      </c>
      <c r="BF320" s="463" t="e">
        <f>BE320-AZ320</f>
        <v>#DIV/0!</v>
      </c>
    </row>
    <row r="321" spans="45:57" ht="16" x14ac:dyDescent="0.35">
      <c r="AS321" s="680"/>
      <c r="AW321" s="353"/>
      <c r="AZ321" s="349"/>
      <c r="BA321" s="577">
        <v>0.86899999999999999</v>
      </c>
      <c r="BB321" s="581">
        <f>BB141</f>
        <v>0</v>
      </c>
      <c r="BC321" s="426" t="s">
        <v>685</v>
      </c>
      <c r="BD321" s="423"/>
      <c r="BE321" s="340" t="s">
        <v>640</v>
      </c>
    </row>
    <row r="322" spans="45:57" x14ac:dyDescent="0.35">
      <c r="AS322" s="680"/>
      <c r="AW322" s="353"/>
      <c r="AZ322" s="349"/>
      <c r="BA322" s="356"/>
      <c r="BB322" s="356"/>
      <c r="BC322" s="431"/>
      <c r="BD322" s="432"/>
    </row>
    <row r="323" spans="45:57" x14ac:dyDescent="0.35">
      <c r="AS323" s="680"/>
      <c r="AW323" s="367"/>
      <c r="AX323" s="894" t="s">
        <v>833</v>
      </c>
      <c r="AY323" s="895"/>
      <c r="AZ323" s="346"/>
      <c r="BA323" s="348">
        <v>0</v>
      </c>
      <c r="BB323" s="350"/>
      <c r="BC323" s="426" t="s">
        <v>838</v>
      </c>
      <c r="BD323" s="423"/>
      <c r="BE323" s="340" t="s">
        <v>642</v>
      </c>
    </row>
    <row r="324" spans="45:57" x14ac:dyDescent="0.35">
      <c r="AS324" s="680"/>
      <c r="AX324" s="896"/>
      <c r="AY324" s="897"/>
      <c r="BA324" s="361"/>
      <c r="BB324" s="361"/>
      <c r="BC324" s="424"/>
      <c r="BD324" s="425"/>
    </row>
    <row r="325" spans="45:57" x14ac:dyDescent="0.35">
      <c r="AS325" s="680"/>
      <c r="BA325" s="357"/>
      <c r="BB325" s="350"/>
      <c r="BC325" s="368"/>
      <c r="BD325" s="368"/>
    </row>
    <row r="326" spans="45:57" x14ac:dyDescent="0.35">
      <c r="AS326" s="680"/>
      <c r="BA326" s="361"/>
      <c r="BB326" s="684">
        <f>SUM(BB327:BB331)</f>
        <v>0</v>
      </c>
    </row>
    <row r="327" spans="45:57" x14ac:dyDescent="0.35">
      <c r="AS327" s="680"/>
      <c r="AZ327" s="453">
        <v>6500</v>
      </c>
      <c r="BA327" s="362">
        <v>0</v>
      </c>
      <c r="BB327" s="683">
        <f>AZ327*BA327</f>
        <v>0</v>
      </c>
      <c r="BC327" s="431" t="s">
        <v>576</v>
      </c>
      <c r="BD327" s="430"/>
    </row>
    <row r="328" spans="45:57" x14ac:dyDescent="0.35">
      <c r="AS328" s="680"/>
      <c r="BA328" s="343"/>
      <c r="BB328" s="343"/>
      <c r="BC328" s="430"/>
      <c r="BD328" s="430"/>
    </row>
    <row r="329" spans="45:57" x14ac:dyDescent="0.35">
      <c r="AS329" s="680"/>
      <c r="AZ329" s="453">
        <v>14000</v>
      </c>
      <c r="BA329" s="350">
        <v>0</v>
      </c>
      <c r="BB329" s="683">
        <f>AZ329*BA329</f>
        <v>0</v>
      </c>
      <c r="BC329" s="431" t="s">
        <v>573</v>
      </c>
      <c r="BD329" s="432"/>
    </row>
    <row r="330" spans="45:57" x14ac:dyDescent="0.35">
      <c r="AS330" s="680"/>
      <c r="BA330" s="343"/>
      <c r="BB330" s="343"/>
      <c r="BC330" s="424"/>
      <c r="BD330" s="425"/>
    </row>
    <row r="331" spans="45:57" x14ac:dyDescent="0.35">
      <c r="AS331" s="680"/>
      <c r="AZ331" s="453">
        <v>8000</v>
      </c>
      <c r="BA331" s="350">
        <v>0</v>
      </c>
      <c r="BB331" s="683">
        <f>AZ331*BA331</f>
        <v>0</v>
      </c>
      <c r="BC331" s="422" t="s">
        <v>579</v>
      </c>
      <c r="BD331" s="423"/>
    </row>
    <row r="332" spans="45:57" x14ac:dyDescent="0.35">
      <c r="AS332" s="680"/>
      <c r="BA332" s="343"/>
      <c r="BB332" s="343"/>
      <c r="BC332" s="424"/>
      <c r="BD332" s="425"/>
    </row>
    <row r="333" spans="45:57" x14ac:dyDescent="0.35">
      <c r="AS333" s="680"/>
    </row>
    <row r="334" spans="45:57" x14ac:dyDescent="0.35">
      <c r="AS334" s="680"/>
    </row>
    <row r="335" spans="45:57" x14ac:dyDescent="0.35">
      <c r="AS335" s="680"/>
    </row>
    <row r="336" spans="45:57" x14ac:dyDescent="0.35">
      <c r="AS336" s="353"/>
      <c r="BA336" s="343"/>
      <c r="BB336" s="580" t="s">
        <v>712</v>
      </c>
      <c r="BC336" s="518">
        <f>'Hảo_R&amp;D (Vảy sạch)'!BR154</f>
        <v>0</v>
      </c>
    </row>
    <row r="337" spans="45:58" ht="16" x14ac:dyDescent="0.35">
      <c r="AS337" s="353"/>
      <c r="AZ337" s="466">
        <f>($AH$5*0.3+$AH$41*0.15+$AH$123*0.55+$AH$5*0)/BA337</f>
        <v>21775.287833035763</v>
      </c>
      <c r="BA337" s="578">
        <f>SUM(BA338)</f>
        <v>0.89300000000000002</v>
      </c>
      <c r="BB337" s="343"/>
      <c r="BD337" s="438">
        <f>(0.3*AK155+0.15*AK191+0.55*AK261+0*AK155)*BA337</f>
        <v>0</v>
      </c>
      <c r="BE337" s="468" t="e">
        <f>($N$5/BD337)*0.3+($N$41/BD337)*0.15+($N$123/BD337)*0.55+($N$5/BD337)*0</f>
        <v>#DIV/0!</v>
      </c>
      <c r="BF337" s="463" t="e">
        <f>BE337-AZ337</f>
        <v>#DIV/0!</v>
      </c>
    </row>
    <row r="338" spans="45:58" ht="16" x14ac:dyDescent="0.35">
      <c r="AS338" s="353"/>
      <c r="AZ338" s="349"/>
      <c r="BA338" s="577">
        <v>0.89300000000000002</v>
      </c>
      <c r="BB338" s="581">
        <f>BB162</f>
        <v>0</v>
      </c>
      <c r="BC338" s="426" t="s">
        <v>836</v>
      </c>
      <c r="BD338" s="423"/>
      <c r="BE338" s="340" t="s">
        <v>640</v>
      </c>
    </row>
    <row r="339" spans="45:58" x14ac:dyDescent="0.35">
      <c r="AS339" s="353"/>
      <c r="AZ339" s="349"/>
      <c r="BA339" s="356"/>
      <c r="BB339" s="356"/>
      <c r="BC339" s="431"/>
      <c r="BD339" s="432"/>
    </row>
    <row r="340" spans="45:58" x14ac:dyDescent="0.35">
      <c r="AS340" s="358"/>
      <c r="AT340" s="862" t="s">
        <v>828</v>
      </c>
      <c r="AU340" s="863"/>
      <c r="AV340" s="359"/>
      <c r="AW340" s="359"/>
      <c r="AX340" s="894" t="s">
        <v>829</v>
      </c>
      <c r="AY340" s="895"/>
      <c r="AZ340" s="346"/>
      <c r="BA340" s="348">
        <v>5.2999999999999999E-2</v>
      </c>
      <c r="BB340" s="350"/>
      <c r="BC340" s="426" t="s">
        <v>837</v>
      </c>
      <c r="BD340" s="423"/>
      <c r="BE340" s="340" t="s">
        <v>642</v>
      </c>
    </row>
    <row r="341" spans="45:58" x14ac:dyDescent="0.35">
      <c r="AT341" s="864"/>
      <c r="AU341" s="865"/>
      <c r="AV341" s="349"/>
      <c r="AW341" s="369"/>
      <c r="AX341" s="896"/>
      <c r="AY341" s="897"/>
      <c r="BA341" s="361"/>
      <c r="BB341" s="361"/>
      <c r="BC341" s="424"/>
      <c r="BD341" s="425"/>
    </row>
    <row r="342" spans="45:58" x14ac:dyDescent="0.35">
      <c r="AW342" s="353"/>
      <c r="BA342" s="357"/>
      <c r="BB342" s="350"/>
      <c r="BC342" s="368"/>
      <c r="BD342" s="368"/>
    </row>
    <row r="343" spans="45:58" x14ac:dyDescent="0.35">
      <c r="AW343" s="353"/>
      <c r="BA343" s="361"/>
      <c r="BB343" s="684">
        <f>SUM(BB344:BB348)</f>
        <v>71.5</v>
      </c>
    </row>
    <row r="344" spans="45:58" x14ac:dyDescent="0.35">
      <c r="AW344" s="353"/>
      <c r="AZ344" s="453">
        <v>6500</v>
      </c>
      <c r="BA344" s="362">
        <v>1.0999999999999999E-2</v>
      </c>
      <c r="BB344" s="683">
        <f>AZ344*BA344</f>
        <v>71.5</v>
      </c>
      <c r="BC344" s="431" t="s">
        <v>576</v>
      </c>
      <c r="BD344" s="430"/>
    </row>
    <row r="345" spans="45:58" x14ac:dyDescent="0.35">
      <c r="AW345" s="353"/>
      <c r="BA345" s="343"/>
      <c r="BB345" s="343"/>
      <c r="BC345" s="430"/>
      <c r="BD345" s="430"/>
    </row>
    <row r="346" spans="45:58" x14ac:dyDescent="0.35">
      <c r="AW346" s="353"/>
      <c r="AZ346" s="453">
        <v>14000</v>
      </c>
      <c r="BA346" s="350">
        <v>0</v>
      </c>
      <c r="BB346" s="683">
        <f>AZ346*BA346</f>
        <v>0</v>
      </c>
      <c r="BC346" s="431" t="s">
        <v>573</v>
      </c>
      <c r="BD346" s="432"/>
    </row>
    <row r="347" spans="45:58" x14ac:dyDescent="0.35">
      <c r="AW347" s="353"/>
      <c r="BA347" s="343"/>
      <c r="BB347" s="343"/>
      <c r="BC347" s="424"/>
      <c r="BD347" s="425"/>
    </row>
    <row r="348" spans="45:58" x14ac:dyDescent="0.35">
      <c r="AW348" s="353"/>
      <c r="AZ348" s="453">
        <v>8000</v>
      </c>
      <c r="BA348" s="350">
        <v>0</v>
      </c>
      <c r="BB348" s="683">
        <f>AZ348*BA348</f>
        <v>0</v>
      </c>
      <c r="BC348" s="422" t="s">
        <v>579</v>
      </c>
      <c r="BD348" s="423"/>
    </row>
    <row r="349" spans="45:58" x14ac:dyDescent="0.35">
      <c r="AW349" s="353"/>
      <c r="BA349" s="343"/>
      <c r="BB349" s="343"/>
      <c r="BC349" s="424"/>
      <c r="BD349" s="425"/>
    </row>
    <row r="350" spans="45:58" x14ac:dyDescent="0.35">
      <c r="AW350" s="353"/>
    </row>
    <row r="351" spans="45:58" x14ac:dyDescent="0.35">
      <c r="AW351" s="353"/>
    </row>
    <row r="352" spans="45:58" x14ac:dyDescent="0.35">
      <c r="AW352" s="353"/>
    </row>
    <row r="353" spans="49:58" x14ac:dyDescent="0.35">
      <c r="AW353" s="353"/>
      <c r="BA353" s="343"/>
      <c r="BB353" s="580" t="s">
        <v>712</v>
      </c>
      <c r="BC353" s="518">
        <f>'Hảo_R&amp;D (Vảy sạch)'!BR171</f>
        <v>0</v>
      </c>
    </row>
    <row r="354" spans="49:58" ht="16" x14ac:dyDescent="0.35">
      <c r="AW354" s="353"/>
      <c r="AZ354" s="466">
        <f>($AH$5*0.3+$AH$41*0.15+$AH$123*0.55+$AH$5*0)/BA354</f>
        <v>33353.914296571078</v>
      </c>
      <c r="BA354" s="578">
        <f>SUM(BA355)</f>
        <v>0.58299999999999996</v>
      </c>
      <c r="BB354" s="343"/>
      <c r="BD354" s="438">
        <f>(0.3*AK172+0.15*AK208+0.55*AK278+0*AK172)*BA354</f>
        <v>0</v>
      </c>
      <c r="BE354" s="468" t="e">
        <f>($N$5/BD354)*0.3+($N$41/BD354)*0.15+($N$123/BD354)*0.55+($N$5/BD354)*0</f>
        <v>#DIV/0!</v>
      </c>
      <c r="BF354" s="463" t="e">
        <f>BE354-AZ354</f>
        <v>#DIV/0!</v>
      </c>
    </row>
    <row r="355" spans="49:58" ht="16" x14ac:dyDescent="0.35">
      <c r="AW355" s="353"/>
      <c r="AZ355" s="349"/>
      <c r="BA355" s="577">
        <v>0.58299999999999996</v>
      </c>
      <c r="BB355" s="581">
        <f>BB179</f>
        <v>0</v>
      </c>
      <c r="BC355" s="426" t="s">
        <v>836</v>
      </c>
      <c r="BD355" s="423"/>
      <c r="BE355" s="340" t="s">
        <v>640</v>
      </c>
    </row>
    <row r="356" spans="49:58" x14ac:dyDescent="0.35">
      <c r="AW356" s="353"/>
      <c r="AZ356" s="349"/>
      <c r="BA356" s="356"/>
      <c r="BB356" s="356"/>
      <c r="BC356" s="431"/>
      <c r="BD356" s="432"/>
    </row>
    <row r="357" spans="49:58" x14ac:dyDescent="0.35">
      <c r="AW357" s="353"/>
      <c r="AX357" s="894" t="s">
        <v>830</v>
      </c>
      <c r="AY357" s="895"/>
      <c r="AZ357" s="346"/>
      <c r="BA357" s="348">
        <v>0.27300000000000002</v>
      </c>
      <c r="BB357" s="350"/>
      <c r="BC357" s="426" t="s">
        <v>837</v>
      </c>
      <c r="BD357" s="423"/>
      <c r="BE357" s="340" t="s">
        <v>642</v>
      </c>
    </row>
    <row r="358" spans="49:58" x14ac:dyDescent="0.35">
      <c r="AW358" s="678"/>
      <c r="AX358" s="896"/>
      <c r="AY358" s="897"/>
      <c r="BA358" s="361"/>
      <c r="BB358" s="361"/>
      <c r="BC358" s="424"/>
      <c r="BD358" s="425"/>
    </row>
    <row r="359" spans="49:58" x14ac:dyDescent="0.35">
      <c r="AW359" s="353"/>
      <c r="BA359" s="357"/>
      <c r="BB359" s="350"/>
      <c r="BC359" s="368"/>
      <c r="BD359" s="368"/>
    </row>
    <row r="360" spans="49:58" x14ac:dyDescent="0.35">
      <c r="AW360" s="353"/>
      <c r="BA360" s="361"/>
      <c r="BB360" s="684">
        <f>SUM(BB361:BB365)</f>
        <v>871.5</v>
      </c>
    </row>
    <row r="361" spans="49:58" x14ac:dyDescent="0.35">
      <c r="AW361" s="353"/>
      <c r="AZ361" s="453">
        <v>6500</v>
      </c>
      <c r="BA361" s="362">
        <v>1.0999999999999999E-2</v>
      </c>
      <c r="BB361" s="683">
        <f>AZ361*BA361</f>
        <v>71.5</v>
      </c>
      <c r="BC361" s="431" t="s">
        <v>576</v>
      </c>
      <c r="BD361" s="430"/>
    </row>
    <row r="362" spans="49:58" x14ac:dyDescent="0.35">
      <c r="AW362" s="353"/>
      <c r="BA362" s="343"/>
      <c r="BB362" s="343"/>
      <c r="BC362" s="430"/>
      <c r="BD362" s="430"/>
    </row>
    <row r="363" spans="49:58" x14ac:dyDescent="0.35">
      <c r="AW363" s="353"/>
      <c r="AZ363" s="453">
        <v>14000</v>
      </c>
      <c r="BA363" s="350">
        <v>0</v>
      </c>
      <c r="BB363" s="683">
        <f>AZ363*BA363</f>
        <v>0</v>
      </c>
      <c r="BC363" s="431" t="s">
        <v>573</v>
      </c>
      <c r="BD363" s="432"/>
    </row>
    <row r="364" spans="49:58" x14ac:dyDescent="0.35">
      <c r="AW364" s="353"/>
      <c r="BA364" s="343"/>
      <c r="BB364" s="343"/>
      <c r="BC364" s="424"/>
      <c r="BD364" s="425"/>
    </row>
    <row r="365" spans="49:58" x14ac:dyDescent="0.35">
      <c r="AW365" s="353"/>
      <c r="AZ365" s="453">
        <v>8000</v>
      </c>
      <c r="BA365" s="350">
        <v>0.1</v>
      </c>
      <c r="BB365" s="683">
        <f>AZ365*BA365</f>
        <v>800</v>
      </c>
      <c r="BC365" s="422" t="s">
        <v>579</v>
      </c>
      <c r="BD365" s="423"/>
    </row>
    <row r="366" spans="49:58" x14ac:dyDescent="0.35">
      <c r="AW366" s="353"/>
      <c r="BA366" s="343"/>
      <c r="BB366" s="343"/>
      <c r="BC366" s="424"/>
      <c r="BD366" s="425"/>
    </row>
    <row r="367" spans="49:58" x14ac:dyDescent="0.35">
      <c r="AW367" s="353"/>
    </row>
    <row r="368" spans="49:58" x14ac:dyDescent="0.35">
      <c r="AW368" s="353"/>
    </row>
    <row r="369" spans="49:58" x14ac:dyDescent="0.35">
      <c r="AW369" s="353"/>
    </row>
    <row r="370" spans="49:58" x14ac:dyDescent="0.35">
      <c r="AW370" s="353"/>
      <c r="BA370" s="343"/>
      <c r="BB370" s="580" t="s">
        <v>712</v>
      </c>
      <c r="BC370" s="518">
        <f>'Hảo_R&amp;D (Vảy sạch)'!BR188</f>
        <v>0</v>
      </c>
    </row>
    <row r="371" spans="49:58" ht="16" x14ac:dyDescent="0.35">
      <c r="AW371" s="353"/>
      <c r="AZ371" s="466">
        <f>($AH$5*0.3+$AH$41*0.15+$AH$123*0.55+$AH$5*0)/BA371</f>
        <v>27779.045764144197</v>
      </c>
      <c r="BA371" s="578">
        <f>SUM(BA372)</f>
        <v>0.7</v>
      </c>
      <c r="BB371" s="343"/>
      <c r="BD371" s="438" t="e">
        <f>(0.3*AK189+0.15*#REF!+0.55*AK293+0*AK189)*BA371</f>
        <v>#REF!</v>
      </c>
      <c r="BE371" s="468" t="e">
        <f>($N$5/BD371)*0.3+($N$41/BD371)*0.15+($N$123/BD371)*0.55+($N$5/BD371)*0</f>
        <v>#REF!</v>
      </c>
      <c r="BF371" s="463" t="e">
        <f>BE371-AZ371</f>
        <v>#REF!</v>
      </c>
    </row>
    <row r="372" spans="49:58" ht="16" x14ac:dyDescent="0.35">
      <c r="AW372" s="353"/>
      <c r="AZ372" s="349"/>
      <c r="BA372" s="577">
        <v>0.7</v>
      </c>
      <c r="BB372" s="581">
        <f>BB196</f>
        <v>0</v>
      </c>
      <c r="BC372" s="426" t="s">
        <v>836</v>
      </c>
      <c r="BD372" s="423"/>
      <c r="BE372" s="340" t="s">
        <v>640</v>
      </c>
    </row>
    <row r="373" spans="49:58" x14ac:dyDescent="0.35">
      <c r="AW373" s="353"/>
      <c r="AZ373" s="349"/>
      <c r="BA373" s="356"/>
      <c r="BB373" s="356"/>
      <c r="BC373" s="431"/>
      <c r="BD373" s="432"/>
    </row>
    <row r="374" spans="49:58" x14ac:dyDescent="0.35">
      <c r="AW374" s="353"/>
      <c r="AX374" s="894" t="s">
        <v>834</v>
      </c>
      <c r="AY374" s="895"/>
      <c r="AZ374" s="346"/>
      <c r="BA374" s="348">
        <v>0</v>
      </c>
      <c r="BB374" s="350"/>
      <c r="BC374" s="426" t="s">
        <v>837</v>
      </c>
      <c r="BD374" s="423"/>
      <c r="BE374" s="340" t="s">
        <v>642</v>
      </c>
    </row>
    <row r="375" spans="49:58" x14ac:dyDescent="0.35">
      <c r="AW375" s="678"/>
      <c r="AX375" s="896"/>
      <c r="AY375" s="897"/>
      <c r="BA375" s="361"/>
      <c r="BB375" s="361"/>
      <c r="BC375" s="424"/>
      <c r="BD375" s="425"/>
    </row>
    <row r="376" spans="49:58" x14ac:dyDescent="0.35">
      <c r="AW376" s="353"/>
      <c r="BA376" s="357"/>
      <c r="BB376" s="350"/>
      <c r="BC376" s="368"/>
      <c r="BD376" s="368"/>
    </row>
    <row r="377" spans="49:58" x14ac:dyDescent="0.35">
      <c r="AW377" s="353"/>
      <c r="BA377" s="361"/>
      <c r="BB377" s="684">
        <f>SUM(BB378:BB382)</f>
        <v>2055</v>
      </c>
    </row>
    <row r="378" spans="49:58" x14ac:dyDescent="0.35">
      <c r="AW378" s="353"/>
      <c r="AZ378" s="453">
        <v>6500</v>
      </c>
      <c r="BA378" s="362">
        <v>0.23</v>
      </c>
      <c r="BB378" s="683">
        <f>AZ378*BA378</f>
        <v>1495</v>
      </c>
      <c r="BC378" s="431" t="s">
        <v>576</v>
      </c>
      <c r="BD378" s="430"/>
    </row>
    <row r="379" spans="49:58" x14ac:dyDescent="0.35">
      <c r="AW379" s="353"/>
      <c r="BA379" s="343"/>
      <c r="BB379" s="343"/>
      <c r="BC379" s="430"/>
      <c r="BD379" s="430"/>
    </row>
    <row r="380" spans="49:58" x14ac:dyDescent="0.35">
      <c r="AW380" s="353"/>
      <c r="AZ380" s="453">
        <v>14000</v>
      </c>
      <c r="BA380" s="350">
        <v>0</v>
      </c>
      <c r="BB380" s="683">
        <f>AZ380*BA380</f>
        <v>0</v>
      </c>
      <c r="BC380" s="431" t="s">
        <v>573</v>
      </c>
      <c r="BD380" s="432"/>
    </row>
    <row r="381" spans="49:58" x14ac:dyDescent="0.35">
      <c r="AW381" s="353"/>
      <c r="BA381" s="343"/>
      <c r="BB381" s="343"/>
      <c r="BC381" s="424"/>
      <c r="BD381" s="425"/>
    </row>
    <row r="382" spans="49:58" x14ac:dyDescent="0.35">
      <c r="AW382" s="353"/>
      <c r="AZ382" s="453">
        <v>8000</v>
      </c>
      <c r="BA382" s="350">
        <v>7.0000000000000007E-2</v>
      </c>
      <c r="BB382" s="683">
        <f>AZ382*BA382</f>
        <v>560</v>
      </c>
      <c r="BC382" s="422" t="s">
        <v>579</v>
      </c>
      <c r="BD382" s="423"/>
    </row>
    <row r="383" spans="49:58" x14ac:dyDescent="0.35">
      <c r="AW383" s="353"/>
      <c r="BA383" s="343"/>
      <c r="BB383" s="343"/>
      <c r="BC383" s="424"/>
      <c r="BD383" s="425"/>
    </row>
    <row r="384" spans="49:58" x14ac:dyDescent="0.35">
      <c r="AW384" s="353"/>
    </row>
    <row r="385" spans="49:58" x14ac:dyDescent="0.35">
      <c r="AW385" s="353"/>
    </row>
    <row r="386" spans="49:58" x14ac:dyDescent="0.35">
      <c r="AW386" s="353"/>
      <c r="BA386" s="343"/>
      <c r="BB386" s="580" t="s">
        <v>712</v>
      </c>
      <c r="BC386" s="518">
        <f>'Hảo_R&amp;D (Vảy sạch)'!BR204</f>
        <v>0</v>
      </c>
    </row>
    <row r="387" spans="49:58" ht="16" x14ac:dyDescent="0.35">
      <c r="AW387" s="353"/>
      <c r="AZ387" s="466">
        <f>($AH$5*0.3+$AH$41*0.15+$AH$123*0.55+$AH$5*0)/BA387</f>
        <v>22096.968221478339</v>
      </c>
      <c r="BA387" s="578">
        <f>SUM(BA388)</f>
        <v>0.88</v>
      </c>
      <c r="BB387" s="343"/>
      <c r="BD387" s="438">
        <f>(0.3*AK205+0.15*AK234+0.55*AK307+0*AK205)*BA387</f>
        <v>0</v>
      </c>
      <c r="BE387" s="468" t="e">
        <f>($N$5/BD387)*0.3+($N$41/BD387)*0.15+($N$123/BD387)*0.55+($N$5/BD387)*0</f>
        <v>#DIV/0!</v>
      </c>
      <c r="BF387" s="463" t="e">
        <f>BE387-AZ387</f>
        <v>#DIV/0!</v>
      </c>
    </row>
    <row r="388" spans="49:58" ht="16" x14ac:dyDescent="0.35">
      <c r="AW388" s="353"/>
      <c r="AZ388" s="349"/>
      <c r="BA388" s="577">
        <v>0.88</v>
      </c>
      <c r="BB388" s="581">
        <f>BB212</f>
        <v>0</v>
      </c>
      <c r="BC388" s="426" t="s">
        <v>836</v>
      </c>
      <c r="BD388" s="423"/>
      <c r="BE388" s="340" t="s">
        <v>640</v>
      </c>
    </row>
    <row r="389" spans="49:58" x14ac:dyDescent="0.35">
      <c r="AW389" s="353"/>
      <c r="AZ389" s="349"/>
      <c r="BA389" s="356"/>
      <c r="BB389" s="356"/>
      <c r="BC389" s="431"/>
      <c r="BD389" s="432"/>
    </row>
    <row r="390" spans="49:58" x14ac:dyDescent="0.35">
      <c r="AW390" s="367"/>
      <c r="AX390" s="894" t="s">
        <v>835</v>
      </c>
      <c r="AY390" s="895"/>
      <c r="AZ390" s="346"/>
      <c r="BA390" s="348">
        <v>0</v>
      </c>
      <c r="BB390" s="350"/>
      <c r="BC390" s="426" t="s">
        <v>837</v>
      </c>
      <c r="BD390" s="423"/>
      <c r="BE390" s="340" t="s">
        <v>642</v>
      </c>
    </row>
    <row r="391" spans="49:58" x14ac:dyDescent="0.35">
      <c r="AX391" s="896"/>
      <c r="AY391" s="897"/>
      <c r="BA391" s="361"/>
      <c r="BB391" s="361"/>
      <c r="BC391" s="424"/>
      <c r="BD391" s="425"/>
    </row>
    <row r="392" spans="49:58" x14ac:dyDescent="0.35">
      <c r="BA392" s="357"/>
      <c r="BB392" s="350"/>
      <c r="BC392" s="368"/>
      <c r="BD392" s="368"/>
    </row>
    <row r="393" spans="49:58" x14ac:dyDescent="0.35">
      <c r="BA393" s="361"/>
      <c r="BB393" s="684">
        <f>SUM(BB394:BB398)</f>
        <v>630</v>
      </c>
    </row>
    <row r="394" spans="49:58" x14ac:dyDescent="0.35">
      <c r="AZ394" s="453">
        <v>6500</v>
      </c>
      <c r="BA394" s="362">
        <v>0.06</v>
      </c>
      <c r="BB394" s="683">
        <f>AZ394*BA394</f>
        <v>390</v>
      </c>
      <c r="BC394" s="431" t="s">
        <v>576</v>
      </c>
      <c r="BD394" s="430"/>
    </row>
    <row r="395" spans="49:58" x14ac:dyDescent="0.35">
      <c r="BA395" s="343"/>
      <c r="BB395" s="343"/>
      <c r="BC395" s="430"/>
      <c r="BD395" s="430"/>
    </row>
    <row r="396" spans="49:58" x14ac:dyDescent="0.35">
      <c r="AZ396" s="453">
        <v>14000</v>
      </c>
      <c r="BA396" s="350">
        <v>0</v>
      </c>
      <c r="BB396" s="683">
        <f>AZ396*BA396</f>
        <v>0</v>
      </c>
      <c r="BC396" s="431" t="s">
        <v>573</v>
      </c>
      <c r="BD396" s="432"/>
    </row>
    <row r="397" spans="49:58" x14ac:dyDescent="0.35">
      <c r="BA397" s="343"/>
      <c r="BB397" s="343"/>
      <c r="BC397" s="424"/>
      <c r="BD397" s="425"/>
    </row>
    <row r="398" spans="49:58" x14ac:dyDescent="0.35">
      <c r="AZ398" s="453">
        <v>8000</v>
      </c>
      <c r="BA398" s="350">
        <v>0.03</v>
      </c>
      <c r="BB398" s="683">
        <f>AZ398*BA398</f>
        <v>240</v>
      </c>
      <c r="BC398" s="422" t="s">
        <v>579</v>
      </c>
      <c r="BD398" s="423"/>
    </row>
    <row r="399" spans="49:58" x14ac:dyDescent="0.35">
      <c r="BA399" s="343"/>
      <c r="BB399" s="343"/>
      <c r="BC399" s="424"/>
      <c r="BD399" s="425"/>
    </row>
  </sheetData>
  <mergeCells count="367">
    <mergeCell ref="D96:D97"/>
    <mergeCell ref="E96:F97"/>
    <mergeCell ref="H96:I97"/>
    <mergeCell ref="D125:D126"/>
    <mergeCell ref="E125:F126"/>
    <mergeCell ref="H125:I126"/>
    <mergeCell ref="D43:D44"/>
    <mergeCell ref="E43:F44"/>
    <mergeCell ref="H43:I44"/>
    <mergeCell ref="D71:D72"/>
    <mergeCell ref="E71:F72"/>
    <mergeCell ref="H71:I72"/>
    <mergeCell ref="AX357:AY358"/>
    <mergeCell ref="AX374:AY375"/>
    <mergeCell ref="AX390:AY391"/>
    <mergeCell ref="AX260:AY261"/>
    <mergeCell ref="AT277:AU278"/>
    <mergeCell ref="AX277:AY278"/>
    <mergeCell ref="AT293:AU294"/>
    <mergeCell ref="AX293:AY294"/>
    <mergeCell ref="AX308:AY309"/>
    <mergeCell ref="AX323:AY324"/>
    <mergeCell ref="AT340:AU341"/>
    <mergeCell ref="AX340:AY341"/>
    <mergeCell ref="S7:T8"/>
    <mergeCell ref="W7:X8"/>
    <mergeCell ref="AA7:AA8"/>
    <mergeCell ref="AB7:AC8"/>
    <mergeCell ref="AI7:AI8"/>
    <mergeCell ref="AJ7:AK8"/>
    <mergeCell ref="D7:D8"/>
    <mergeCell ref="E7:F8"/>
    <mergeCell ref="H7:I8"/>
    <mergeCell ref="M7:M8"/>
    <mergeCell ref="N7:O8"/>
    <mergeCell ref="R7:R8"/>
    <mergeCell ref="AI11:AI12"/>
    <mergeCell ref="AJ11:AK12"/>
    <mergeCell ref="AT11:AU12"/>
    <mergeCell ref="AX11:AY12"/>
    <mergeCell ref="AA13:AA14"/>
    <mergeCell ref="AB13:AC14"/>
    <mergeCell ref="AI13:AI14"/>
    <mergeCell ref="AJ13:AK14"/>
    <mergeCell ref="AM7:AN8"/>
    <mergeCell ref="AR7:AS8"/>
    <mergeCell ref="AE8:AF9"/>
    <mergeCell ref="AA9:AA10"/>
    <mergeCell ref="AB9:AC10"/>
    <mergeCell ref="AI9:AI10"/>
    <mergeCell ref="AJ9:AK10"/>
    <mergeCell ref="AA19:AA20"/>
    <mergeCell ref="AB19:AC20"/>
    <mergeCell ref="AA21:AA22"/>
    <mergeCell ref="AB21:AC22"/>
    <mergeCell ref="AI21:AI22"/>
    <mergeCell ref="AJ21:AK22"/>
    <mergeCell ref="AA15:AA16"/>
    <mergeCell ref="AB15:AC16"/>
    <mergeCell ref="AI15:AI16"/>
    <mergeCell ref="AJ15:AK16"/>
    <mergeCell ref="AA17:AA18"/>
    <mergeCell ref="AB17:AC18"/>
    <mergeCell ref="AB26:AC26"/>
    <mergeCell ref="AT28:AU29"/>
    <mergeCell ref="AA23:AA24"/>
    <mergeCell ref="AB23:AC24"/>
    <mergeCell ref="AI23:AI24"/>
    <mergeCell ref="AJ23:AK24"/>
    <mergeCell ref="AN24:AO26"/>
    <mergeCell ref="AB30:AC31"/>
    <mergeCell ref="AI25:AI26"/>
    <mergeCell ref="AJ25:AK26"/>
    <mergeCell ref="AB25:AC25"/>
    <mergeCell ref="M43:M44"/>
    <mergeCell ref="N43:O44"/>
    <mergeCell ref="R43:R44"/>
    <mergeCell ref="S43:T44"/>
    <mergeCell ref="W43:X44"/>
    <mergeCell ref="AA43:AA44"/>
    <mergeCell ref="AX28:AY29"/>
    <mergeCell ref="AB27:AC27"/>
    <mergeCell ref="AI29:AI30"/>
    <mergeCell ref="AJ29:AK30"/>
    <mergeCell ref="AN30:AO31"/>
    <mergeCell ref="AI31:AI32"/>
    <mergeCell ref="AJ31:AK32"/>
    <mergeCell ref="AI27:AI28"/>
    <mergeCell ref="AJ27:AK28"/>
    <mergeCell ref="AN27:AO29"/>
    <mergeCell ref="AB43:AC44"/>
    <mergeCell ref="AE43:AF44"/>
    <mergeCell ref="AI43:AI44"/>
    <mergeCell ref="AJ43:AK44"/>
    <mergeCell ref="AM43:AN44"/>
    <mergeCell ref="AP43:AQ44"/>
    <mergeCell ref="AI33:AI34"/>
    <mergeCell ref="AJ33:AK34"/>
    <mergeCell ref="AJ35:AK36"/>
    <mergeCell ref="AT47:AU48"/>
    <mergeCell ref="AA49:AA50"/>
    <mergeCell ref="AB49:AC50"/>
    <mergeCell ref="AJ49:AK50"/>
    <mergeCell ref="AT49:AU50"/>
    <mergeCell ref="AA45:AA46"/>
    <mergeCell ref="AB45:AC46"/>
    <mergeCell ref="AI45:AI46"/>
    <mergeCell ref="AJ45:AK46"/>
    <mergeCell ref="AI47:AI48"/>
    <mergeCell ref="AJ47:AK48"/>
    <mergeCell ref="AT55:AU56"/>
    <mergeCell ref="AA57:AA58"/>
    <mergeCell ref="AB57:AC58"/>
    <mergeCell ref="AI57:AI58"/>
    <mergeCell ref="AJ57:AK58"/>
    <mergeCell ref="AX49:AY50"/>
    <mergeCell ref="AA51:AA52"/>
    <mergeCell ref="AB51:AC52"/>
    <mergeCell ref="AJ51:AK52"/>
    <mergeCell ref="AT51:AU52"/>
    <mergeCell ref="AA53:AA54"/>
    <mergeCell ref="AB53:AC54"/>
    <mergeCell ref="AJ53:AK54"/>
    <mergeCell ref="AT53:AU54"/>
    <mergeCell ref="AI51:AI52"/>
    <mergeCell ref="AI53:AI54"/>
    <mergeCell ref="AA59:AA60"/>
    <mergeCell ref="AB59:AC60"/>
    <mergeCell ref="AI59:AI60"/>
    <mergeCell ref="AJ59:AK60"/>
    <mergeCell ref="AA61:AA62"/>
    <mergeCell ref="AB61:AC62"/>
    <mergeCell ref="AJ61:AK62"/>
    <mergeCell ref="AA55:AA56"/>
    <mergeCell ref="AB55:AC56"/>
    <mergeCell ref="AI55:AI56"/>
    <mergeCell ref="AJ55:AK56"/>
    <mergeCell ref="AA63:AA64"/>
    <mergeCell ref="AB63:AC64"/>
    <mergeCell ref="AA65:AA66"/>
    <mergeCell ref="AB65:AC66"/>
    <mergeCell ref="M71:M72"/>
    <mergeCell ref="N71:O72"/>
    <mergeCell ref="R71:R72"/>
    <mergeCell ref="S71:T72"/>
    <mergeCell ref="W71:X72"/>
    <mergeCell ref="AA71:AA72"/>
    <mergeCell ref="AT88:AU89"/>
    <mergeCell ref="AX88:AY89"/>
    <mergeCell ref="AB73:AC73"/>
    <mergeCell ref="AJ73:AK73"/>
    <mergeCell ref="AA74:AA75"/>
    <mergeCell ref="AB74:AC75"/>
    <mergeCell ref="AI75:AI76"/>
    <mergeCell ref="AJ75:AK76"/>
    <mergeCell ref="AB71:AC72"/>
    <mergeCell ref="AE71:AF72"/>
    <mergeCell ref="AI71:AI72"/>
    <mergeCell ref="AJ71:AK72"/>
    <mergeCell ref="AM71:AN72"/>
    <mergeCell ref="AP71:AQ72"/>
    <mergeCell ref="AA76:AA77"/>
    <mergeCell ref="AB76:AC77"/>
    <mergeCell ref="AI77:AI78"/>
    <mergeCell ref="AJ77:AK78"/>
    <mergeCell ref="AA78:AA79"/>
    <mergeCell ref="AB78:AC79"/>
    <mergeCell ref="AI79:AI80"/>
    <mergeCell ref="AJ79:AK80"/>
    <mergeCell ref="AA80:AA81"/>
    <mergeCell ref="AB80:AC81"/>
    <mergeCell ref="AI81:AI82"/>
    <mergeCell ref="AJ81:AK82"/>
    <mergeCell ref="AA82:AA83"/>
    <mergeCell ref="AB82:AC83"/>
    <mergeCell ref="AI83:AI84"/>
    <mergeCell ref="AJ83:AK84"/>
    <mergeCell ref="AA84:AA85"/>
    <mergeCell ref="AB84:AC85"/>
    <mergeCell ref="AI85:AI86"/>
    <mergeCell ref="AJ85:AK86"/>
    <mergeCell ref="AM96:AN97"/>
    <mergeCell ref="AP96:AQ97"/>
    <mergeCell ref="M96:M97"/>
    <mergeCell ref="N96:O97"/>
    <mergeCell ref="R96:R97"/>
    <mergeCell ref="S96:T97"/>
    <mergeCell ref="W96:X97"/>
    <mergeCell ref="AA96:AA97"/>
    <mergeCell ref="AA86:AA87"/>
    <mergeCell ref="AB86:AC87"/>
    <mergeCell ref="AJ87:AK88"/>
    <mergeCell ref="AA88:AA89"/>
    <mergeCell ref="AB88:AC89"/>
    <mergeCell ref="AA98:AA99"/>
    <mergeCell ref="AB98:AC99"/>
    <mergeCell ref="AI98:AI99"/>
    <mergeCell ref="AJ98:AK99"/>
    <mergeCell ref="AI100:AI101"/>
    <mergeCell ref="AJ100:AK101"/>
    <mergeCell ref="AI104:AI105"/>
    <mergeCell ref="AB96:AC97"/>
    <mergeCell ref="AE96:AF97"/>
    <mergeCell ref="AI96:AI97"/>
    <mergeCell ref="AJ96:AK97"/>
    <mergeCell ref="AA116:AA117"/>
    <mergeCell ref="AB116:AC117"/>
    <mergeCell ref="AI116:AI117"/>
    <mergeCell ref="AI108:AI109"/>
    <mergeCell ref="AJ108:AK109"/>
    <mergeCell ref="AI106:AI107"/>
    <mergeCell ref="AA102:AA103"/>
    <mergeCell ref="AB102:AC103"/>
    <mergeCell ref="AA104:AA105"/>
    <mergeCell ref="AB104:AC105"/>
    <mergeCell ref="AJ104:AK105"/>
    <mergeCell ref="AI129:AI130"/>
    <mergeCell ref="AJ129:AK130"/>
    <mergeCell ref="AB125:AC126"/>
    <mergeCell ref="AI125:AI126"/>
    <mergeCell ref="AJ125:AK126"/>
    <mergeCell ref="AM125:AN126"/>
    <mergeCell ref="AP125:AQ126"/>
    <mergeCell ref="AE126:AF127"/>
    <mergeCell ref="M125:M126"/>
    <mergeCell ref="N125:O126"/>
    <mergeCell ref="R125:R126"/>
    <mergeCell ref="S125:T126"/>
    <mergeCell ref="W125:X126"/>
    <mergeCell ref="AA125:AA126"/>
    <mergeCell ref="AA127:AA128"/>
    <mergeCell ref="AB127:AC128"/>
    <mergeCell ref="AI127:AI128"/>
    <mergeCell ref="AA133:AA134"/>
    <mergeCell ref="AB133:AC134"/>
    <mergeCell ref="AT150:AU151"/>
    <mergeCell ref="AA135:AA136"/>
    <mergeCell ref="AB135:AC136"/>
    <mergeCell ref="AT152:AU153"/>
    <mergeCell ref="AT146:AU147"/>
    <mergeCell ref="AA131:AA132"/>
    <mergeCell ref="AB131:AC132"/>
    <mergeCell ref="AI131:AI132"/>
    <mergeCell ref="AJ131:AK132"/>
    <mergeCell ref="AT148:AU149"/>
    <mergeCell ref="AA137:AA138"/>
    <mergeCell ref="AB137:AC138"/>
    <mergeCell ref="AT154:AU155"/>
    <mergeCell ref="AA139:AA140"/>
    <mergeCell ref="AB139:AC140"/>
    <mergeCell ref="AI139:AI140"/>
    <mergeCell ref="AJ139:AK140"/>
    <mergeCell ref="AA141:AA142"/>
    <mergeCell ref="AB141:AC142"/>
    <mergeCell ref="AI141:AI142"/>
    <mergeCell ref="AA149:AA150"/>
    <mergeCell ref="AB149:AC150"/>
    <mergeCell ref="AI149:AI150"/>
    <mergeCell ref="AB151:AC152"/>
    <mergeCell ref="AJ149:AK150"/>
    <mergeCell ref="AB153:AC154"/>
    <mergeCell ref="AJ141:AK142"/>
    <mergeCell ref="AA143:AA144"/>
    <mergeCell ref="AB143:AC144"/>
    <mergeCell ref="AI143:AI144"/>
    <mergeCell ref="AJ143:AK144"/>
    <mergeCell ref="AI153:AI154"/>
    <mergeCell ref="AJ153:AK154"/>
    <mergeCell ref="AJ155:AK156"/>
    <mergeCell ref="AA153:AA154"/>
    <mergeCell ref="AA155:AA156"/>
    <mergeCell ref="AB155:AC156"/>
    <mergeCell ref="AI151:AI152"/>
    <mergeCell ref="AJ151:AK152"/>
    <mergeCell ref="AA151:AA152"/>
    <mergeCell ref="AA145:AA146"/>
    <mergeCell ref="AB145:AC146"/>
    <mergeCell ref="AI145:AI146"/>
    <mergeCell ref="AJ145:AK146"/>
    <mergeCell ref="AA147:AA148"/>
    <mergeCell ref="AB147:AC148"/>
    <mergeCell ref="AI147:AI148"/>
    <mergeCell ref="AJ147:AK148"/>
    <mergeCell ref="AI160:AI161"/>
    <mergeCell ref="R160:R161"/>
    <mergeCell ref="S160:T161"/>
    <mergeCell ref="W160:X161"/>
    <mergeCell ref="AA160:AA161"/>
    <mergeCell ref="AB160:AC161"/>
    <mergeCell ref="AE160:AF161"/>
    <mergeCell ref="AJ169:AK170"/>
    <mergeCell ref="AA170:AA171"/>
    <mergeCell ref="AB170:AC171"/>
    <mergeCell ref="AJ171:AK172"/>
    <mergeCell ref="AA172:AA173"/>
    <mergeCell ref="AB172:AC173"/>
    <mergeCell ref="AI164:AI165"/>
    <mergeCell ref="AJ160:AK161"/>
    <mergeCell ref="AA162:AA163"/>
    <mergeCell ref="AB162:AC163"/>
    <mergeCell ref="AI162:AI163"/>
    <mergeCell ref="AJ162:AK163"/>
    <mergeCell ref="AX148:AY149"/>
    <mergeCell ref="AI173:AI174"/>
    <mergeCell ref="AJ173:AK174"/>
    <mergeCell ref="AA174:AA175"/>
    <mergeCell ref="AB174:AC175"/>
    <mergeCell ref="AI175:AI176"/>
    <mergeCell ref="AJ175:AK176"/>
    <mergeCell ref="AA176:AA177"/>
    <mergeCell ref="AB176:AC177"/>
    <mergeCell ref="AI177:AI178"/>
    <mergeCell ref="AJ177:AK178"/>
    <mergeCell ref="AA178:AA179"/>
    <mergeCell ref="AB178:AC179"/>
    <mergeCell ref="AI179:AI180"/>
    <mergeCell ref="AJ179:AK180"/>
    <mergeCell ref="AA180:AA181"/>
    <mergeCell ref="AI171:AI172"/>
    <mergeCell ref="AX170:AY171"/>
    <mergeCell ref="AJ164:AK165"/>
    <mergeCell ref="AA166:AA167"/>
    <mergeCell ref="AB166:AC167"/>
    <mergeCell ref="AA168:AA169"/>
    <mergeCell ref="AB168:AC169"/>
    <mergeCell ref="AI169:AI170"/>
    <mergeCell ref="AT213:AU214"/>
    <mergeCell ref="AX213:AY214"/>
    <mergeCell ref="AX228:AY229"/>
    <mergeCell ref="AT244:AU245"/>
    <mergeCell ref="AX244:AY245"/>
    <mergeCell ref="AB180:AC181"/>
    <mergeCell ref="AI181:AI182"/>
    <mergeCell ref="AJ181:AK182"/>
    <mergeCell ref="AA182:AA183"/>
    <mergeCell ref="AB182:AC183"/>
    <mergeCell ref="AI183:AI184"/>
    <mergeCell ref="AJ183:AK184"/>
    <mergeCell ref="AA184:AA185"/>
    <mergeCell ref="AB184:AC185"/>
    <mergeCell ref="AA186:AA187"/>
    <mergeCell ref="AB186:AC187"/>
    <mergeCell ref="AX192:AY193"/>
    <mergeCell ref="AA118:AA119"/>
    <mergeCell ref="AB118:AC119"/>
    <mergeCell ref="AA110:AA111"/>
    <mergeCell ref="AB110:AC111"/>
    <mergeCell ref="AX68:AY69"/>
    <mergeCell ref="AX108:AY109"/>
    <mergeCell ref="AJ127:AK128"/>
    <mergeCell ref="AJ114:AK115"/>
    <mergeCell ref="AJ116:AK117"/>
    <mergeCell ref="AI110:AI111"/>
    <mergeCell ref="AJ110:AK111"/>
    <mergeCell ref="AA112:AA113"/>
    <mergeCell ref="AB112:AC113"/>
    <mergeCell ref="AI112:AI113"/>
    <mergeCell ref="AJ112:AK113"/>
    <mergeCell ref="AA106:AA107"/>
    <mergeCell ref="AB106:AC107"/>
    <mergeCell ref="AJ106:AK107"/>
    <mergeCell ref="AA108:AA109"/>
    <mergeCell ref="AB108:AC109"/>
    <mergeCell ref="AX125:AY126"/>
    <mergeCell ref="AA114:AA115"/>
    <mergeCell ref="AB114:AC115"/>
    <mergeCell ref="AI114:AI115"/>
  </mergeCells>
  <pageMargins left="0.04" right="0.09" top="0.16" bottom="0.23" header="0.11" footer="0.11"/>
  <pageSetup paperSize="9" scale="54" fitToHeight="2"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4479-A427-4A85-88B8-96C4DFD97A65}">
  <sheetPr>
    <tabColor theme="6" tint="0.39997558519241921"/>
  </sheetPr>
  <dimension ref="I4:L132"/>
  <sheetViews>
    <sheetView zoomScale="85" zoomScaleNormal="85" workbookViewId="0">
      <selection activeCell="F9" sqref="F9"/>
    </sheetView>
  </sheetViews>
  <sheetFormatPr defaultRowHeight="14.5" x14ac:dyDescent="0.35"/>
  <cols>
    <col min="9" max="9" width="6.54296875" customWidth="1"/>
    <col min="10" max="10" width="23.1796875" customWidth="1"/>
    <col min="11" max="11" width="7.90625" customWidth="1"/>
    <col min="12" max="12" width="5.90625" bestFit="1" customWidth="1"/>
    <col min="14" max="14" width="8.7265625" customWidth="1"/>
  </cols>
  <sheetData>
    <row r="4" spans="9:12" x14ac:dyDescent="0.35">
      <c r="I4" s="75" t="s">
        <v>0</v>
      </c>
      <c r="J4" s="75" t="str">
        <f>'H_Tỷ lệ HH&amp;PS (-PS)'!DR6</f>
        <v>Hạt rPET iSS01084G</v>
      </c>
      <c r="K4" s="677" t="s">
        <v>891</v>
      </c>
      <c r="L4" s="677" t="s">
        <v>455</v>
      </c>
    </row>
    <row r="5" spans="9:12" x14ac:dyDescent="0.35">
      <c r="I5" s="3">
        <v>1</v>
      </c>
      <c r="J5" s="5" t="s">
        <v>892</v>
      </c>
      <c r="K5" s="794">
        <f>'H_Tỷ lệ HH&amp;PS (-PS)'!FB6</f>
        <v>571.87902955310426</v>
      </c>
      <c r="L5" s="110">
        <f t="shared" ref="L5:L12" si="0">K5/$K$12</f>
        <v>0.47796076321390235</v>
      </c>
    </row>
    <row r="6" spans="9:12" x14ac:dyDescent="0.35">
      <c r="I6" s="3">
        <f>I5+1</f>
        <v>2</v>
      </c>
      <c r="J6" s="5" t="s">
        <v>893</v>
      </c>
      <c r="K6" s="794">
        <f>'H_Tỷ lệ HH&amp;PS (-PS)'!FD6</f>
        <v>356.0479132012178</v>
      </c>
      <c r="L6" s="110">
        <f t="shared" si="0"/>
        <v>0.29757505265992412</v>
      </c>
    </row>
    <row r="7" spans="9:12" x14ac:dyDescent="0.35">
      <c r="I7" s="3">
        <f t="shared" ref="I7:I12" si="1">I6+1</f>
        <v>3</v>
      </c>
      <c r="J7" s="5" t="s">
        <v>894</v>
      </c>
      <c r="K7" s="794">
        <f>'H_Tỷ lệ HH&amp;PS (-PS)'!FC6</f>
        <v>28.570915579648755</v>
      </c>
      <c r="L7" s="110">
        <f t="shared" si="0"/>
        <v>2.3878785390749894E-2</v>
      </c>
    </row>
    <row r="8" spans="9:12" x14ac:dyDescent="0.35">
      <c r="I8" s="3">
        <f t="shared" si="1"/>
        <v>4</v>
      </c>
      <c r="J8" s="5" t="s">
        <v>895</v>
      </c>
      <c r="K8" s="794">
        <f>'H_Tỷ lệ HH&amp;PS (-PS)'!FE6</f>
        <v>140</v>
      </c>
      <c r="L8" s="110">
        <f t="shared" si="0"/>
        <v>0.11700814926233048</v>
      </c>
    </row>
    <row r="9" spans="9:12" x14ac:dyDescent="0.35">
      <c r="I9" s="3">
        <f t="shared" si="1"/>
        <v>5</v>
      </c>
      <c r="J9" s="5" t="s">
        <v>898</v>
      </c>
      <c r="K9" s="794">
        <f>'H_Tỷ lệ HH&amp;PS (-PS)'!FF6</f>
        <v>100</v>
      </c>
      <c r="L9" s="110">
        <f t="shared" si="0"/>
        <v>8.3577249473093196E-2</v>
      </c>
    </row>
    <row r="10" spans="9:12" ht="20.5" customHeight="1" x14ac:dyDescent="0.35">
      <c r="I10" s="3">
        <f t="shared" si="1"/>
        <v>6</v>
      </c>
      <c r="J10" s="5" t="s">
        <v>896</v>
      </c>
      <c r="K10" s="794">
        <f>K9*20%</f>
        <v>20</v>
      </c>
      <c r="L10" s="110">
        <f t="shared" si="0"/>
        <v>1.671544989461864E-2</v>
      </c>
    </row>
    <row r="11" spans="9:12" x14ac:dyDescent="0.35">
      <c r="I11" s="3">
        <f t="shared" si="1"/>
        <v>7</v>
      </c>
      <c r="J11" s="5" t="s">
        <v>897</v>
      </c>
      <c r="K11" s="794">
        <f>K9-K10</f>
        <v>80</v>
      </c>
      <c r="L11" s="110">
        <f t="shared" si="0"/>
        <v>6.6861799578474559E-2</v>
      </c>
    </row>
    <row r="12" spans="9:12" x14ac:dyDescent="0.35">
      <c r="I12" s="3">
        <f t="shared" si="1"/>
        <v>8</v>
      </c>
      <c r="J12" s="75" t="s">
        <v>899</v>
      </c>
      <c r="K12" s="200">
        <f>'H_Tỷ lệ HH&amp;PS (-PS)'!FG6</f>
        <v>1196.4978583339707</v>
      </c>
      <c r="L12" s="797">
        <f t="shared" si="0"/>
        <v>1</v>
      </c>
    </row>
    <row r="43" spans="9:12" x14ac:dyDescent="0.35">
      <c r="I43" s="75" t="s">
        <v>0</v>
      </c>
      <c r="J43" s="75" t="str">
        <f>'H_Tỷ lệ HH&amp;PS (-PS)'!DR8</f>
        <v>Hạt rPET iSS01G</v>
      </c>
      <c r="K43" s="677" t="s">
        <v>891</v>
      </c>
      <c r="L43" s="677" t="s">
        <v>455</v>
      </c>
    </row>
    <row r="44" spans="9:12" x14ac:dyDescent="0.35">
      <c r="I44" s="3">
        <v>1</v>
      </c>
      <c r="J44" s="5" t="s">
        <v>892</v>
      </c>
      <c r="K44" s="794">
        <f>'H_Tỷ lệ HH&amp;PS (-PS)'!FB8</f>
        <v>559.20093493535364</v>
      </c>
      <c r="L44" s="110">
        <f t="shared" ref="L44:L50" si="2">K44/$K$51</f>
        <v>0.48766199781589969</v>
      </c>
    </row>
    <row r="45" spans="9:12" x14ac:dyDescent="0.35">
      <c r="I45" s="3">
        <f>I44+1</f>
        <v>2</v>
      </c>
      <c r="J45" s="5" t="s">
        <v>893</v>
      </c>
      <c r="K45" s="794">
        <f>'H_Tỷ lệ HH&amp;PS (-PS)'!FD8</f>
        <v>349.82855178067598</v>
      </c>
      <c r="L45" s="110">
        <f t="shared" si="2"/>
        <v>0.3050747589936153</v>
      </c>
    </row>
    <row r="46" spans="9:12" x14ac:dyDescent="0.35">
      <c r="I46" s="3">
        <f t="shared" ref="I46:I51" si="3">I45+1</f>
        <v>3</v>
      </c>
      <c r="J46" s="5" t="s">
        <v>894</v>
      </c>
      <c r="K46" s="794">
        <f>'H_Tỷ lệ HH&amp;PS (-PS)'!FC8</f>
        <v>27.668302818231169</v>
      </c>
      <c r="L46" s="110">
        <f t="shared" si="2"/>
        <v>2.4128678951643261E-2</v>
      </c>
    </row>
    <row r="47" spans="9:12" x14ac:dyDescent="0.35">
      <c r="I47" s="3">
        <f t="shared" si="3"/>
        <v>4</v>
      </c>
      <c r="J47" s="5" t="s">
        <v>895</v>
      </c>
      <c r="K47" s="794">
        <f>'H_Tỷ lệ HH&amp;PS (-PS)'!FE8</f>
        <v>140</v>
      </c>
      <c r="L47" s="110">
        <f t="shared" si="2"/>
        <v>0.12208970949256123</v>
      </c>
    </row>
    <row r="48" spans="9:12" x14ac:dyDescent="0.35">
      <c r="I48" s="3">
        <f t="shared" si="3"/>
        <v>5</v>
      </c>
      <c r="J48" s="5" t="s">
        <v>898</v>
      </c>
      <c r="K48" s="794">
        <f>'H_Tỷ lệ HH&amp;PS (-PS)'!FF8</f>
        <v>70</v>
      </c>
      <c r="L48" s="110">
        <f t="shared" si="2"/>
        <v>6.1044854746280616E-2</v>
      </c>
    </row>
    <row r="49" spans="9:12" x14ac:dyDescent="0.35">
      <c r="I49" s="3">
        <f t="shared" si="3"/>
        <v>6</v>
      </c>
      <c r="J49" s="5" t="s">
        <v>896</v>
      </c>
      <c r="K49" s="794">
        <f>K48*20%</f>
        <v>14</v>
      </c>
      <c r="L49" s="110">
        <f t="shared" si="2"/>
        <v>1.2208970949256123E-2</v>
      </c>
    </row>
    <row r="50" spans="9:12" x14ac:dyDescent="0.35">
      <c r="I50" s="3">
        <f t="shared" si="3"/>
        <v>7</v>
      </c>
      <c r="J50" s="5" t="s">
        <v>897</v>
      </c>
      <c r="K50" s="794">
        <f>K48-K49</f>
        <v>56</v>
      </c>
      <c r="L50" s="110">
        <f t="shared" si="2"/>
        <v>4.8835883797024492E-2</v>
      </c>
    </row>
    <row r="51" spans="9:12" x14ac:dyDescent="0.35">
      <c r="I51" s="3">
        <f t="shared" si="3"/>
        <v>8</v>
      </c>
      <c r="J51" s="75" t="s">
        <v>899</v>
      </c>
      <c r="K51" s="200">
        <f>'H_Tỷ lệ HH&amp;PS (-PS)'!FG8</f>
        <v>1146.6977895342607</v>
      </c>
      <c r="L51" s="797">
        <f>K51/$K$51</f>
        <v>1</v>
      </c>
    </row>
    <row r="79" spans="9:12" x14ac:dyDescent="0.35">
      <c r="I79" s="75" t="s">
        <v>0</v>
      </c>
      <c r="J79" s="75" t="str">
        <f>'H_Tỷ lệ HH&amp;PS (-PS)'!DR10</f>
        <v>Hạt rPET WSS01G</v>
      </c>
      <c r="K79" s="677" t="s">
        <v>891</v>
      </c>
      <c r="L79" s="677" t="s">
        <v>455</v>
      </c>
    </row>
    <row r="80" spans="9:12" x14ac:dyDescent="0.35">
      <c r="I80" s="3">
        <v>1</v>
      </c>
      <c r="J80" s="5" t="s">
        <v>892</v>
      </c>
      <c r="K80" s="794">
        <f>'H_Tỷ lệ HH&amp;PS (-PS)'!FB10</f>
        <v>545.10343237395819</v>
      </c>
      <c r="L80" s="110">
        <f t="shared" ref="L80:L87" si="4">K80/$K$87</f>
        <v>0.47129495048119352</v>
      </c>
    </row>
    <row r="81" spans="9:12" x14ac:dyDescent="0.35">
      <c r="I81" s="3">
        <f>I80+1</f>
        <v>2</v>
      </c>
      <c r="J81" s="5" t="s">
        <v>893</v>
      </c>
      <c r="K81" s="794">
        <f>'H_Tỷ lệ HH&amp;PS (-PS)'!FD10</f>
        <v>394.8397669584615</v>
      </c>
      <c r="L81" s="110">
        <f t="shared" si="4"/>
        <v>0.3413773925551678</v>
      </c>
    </row>
    <row r="82" spans="9:12" x14ac:dyDescent="0.35">
      <c r="I82" s="3">
        <f t="shared" ref="I82:I87" si="5">I81+1</f>
        <v>3</v>
      </c>
      <c r="J82" s="5" t="s">
        <v>894</v>
      </c>
      <c r="K82" s="794">
        <f>'H_Tỷ lệ HH&amp;PS (-PS)'!FC10</f>
        <v>26.664635776796022</v>
      </c>
      <c r="L82" s="110">
        <f t="shared" si="4"/>
        <v>2.3054171835415718E-2</v>
      </c>
    </row>
    <row r="83" spans="9:12" x14ac:dyDescent="0.35">
      <c r="I83" s="3">
        <f t="shared" si="5"/>
        <v>4</v>
      </c>
      <c r="J83" s="5" t="s">
        <v>895</v>
      </c>
      <c r="K83" s="794">
        <f>'H_Tỷ lệ HH&amp;PS (-PS)'!FE10</f>
        <v>140</v>
      </c>
      <c r="L83" s="110">
        <f t="shared" si="4"/>
        <v>0.12104362062079595</v>
      </c>
    </row>
    <row r="84" spans="9:12" x14ac:dyDescent="0.35">
      <c r="I84" s="3">
        <f t="shared" si="5"/>
        <v>5</v>
      </c>
      <c r="J84" s="5" t="s">
        <v>898</v>
      </c>
      <c r="K84" s="794">
        <f>'H_Tỷ lệ HH&amp;PS (-PS)'!FF10</f>
        <v>50</v>
      </c>
      <c r="L84" s="110">
        <f t="shared" si="4"/>
        <v>4.3229864507427121E-2</v>
      </c>
    </row>
    <row r="85" spans="9:12" x14ac:dyDescent="0.35">
      <c r="I85" s="3">
        <f t="shared" si="5"/>
        <v>6</v>
      </c>
      <c r="J85" s="5" t="s">
        <v>896</v>
      </c>
      <c r="K85" s="794">
        <f>K84*20%</f>
        <v>10</v>
      </c>
      <c r="L85" s="110">
        <f t="shared" si="4"/>
        <v>8.6459729014854245E-3</v>
      </c>
    </row>
    <row r="86" spans="9:12" x14ac:dyDescent="0.35">
      <c r="I86" s="3">
        <f t="shared" si="5"/>
        <v>7</v>
      </c>
      <c r="J86" s="5" t="s">
        <v>897</v>
      </c>
      <c r="K86" s="794">
        <f>K84-K85</f>
        <v>40</v>
      </c>
      <c r="L86" s="110">
        <f t="shared" si="4"/>
        <v>3.4583891605941698E-2</v>
      </c>
    </row>
    <row r="87" spans="9:12" x14ac:dyDescent="0.35">
      <c r="I87" s="3">
        <f t="shared" si="5"/>
        <v>8</v>
      </c>
      <c r="J87" s="75" t="s">
        <v>899</v>
      </c>
      <c r="K87" s="200">
        <f>'H_Tỷ lệ HH&amp;PS (-PS)'!FG10</f>
        <v>1156.6078351092156</v>
      </c>
      <c r="L87" s="797">
        <f t="shared" si="4"/>
        <v>1</v>
      </c>
    </row>
    <row r="124" spans="9:12" x14ac:dyDescent="0.35">
      <c r="I124" s="75" t="s">
        <v>0</v>
      </c>
      <c r="J124" s="75" t="str">
        <f>'H_Tỷ lệ HH&amp;PS (-PS)'!DR12</f>
        <v>Hạt rPET WSS03G</v>
      </c>
      <c r="K124" s="677" t="s">
        <v>891</v>
      </c>
      <c r="L124" s="677" t="s">
        <v>455</v>
      </c>
    </row>
    <row r="125" spans="9:12" x14ac:dyDescent="0.35">
      <c r="I125" s="3">
        <v>1</v>
      </c>
      <c r="J125" s="5" t="s">
        <v>892</v>
      </c>
      <c r="K125" s="794">
        <f>'H_Tỷ lệ HH&amp;PS (-PS)'!FB12</f>
        <v>531.00592981256273</v>
      </c>
      <c r="L125" s="110">
        <f t="shared" ref="L125:L132" si="6">K125/$K$132</f>
        <v>0.46801528470039133</v>
      </c>
    </row>
    <row r="126" spans="9:12" x14ac:dyDescent="0.35">
      <c r="I126" s="3">
        <f>I125+1</f>
        <v>2</v>
      </c>
      <c r="J126" s="5" t="s">
        <v>893</v>
      </c>
      <c r="K126" s="794">
        <f>'H_Tỷ lệ HH&amp;PS (-PS)'!FD12</f>
        <v>387.92410130050246</v>
      </c>
      <c r="L126" s="110">
        <f t="shared" si="6"/>
        <v>0.34190655606498432</v>
      </c>
    </row>
    <row r="127" spans="9:12" x14ac:dyDescent="0.35">
      <c r="I127" s="3">
        <f t="shared" ref="I127:I132" si="7">I126+1</f>
        <v>3</v>
      </c>
      <c r="J127" s="5" t="s">
        <v>894</v>
      </c>
      <c r="K127" s="794">
        <f>'H_Tỷ lệ HH&amp;PS (-PS)'!FC12</f>
        <v>25.660968735360875</v>
      </c>
      <c r="L127" s="110">
        <f t="shared" si="6"/>
        <v>2.2616933096410084E-2</v>
      </c>
    </row>
    <row r="128" spans="9:12" x14ac:dyDescent="0.35">
      <c r="I128" s="3">
        <f t="shared" si="7"/>
        <v>4</v>
      </c>
      <c r="J128" s="5" t="s">
        <v>895</v>
      </c>
      <c r="K128" s="794">
        <f>'H_Tỷ lệ HH&amp;PS (-PS)'!FE12</f>
        <v>140</v>
      </c>
      <c r="L128" s="110">
        <f t="shared" si="6"/>
        <v>0.12339248241763164</v>
      </c>
    </row>
    <row r="129" spans="9:12" x14ac:dyDescent="0.35">
      <c r="I129" s="3">
        <f t="shared" si="7"/>
        <v>5</v>
      </c>
      <c r="J129" s="5" t="s">
        <v>898</v>
      </c>
      <c r="K129" s="794">
        <f>'H_Tỷ lệ HH&amp;PS (-PS)'!FF12</f>
        <v>50</v>
      </c>
      <c r="L129" s="110">
        <f t="shared" si="6"/>
        <v>4.4068743720582726E-2</v>
      </c>
    </row>
    <row r="130" spans="9:12" x14ac:dyDescent="0.35">
      <c r="I130" s="3">
        <f t="shared" si="7"/>
        <v>6</v>
      </c>
      <c r="J130" s="5" t="s">
        <v>896</v>
      </c>
      <c r="K130" s="794">
        <f>K129*20%</f>
        <v>10</v>
      </c>
      <c r="L130" s="110">
        <f t="shared" si="6"/>
        <v>8.8137487441165459E-3</v>
      </c>
    </row>
    <row r="131" spans="9:12" x14ac:dyDescent="0.35">
      <c r="I131" s="3">
        <f t="shared" si="7"/>
        <v>7</v>
      </c>
      <c r="J131" s="5" t="s">
        <v>897</v>
      </c>
      <c r="K131" s="794">
        <f>K129-K130</f>
        <v>40</v>
      </c>
      <c r="L131" s="110">
        <f t="shared" si="6"/>
        <v>3.5254994976466184E-2</v>
      </c>
    </row>
    <row r="132" spans="9:12" x14ac:dyDescent="0.35">
      <c r="I132" s="3">
        <f t="shared" si="7"/>
        <v>8</v>
      </c>
      <c r="J132" s="75" t="s">
        <v>899</v>
      </c>
      <c r="K132" s="200">
        <f>'H_Tỷ lệ HH&amp;PS (-PS)'!FG12</f>
        <v>1134.590999848426</v>
      </c>
      <c r="L132" s="797">
        <f t="shared" si="6"/>
        <v>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1C00-6558-4848-9DA4-79114B1A9E98}">
  <dimension ref="B1:AZ38"/>
  <sheetViews>
    <sheetView topLeftCell="AI3" zoomScaleNormal="100" workbookViewId="0">
      <selection activeCell="AJ18" sqref="AJ18"/>
    </sheetView>
  </sheetViews>
  <sheetFormatPr defaultRowHeight="14.5" x14ac:dyDescent="0.35"/>
  <cols>
    <col min="1" max="1" width="3.36328125" customWidth="1"/>
    <col min="20" max="20" width="13.7265625" customWidth="1"/>
    <col min="24" max="24" width="14.453125" customWidth="1"/>
    <col min="26" max="26" width="6.453125" customWidth="1"/>
    <col min="27" max="27" width="10.26953125" customWidth="1"/>
    <col min="28" max="28" width="11.26953125" bestFit="1" customWidth="1"/>
    <col min="29" max="29" width="10.08984375" bestFit="1" customWidth="1"/>
    <col min="30" max="30" width="11.26953125" bestFit="1" customWidth="1"/>
    <col min="31" max="31" width="10.08984375" bestFit="1" customWidth="1"/>
    <col min="32" max="32" width="11.81640625" customWidth="1"/>
    <col min="33" max="33" width="10.08984375" bestFit="1" customWidth="1"/>
    <col min="34" max="34" width="20.26953125" bestFit="1" customWidth="1"/>
    <col min="35" max="35" width="4.54296875" customWidth="1"/>
    <col min="36" max="36" width="21.1796875" bestFit="1" customWidth="1"/>
    <col min="37" max="37" width="9.7265625" bestFit="1" customWidth="1"/>
    <col min="38" max="38" width="10.1796875" bestFit="1" customWidth="1"/>
    <col min="40" max="40" width="8.08984375" bestFit="1" customWidth="1"/>
    <col min="41" max="41" width="9" bestFit="1" customWidth="1"/>
    <col min="42" max="42" width="9.1796875" bestFit="1" customWidth="1"/>
    <col min="44" max="44" width="9.1796875" bestFit="1" customWidth="1"/>
    <col min="46" max="46" width="9.1796875" bestFit="1" customWidth="1"/>
    <col min="49" max="49" width="21.90625" style="121" bestFit="1" customWidth="1"/>
    <col min="50" max="50" width="10.1796875" style="275" bestFit="1" customWidth="1"/>
    <col min="51" max="51" width="11.81640625" bestFit="1" customWidth="1"/>
    <col min="52" max="52" width="7" bestFit="1" customWidth="1"/>
  </cols>
  <sheetData>
    <row r="1" spans="2:52" ht="15.5" x14ac:dyDescent="0.35">
      <c r="B1" s="113" t="s">
        <v>364</v>
      </c>
      <c r="AJ1" t="s">
        <v>395</v>
      </c>
      <c r="AK1" s="109">
        <f>'Giá mua Chai-Vảy'!E18</f>
        <v>14800</v>
      </c>
      <c r="AM1" s="109">
        <f>'Giá mua Chai-Vảy'!E14</f>
        <v>16300</v>
      </c>
      <c r="AN1" s="132">
        <f>AM3-AM1-AN3</f>
        <v>-847.55675534306283</v>
      </c>
      <c r="AO1" s="109">
        <f>'Giá mua Chai-Vảy'!E15</f>
        <v>14800</v>
      </c>
      <c r="AQ1" s="109">
        <f>'Giá mua Chai-Vảy'!E17</f>
        <v>13300</v>
      </c>
      <c r="AR1" s="132">
        <f>'[5]18. Vảy B5'!$I$10</f>
        <v>411.68039840493083</v>
      </c>
      <c r="AS1" s="168">
        <f>'[5]16.1 Rửa vảy B7'!$I$9</f>
        <v>7971.0144927536239</v>
      </c>
      <c r="AT1" s="171">
        <f>'[5]16.1 Rửa vảy B7'!$I$10</f>
        <v>84.555434657824762</v>
      </c>
      <c r="AU1" s="109">
        <f>'Giá mua Chai-Vảy'!E17</f>
        <v>13300</v>
      </c>
    </row>
    <row r="2" spans="2:52" ht="15.5" x14ac:dyDescent="0.35">
      <c r="B2" s="114" t="s">
        <v>365</v>
      </c>
      <c r="AJ2" s="162" t="s">
        <v>634</v>
      </c>
      <c r="AK2" s="157">
        <f>'H_Tỷ lệ HH&amp;PS'!AK124</f>
        <v>0.77783045852077959</v>
      </c>
      <c r="AM2" s="283">
        <f>'H_Tỷ lệ HH&amp;PS'!AK6</f>
        <v>0.8081674874213195</v>
      </c>
      <c r="AN2" s="132">
        <f>'[5]12. 100% vảy-&gt;hạt WSS01-iSS01'!$I$10</f>
        <v>1636.9775154230633</v>
      </c>
      <c r="AO2" s="157">
        <f>'H_Tỷ lệ HH&amp;PS'!AK42</f>
        <v>0.85501479000000002</v>
      </c>
      <c r="AQ2" s="157">
        <f>'H_Tỷ lệ HH&amp;PS'!AK42</f>
        <v>0.85501479000000002</v>
      </c>
      <c r="AU2" s="157">
        <f>'H_Tỷ lệ HH&amp;PS'!AK70</f>
        <v>0.773478</v>
      </c>
    </row>
    <row r="3" spans="2:52" ht="20" customHeight="1" x14ac:dyDescent="0.35">
      <c r="AC3" t="s">
        <v>528</v>
      </c>
      <c r="AE3" t="s">
        <v>520</v>
      </c>
      <c r="AG3" t="s">
        <v>717</v>
      </c>
      <c r="AJ3" s="133" t="s">
        <v>394</v>
      </c>
      <c r="AK3" s="395">
        <f>AK1/AK2</f>
        <v>19027.282665358136</v>
      </c>
      <c r="AM3" s="131">
        <f>AM1/AM2</f>
        <v>20169.086549138014</v>
      </c>
      <c r="AN3" s="132">
        <f>'[5]10. 100% chai-&gt;hạt WSS01-iSS01'!$I$21+'[5]10. 100% chai-&gt;hạt WSS01-iSS01'!$I$37</f>
        <v>4716.6433044810765</v>
      </c>
      <c r="AO3" s="131">
        <f>AO1/AO2</f>
        <v>17309.642094027404</v>
      </c>
      <c r="AQ3" s="131">
        <f>AQ1/AQ2</f>
        <v>15555.28647638949</v>
      </c>
      <c r="AS3" s="169">
        <f>'[5]16.1 Rửa vảy B7'!$I$48</f>
        <v>14341.250211551116</v>
      </c>
      <c r="AU3" s="131">
        <f>AU1/AU2</f>
        <v>17195.059200132389</v>
      </c>
      <c r="AW3" s="121" t="s">
        <v>636</v>
      </c>
      <c r="AY3" t="s">
        <v>391</v>
      </c>
      <c r="AZ3" t="s">
        <v>393</v>
      </c>
    </row>
    <row r="4" spans="2:52" ht="29" customHeight="1" x14ac:dyDescent="0.35">
      <c r="Y4" s="312" t="s">
        <v>537</v>
      </c>
      <c r="AB4" s="327" t="s">
        <v>532</v>
      </c>
      <c r="AC4" s="312" t="s">
        <v>527</v>
      </c>
      <c r="AE4" s="312" t="s">
        <v>525</v>
      </c>
      <c r="AG4" s="312" t="s">
        <v>525</v>
      </c>
      <c r="AJ4" s="120" t="s">
        <v>366</v>
      </c>
      <c r="AK4" s="115" t="s">
        <v>367</v>
      </c>
      <c r="AM4" s="115" t="s">
        <v>374</v>
      </c>
      <c r="AO4" s="115" t="s">
        <v>375</v>
      </c>
      <c r="AQ4" s="115" t="s">
        <v>382</v>
      </c>
      <c r="AS4" s="115" t="s">
        <v>384</v>
      </c>
      <c r="AU4" s="115" t="s">
        <v>385</v>
      </c>
      <c r="AW4" s="127" t="s">
        <v>376</v>
      </c>
      <c r="AY4" s="129">
        <v>26500</v>
      </c>
    </row>
    <row r="5" spans="2:52" x14ac:dyDescent="0.35">
      <c r="Y5" s="313" t="s">
        <v>57</v>
      </c>
      <c r="Z5" s="69">
        <v>0.3</v>
      </c>
      <c r="AA5" s="313" t="s">
        <v>538</v>
      </c>
      <c r="AB5" s="313" t="s">
        <v>57</v>
      </c>
      <c r="AC5" s="116" t="s">
        <v>526</v>
      </c>
      <c r="AE5" s="116" t="s">
        <v>57</v>
      </c>
      <c r="AG5" s="116" t="s">
        <v>57</v>
      </c>
      <c r="AJ5" s="65"/>
      <c r="AK5" s="116" t="s">
        <v>57</v>
      </c>
      <c r="AL5" s="123" t="s">
        <v>372</v>
      </c>
      <c r="AM5" s="116" t="s">
        <v>267</v>
      </c>
      <c r="AN5" s="123" t="s">
        <v>372</v>
      </c>
      <c r="AO5" s="116" t="s">
        <v>52</v>
      </c>
      <c r="AP5" s="123" t="s">
        <v>372</v>
      </c>
      <c r="AQ5" s="116" t="s">
        <v>55</v>
      </c>
      <c r="AR5" s="123" t="s">
        <v>372</v>
      </c>
      <c r="AS5" s="116" t="s">
        <v>383</v>
      </c>
      <c r="AT5" s="123" t="s">
        <v>372</v>
      </c>
      <c r="AU5" s="116" t="s">
        <v>54</v>
      </c>
      <c r="AV5" s="123" t="s">
        <v>372</v>
      </c>
      <c r="AW5" s="123"/>
      <c r="AX5" s="307" t="s">
        <v>372</v>
      </c>
      <c r="AY5" s="123" t="s">
        <v>372</v>
      </c>
      <c r="AZ5" t="s">
        <v>392</v>
      </c>
    </row>
    <row r="6" spans="2:52" ht="15.5" customHeight="1" x14ac:dyDescent="0.35">
      <c r="AA6" s="314">
        <v>2500</v>
      </c>
      <c r="AB6" s="109">
        <v>2500</v>
      </c>
      <c r="AC6" s="311">
        <f>SUM(AC7:AC11)</f>
        <v>1</v>
      </c>
      <c r="AE6" s="311">
        <f>SUM(AE7:AE11)</f>
        <v>1</v>
      </c>
      <c r="AG6" s="311">
        <f>SUM(AG7:AG11)</f>
        <v>1.0061253045009764</v>
      </c>
      <c r="AJ6" s="119" t="s">
        <v>390</v>
      </c>
      <c r="AK6" s="339">
        <f>SUM(AC8:AC11)</f>
        <v>0.21399999999999997</v>
      </c>
      <c r="AW6" s="128">
        <v>0.3</v>
      </c>
    </row>
    <row r="7" spans="2:52" x14ac:dyDescent="0.35">
      <c r="Y7" s="315"/>
      <c r="Z7" s="316"/>
      <c r="AA7" s="316">
        <f>1/AC7</f>
        <v>1.272264631043257</v>
      </c>
      <c r="AB7" s="317">
        <f>$AB$6*$AA7</f>
        <v>3180.6615776081426</v>
      </c>
      <c r="AC7" s="310">
        <v>0.78600000000000003</v>
      </c>
      <c r="AD7" t="s">
        <v>528</v>
      </c>
      <c r="AE7" s="310">
        <v>0.88300000000000001</v>
      </c>
      <c r="AF7" t="s">
        <v>521</v>
      </c>
      <c r="AG7" s="310">
        <f>'H_Tỷ lệ HH&amp;PS'!BA7</f>
        <v>0.89417193958728181</v>
      </c>
      <c r="AH7" s="117" t="s">
        <v>368</v>
      </c>
      <c r="AJ7" s="117" t="s">
        <v>368</v>
      </c>
      <c r="AK7" s="118">
        <v>0.1</v>
      </c>
      <c r="AL7" s="134">
        <f>AK7*$AK$3</f>
        <v>1902.7282665358136</v>
      </c>
      <c r="AM7" s="118">
        <v>0.9</v>
      </c>
      <c r="AN7" s="134">
        <f>AM7*$AM$3</f>
        <v>18152.177894224213</v>
      </c>
      <c r="AO7" s="117"/>
      <c r="AP7" s="134">
        <f>AO7*$AO$3</f>
        <v>0</v>
      </c>
      <c r="AQ7" s="117"/>
      <c r="AR7" s="134">
        <f>AQ7*$AQ$3</f>
        <v>0</v>
      </c>
      <c r="AS7" s="117"/>
      <c r="AT7" s="117">
        <f>AS7*$AS$3</f>
        <v>0</v>
      </c>
      <c r="AU7" s="117"/>
      <c r="AV7" s="117">
        <f>AU7*$AU$3</f>
        <v>0</v>
      </c>
      <c r="AW7" s="122">
        <f t="shared" ref="AW7:AX11" si="0">AK7+AM7+AO7+AQ7+AS7+AU7</f>
        <v>1</v>
      </c>
      <c r="AX7" s="167">
        <f t="shared" si="0"/>
        <v>20054.906160760027</v>
      </c>
      <c r="AY7" s="130">
        <f>$AY$4*AZ7</f>
        <v>30740000</v>
      </c>
      <c r="AZ7" s="109">
        <v>1160</v>
      </c>
    </row>
    <row r="8" spans="2:52" x14ac:dyDescent="0.35">
      <c r="Z8" s="151"/>
      <c r="AA8" s="336">
        <f>-AC8</f>
        <v>-0.13200000000000001</v>
      </c>
      <c r="AB8" s="337">
        <f>$AB$7*$AA8</f>
        <v>-419.84732824427482</v>
      </c>
      <c r="AC8" s="555">
        <v>0.13200000000000001</v>
      </c>
      <c r="AD8" s="556" t="s">
        <v>529</v>
      </c>
      <c r="AE8" s="157">
        <v>2.1000000000000001E-2</v>
      </c>
      <c r="AF8" t="s">
        <v>522</v>
      </c>
      <c r="AG8" s="157">
        <f>'H_Tỷ lệ HH&amp;PS'!BA9</f>
        <v>1.5953364913694541E-2</v>
      </c>
      <c r="AH8" s="117" t="s">
        <v>386</v>
      </c>
      <c r="AJ8" s="117" t="s">
        <v>369</v>
      </c>
      <c r="AK8" s="125">
        <v>0.3</v>
      </c>
      <c r="AL8" s="134">
        <f>AK8*$AK$3</f>
        <v>5708.1847996074403</v>
      </c>
      <c r="AM8" s="125">
        <v>0.7</v>
      </c>
      <c r="AN8" s="134">
        <f>AM8*$AM$3</f>
        <v>14118.360584396609</v>
      </c>
      <c r="AO8" s="117"/>
      <c r="AP8" s="134">
        <f>AO8*$AO$3</f>
        <v>0</v>
      </c>
      <c r="AQ8" s="117"/>
      <c r="AR8" s="134">
        <f>AQ8*$AQ$3</f>
        <v>0</v>
      </c>
      <c r="AS8" s="117"/>
      <c r="AT8" s="117">
        <f>AS8*$AS$3</f>
        <v>0</v>
      </c>
      <c r="AU8" s="117"/>
      <c r="AV8" s="117">
        <f>AU8*$AU$3</f>
        <v>0</v>
      </c>
      <c r="AW8" s="124">
        <f t="shared" si="0"/>
        <v>1</v>
      </c>
      <c r="AX8" s="167">
        <f t="shared" si="0"/>
        <v>19826.54538400405</v>
      </c>
      <c r="AY8" s="130">
        <f>$AY$4*AZ8</f>
        <v>31535000</v>
      </c>
      <c r="AZ8" s="130">
        <f>AZ7+30</f>
        <v>1190</v>
      </c>
    </row>
    <row r="9" spans="2:52" x14ac:dyDescent="0.35">
      <c r="AA9" s="336">
        <f>-AC9</f>
        <v>-1.7999999999999999E-2</v>
      </c>
      <c r="AB9" s="337">
        <f>$AB$7*$AA9</f>
        <v>-57.251908396946561</v>
      </c>
      <c r="AC9" s="157">
        <v>1.7999999999999999E-2</v>
      </c>
      <c r="AD9" t="s">
        <v>530</v>
      </c>
      <c r="AE9" s="157">
        <v>2.5999999999999999E-2</v>
      </c>
      <c r="AF9" t="s">
        <v>523</v>
      </c>
      <c r="AG9" s="157">
        <v>2.5999999999999999E-2</v>
      </c>
      <c r="AH9" s="117" t="s">
        <v>370</v>
      </c>
      <c r="AJ9" s="117" t="s">
        <v>370</v>
      </c>
      <c r="AK9" s="118">
        <v>0.55000000000000004</v>
      </c>
      <c r="AL9" s="134">
        <f>AK9*$AK$3</f>
        <v>10465.005465946975</v>
      </c>
      <c r="AM9" s="118">
        <v>0.3</v>
      </c>
      <c r="AN9" s="134">
        <f>AM9*$AM$3</f>
        <v>6050.7259647414039</v>
      </c>
      <c r="AO9" s="118">
        <v>0.15</v>
      </c>
      <c r="AP9" s="134">
        <f>AO9*$AO$3</f>
        <v>2596.4463141041106</v>
      </c>
      <c r="AQ9" s="117"/>
      <c r="AR9" s="134">
        <f>AQ9*$AQ$3</f>
        <v>0</v>
      </c>
      <c r="AS9" s="117"/>
      <c r="AT9" s="117">
        <f>AS9*$AS$3</f>
        <v>0</v>
      </c>
      <c r="AU9" s="117"/>
      <c r="AV9" s="117">
        <f>AU9*$AU$3</f>
        <v>0</v>
      </c>
      <c r="AW9" s="122">
        <f t="shared" si="0"/>
        <v>1</v>
      </c>
      <c r="AX9" s="167">
        <f t="shared" si="0"/>
        <v>19112.177744792491</v>
      </c>
      <c r="AY9" s="130">
        <f>$AY$4*AZ9</f>
        <v>28885000</v>
      </c>
      <c r="AZ9" s="130">
        <f>AZ7-70</f>
        <v>1090</v>
      </c>
    </row>
    <row r="10" spans="2:52" x14ac:dyDescent="0.35">
      <c r="AA10" s="336">
        <f>-AC10</f>
        <v>-1.4999999999999999E-2</v>
      </c>
      <c r="AB10" s="337">
        <f>$AB$7*$AA10</f>
        <v>-47.709923664122137</v>
      </c>
      <c r="AC10" s="157">
        <v>1.4999999999999999E-2</v>
      </c>
      <c r="AD10" t="s">
        <v>531</v>
      </c>
      <c r="AE10" s="157">
        <v>4.5999999999999999E-2</v>
      </c>
      <c r="AF10" t="s">
        <v>524</v>
      </c>
      <c r="AG10" s="157">
        <v>4.5999999999999999E-2</v>
      </c>
      <c r="AH10" s="117" t="s">
        <v>371</v>
      </c>
      <c r="AJ10" s="117" t="s">
        <v>371</v>
      </c>
      <c r="AK10" s="118">
        <v>0.95</v>
      </c>
      <c r="AL10" s="134">
        <f>AK10*$AK$3</f>
        <v>18075.918532090229</v>
      </c>
      <c r="AM10" s="261"/>
      <c r="AN10" s="134">
        <f>AM10*$AM$3</f>
        <v>0</v>
      </c>
      <c r="AO10" s="117"/>
      <c r="AP10" s="134">
        <f>AO10*$AO$3</f>
        <v>0</v>
      </c>
      <c r="AQ10" s="261">
        <v>0.05</v>
      </c>
      <c r="AR10" s="134">
        <f>AQ10*$AQ$3</f>
        <v>777.76432381947461</v>
      </c>
      <c r="AS10" s="118"/>
      <c r="AT10" s="117">
        <f>AS10*$AS$3</f>
        <v>0</v>
      </c>
      <c r="AU10" s="117"/>
      <c r="AV10" s="117">
        <f>AU10*$AU$3</f>
        <v>0</v>
      </c>
      <c r="AW10" s="122">
        <f t="shared" si="0"/>
        <v>1</v>
      </c>
      <c r="AX10" s="167">
        <f t="shared" si="0"/>
        <v>18853.682855909705</v>
      </c>
      <c r="AY10" s="130">
        <f>$AY$4*AZ10</f>
        <v>19080000</v>
      </c>
      <c r="AZ10">
        <v>720</v>
      </c>
    </row>
    <row r="11" spans="2:52" x14ac:dyDescent="0.35">
      <c r="AA11" s="336">
        <f>-AC11</f>
        <v>-4.9000000000000002E-2</v>
      </c>
      <c r="AB11" s="337">
        <f>$AB$7*$AA11</f>
        <v>-155.85241730279898</v>
      </c>
      <c r="AC11" s="157">
        <v>4.9000000000000002E-2</v>
      </c>
      <c r="AD11" t="s">
        <v>482</v>
      </c>
      <c r="AE11" s="157">
        <v>2.4E-2</v>
      </c>
      <c r="AF11" t="s">
        <v>482</v>
      </c>
      <c r="AG11" s="157">
        <v>2.4E-2</v>
      </c>
      <c r="AH11" s="117" t="s">
        <v>373</v>
      </c>
      <c r="AJ11" s="117" t="s">
        <v>373</v>
      </c>
      <c r="AK11" s="118">
        <v>0.65</v>
      </c>
      <c r="AL11" s="134">
        <f>AK11*$AK$3</f>
        <v>12367.733732482789</v>
      </c>
      <c r="AM11" s="118">
        <v>0.15</v>
      </c>
      <c r="AN11" s="134">
        <f>AM11*$AM$3</f>
        <v>3025.362982370702</v>
      </c>
      <c r="AO11" s="261"/>
      <c r="AP11" s="134">
        <f>AO11*$AO$3</f>
        <v>0</v>
      </c>
      <c r="AQ11" s="261">
        <v>0.2</v>
      </c>
      <c r="AR11" s="134">
        <f>AQ11*$AQ$3</f>
        <v>3111.0572952778984</v>
      </c>
      <c r="AS11" s="117"/>
      <c r="AT11" s="117">
        <f>AS11*$AS$3</f>
        <v>0</v>
      </c>
      <c r="AU11" s="117"/>
      <c r="AV11" s="117">
        <f>AU11*$AU$3</f>
        <v>0</v>
      </c>
      <c r="AW11" s="122">
        <f t="shared" si="0"/>
        <v>1</v>
      </c>
      <c r="AX11" s="167">
        <f t="shared" si="0"/>
        <v>18504.154010131388</v>
      </c>
      <c r="AY11" s="130">
        <f>$AY$4*AZ11</f>
        <v>0</v>
      </c>
    </row>
    <row r="12" spans="2:52" x14ac:dyDescent="0.35">
      <c r="AG12" s="157">
        <v>2.4E-2</v>
      </c>
      <c r="AH12" t="s">
        <v>482</v>
      </c>
    </row>
    <row r="14" spans="2:52" x14ac:dyDescent="0.35">
      <c r="Y14" s="313" t="s">
        <v>48</v>
      </c>
      <c r="Z14" s="69">
        <v>0.53</v>
      </c>
      <c r="AA14" s="313" t="s">
        <v>538</v>
      </c>
      <c r="AB14" s="313" t="s">
        <v>48</v>
      </c>
      <c r="AC14" s="116" t="s">
        <v>533</v>
      </c>
      <c r="AE14" s="116" t="s">
        <v>48</v>
      </c>
      <c r="AG14" s="116" t="s">
        <v>48</v>
      </c>
      <c r="AJ14" s="119" t="s">
        <v>387</v>
      </c>
      <c r="AK14" s="339">
        <f>SUM(AC17:AC21)</f>
        <v>8.6099999999999996E-2</v>
      </c>
      <c r="AM14" s="116" t="s">
        <v>48</v>
      </c>
      <c r="AW14" s="126">
        <v>0.53</v>
      </c>
    </row>
    <row r="15" spans="2:52" x14ac:dyDescent="0.35">
      <c r="AA15" s="314">
        <v>2500</v>
      </c>
      <c r="AB15" s="109">
        <v>2500</v>
      </c>
      <c r="AC15" s="311">
        <f>SUM(AC16:AC20)</f>
        <v>1</v>
      </c>
      <c r="AE15" s="311">
        <f>SUM(AE16:AE20)</f>
        <v>0.99950000000000006</v>
      </c>
      <c r="AG15" s="311">
        <f>SUM(AG16:AG20)</f>
        <v>0.99950000000000006</v>
      </c>
      <c r="AJ15" s="117" t="s">
        <v>377</v>
      </c>
      <c r="AK15" s="117"/>
      <c r="AL15" s="117">
        <f>AK15*$AK$3</f>
        <v>0</v>
      </c>
      <c r="AM15" s="118">
        <v>1</v>
      </c>
      <c r="AN15" s="134">
        <f>AM15*$AM$3</f>
        <v>20169.086549138014</v>
      </c>
      <c r="AO15" s="117"/>
      <c r="AP15" s="117">
        <f>AO15*$AO$3</f>
        <v>0</v>
      </c>
      <c r="AQ15" s="117"/>
      <c r="AR15" s="117">
        <f>AQ15*$AQ$3</f>
        <v>0</v>
      </c>
      <c r="AS15" s="117"/>
      <c r="AT15" s="117">
        <f>AS15*$AS$3</f>
        <v>0</v>
      </c>
      <c r="AU15" s="117"/>
      <c r="AV15" s="117">
        <f>AU15*$AU$3</f>
        <v>0</v>
      </c>
      <c r="AW15" s="122">
        <f t="shared" ref="AW15:AX18" si="1">AK15+AM15+AO15+AQ15+AS15+AU15</f>
        <v>1</v>
      </c>
      <c r="AX15" s="167">
        <f t="shared" si="1"/>
        <v>20169.086549138014</v>
      </c>
      <c r="AY15" s="130">
        <f>$AY$4*AZ15</f>
        <v>30740000</v>
      </c>
      <c r="AZ15" s="130">
        <f>AZ7</f>
        <v>1160</v>
      </c>
    </row>
    <row r="16" spans="2:52" x14ac:dyDescent="0.35">
      <c r="AA16" s="316">
        <f>1/AC16</f>
        <v>1.0942116205274099</v>
      </c>
      <c r="AB16" s="317">
        <f>$AB$6*$AA16</f>
        <v>2735.529051318525</v>
      </c>
      <c r="AC16" s="309">
        <v>0.91390000000000005</v>
      </c>
      <c r="AD16" t="s">
        <v>528</v>
      </c>
      <c r="AE16" s="309">
        <v>0.9637</v>
      </c>
      <c r="AF16" t="s">
        <v>521</v>
      </c>
      <c r="AG16" s="309">
        <v>0.9637</v>
      </c>
      <c r="AH16" s="117" t="s">
        <v>379</v>
      </c>
      <c r="AJ16" s="117" t="s">
        <v>378</v>
      </c>
      <c r="AK16" s="117"/>
      <c r="AL16" s="117">
        <f>AK16*$AK$3</f>
        <v>0</v>
      </c>
      <c r="AM16" s="118">
        <v>1</v>
      </c>
      <c r="AN16" s="134">
        <f>AM16*$AM$3</f>
        <v>20169.086549138014</v>
      </c>
      <c r="AO16" s="117"/>
      <c r="AP16" s="117">
        <f>AO16*$AO$3</f>
        <v>0</v>
      </c>
      <c r="AQ16" s="117"/>
      <c r="AR16" s="117">
        <f>AQ16*$AQ$3</f>
        <v>0</v>
      </c>
      <c r="AS16" s="117"/>
      <c r="AT16" s="117">
        <f>AS16*$AS$3</f>
        <v>0</v>
      </c>
      <c r="AU16" s="117"/>
      <c r="AV16" s="117">
        <f>AU16*$AU$3</f>
        <v>0</v>
      </c>
      <c r="AW16" s="122">
        <f t="shared" si="1"/>
        <v>1</v>
      </c>
      <c r="AX16" s="167">
        <f t="shared" si="1"/>
        <v>20169.086549138014</v>
      </c>
      <c r="AY16" s="130">
        <f>$AY$4*AZ16</f>
        <v>31535000</v>
      </c>
      <c r="AZ16" s="130">
        <f>AZ7+30</f>
        <v>1190</v>
      </c>
    </row>
    <row r="17" spans="25:52" x14ac:dyDescent="0.35">
      <c r="AA17" s="336">
        <f>-AC17</f>
        <v>-8.0699999999999994E-2</v>
      </c>
      <c r="AB17" s="337">
        <f>$AB$16*$AA17</f>
        <v>-220.75719444140495</v>
      </c>
      <c r="AC17" s="557">
        <v>8.0699999999999994E-2</v>
      </c>
      <c r="AD17" s="556" t="s">
        <v>529</v>
      </c>
      <c r="AE17" s="157"/>
      <c r="AF17" t="s">
        <v>522</v>
      </c>
      <c r="AG17" s="157"/>
      <c r="AH17" s="117" t="s">
        <v>378</v>
      </c>
      <c r="AJ17" s="117" t="s">
        <v>379</v>
      </c>
      <c r="AK17" s="117"/>
      <c r="AL17" s="117">
        <f>AK17*$AK$3</f>
        <v>0</v>
      </c>
      <c r="AM17" s="118">
        <v>1</v>
      </c>
      <c r="AN17" s="134">
        <f>AM17*$AM$3</f>
        <v>20169.086549138014</v>
      </c>
      <c r="AO17" s="117"/>
      <c r="AP17" s="117">
        <f>AO17*$AO$3</f>
        <v>0</v>
      </c>
      <c r="AQ17" s="117"/>
      <c r="AR17" s="117">
        <f>AQ17*$AQ$3</f>
        <v>0</v>
      </c>
      <c r="AS17" s="117"/>
      <c r="AT17" s="117">
        <f>AS17*$AS$3</f>
        <v>0</v>
      </c>
      <c r="AU17" s="117"/>
      <c r="AV17" s="117">
        <f>AU17*$AU$3</f>
        <v>0</v>
      </c>
      <c r="AW17" s="122">
        <f t="shared" si="1"/>
        <v>1</v>
      </c>
      <c r="AX17" s="167">
        <f t="shared" si="1"/>
        <v>20169.086549138014</v>
      </c>
      <c r="AY17" s="130">
        <f>$AY$4*AZ17</f>
        <v>33125000</v>
      </c>
      <c r="AZ17" s="130">
        <f>AZ7+90</f>
        <v>1250</v>
      </c>
    </row>
    <row r="18" spans="25:52" x14ac:dyDescent="0.35">
      <c r="AA18" s="336">
        <f>-AC18</f>
        <v>0</v>
      </c>
      <c r="AB18" s="337">
        <f t="shared" ref="AB18:AB20" si="2">$AB$16*$AA18</f>
        <v>0</v>
      </c>
      <c r="AC18" s="157"/>
      <c r="AD18" t="s">
        <v>530</v>
      </c>
      <c r="AE18" s="157"/>
      <c r="AF18" t="s">
        <v>523</v>
      </c>
      <c r="AG18" s="157"/>
      <c r="AH18" s="117" t="s">
        <v>377</v>
      </c>
      <c r="AJ18" s="117" t="s">
        <v>380</v>
      </c>
      <c r="AK18" s="117"/>
      <c r="AL18" s="117">
        <f>AK18*$AK$3</f>
        <v>0</v>
      </c>
      <c r="AM18" s="118">
        <v>1</v>
      </c>
      <c r="AN18" s="134">
        <f>AM18*$AM$3</f>
        <v>20169.086549138014</v>
      </c>
      <c r="AO18" s="117"/>
      <c r="AP18" s="117">
        <f>AO18*$AO$3</f>
        <v>0</v>
      </c>
      <c r="AQ18" s="117"/>
      <c r="AR18" s="117">
        <f>AQ18*$AQ$3</f>
        <v>0</v>
      </c>
      <c r="AS18" s="117"/>
      <c r="AT18" s="117">
        <f>AS18*$AS$3</f>
        <v>0</v>
      </c>
      <c r="AU18" s="117"/>
      <c r="AV18" s="117">
        <f>AU18*$AU$3</f>
        <v>0</v>
      </c>
      <c r="AW18" s="122">
        <f t="shared" si="1"/>
        <v>1</v>
      </c>
      <c r="AX18" s="167">
        <f t="shared" si="1"/>
        <v>20169.086549138014</v>
      </c>
      <c r="AY18" s="130">
        <f>$AY$4*AZ18</f>
        <v>29945000</v>
      </c>
      <c r="AZ18" s="130">
        <f>AZ7-30</f>
        <v>1130</v>
      </c>
    </row>
    <row r="19" spans="25:52" x14ac:dyDescent="0.35">
      <c r="AA19" s="336">
        <f>-AC19</f>
        <v>0</v>
      </c>
      <c r="AB19" s="337">
        <f t="shared" si="2"/>
        <v>0</v>
      </c>
      <c r="AC19" s="157"/>
      <c r="AD19" t="s">
        <v>531</v>
      </c>
      <c r="AE19" s="157"/>
      <c r="AF19" t="s">
        <v>524</v>
      </c>
      <c r="AG19" s="157"/>
      <c r="AH19" s="117" t="s">
        <v>380</v>
      </c>
      <c r="AN19" s="109"/>
    </row>
    <row r="20" spans="25:52" x14ac:dyDescent="0.35">
      <c r="AA20" s="336">
        <f>-AC20</f>
        <v>-5.4000000000000003E-3</v>
      </c>
      <c r="AB20" s="337">
        <f t="shared" si="2"/>
        <v>-14.771856877120037</v>
      </c>
      <c r="AC20" s="186">
        <v>5.4000000000000003E-3</v>
      </c>
      <c r="AD20" t="s">
        <v>482</v>
      </c>
      <c r="AE20" s="186">
        <v>3.5799999999999998E-2</v>
      </c>
      <c r="AF20" t="s">
        <v>482</v>
      </c>
      <c r="AG20" s="186">
        <v>3.5799999999999998E-2</v>
      </c>
      <c r="AH20" t="s">
        <v>482</v>
      </c>
      <c r="AN20" s="109"/>
    </row>
    <row r="21" spans="25:52" x14ac:dyDescent="0.35">
      <c r="AN21" s="109"/>
    </row>
    <row r="22" spans="25:52" x14ac:dyDescent="0.35">
      <c r="AN22" s="109"/>
    </row>
    <row r="23" spans="25:52" x14ac:dyDescent="0.35">
      <c r="AN23" s="109"/>
    </row>
    <row r="24" spans="25:52" x14ac:dyDescent="0.35">
      <c r="Y24" s="313" t="s">
        <v>542</v>
      </c>
      <c r="Z24" s="69">
        <v>0.05</v>
      </c>
      <c r="AA24" s="313" t="s">
        <v>538</v>
      </c>
      <c r="AB24" s="313" t="s">
        <v>542</v>
      </c>
      <c r="AC24" s="116" t="s">
        <v>535</v>
      </c>
      <c r="AE24" s="116" t="s">
        <v>536</v>
      </c>
      <c r="AG24" s="116" t="s">
        <v>536</v>
      </c>
      <c r="AJ24" s="119" t="s">
        <v>388</v>
      </c>
      <c r="AK24" s="339">
        <f>SUM(AC27:AC31)</f>
        <v>4.0400000000000005E-2</v>
      </c>
      <c r="AN24" s="109"/>
      <c r="AW24" s="126">
        <v>0.05</v>
      </c>
    </row>
    <row r="25" spans="25:52" x14ac:dyDescent="0.35">
      <c r="AA25" s="314">
        <v>2500</v>
      </c>
      <c r="AB25" s="109">
        <v>2500</v>
      </c>
      <c r="AC25" s="311">
        <f>SUM(AC26:AC30)</f>
        <v>1</v>
      </c>
      <c r="AE25" s="311">
        <f>SUM(AE26:AE30)</f>
        <v>1</v>
      </c>
      <c r="AG25" s="311">
        <f>SUM(AG26:AG30)</f>
        <v>1</v>
      </c>
      <c r="AJ25" s="117" t="s">
        <v>368</v>
      </c>
      <c r="AK25" s="117"/>
      <c r="AL25" s="134">
        <f>AK25*$AK$3</f>
        <v>0</v>
      </c>
      <c r="AM25" s="118">
        <v>0.9</v>
      </c>
      <c r="AN25" s="134">
        <f>AM25*$AM$3</f>
        <v>18152.177894224213</v>
      </c>
      <c r="AO25" s="118">
        <v>0.1</v>
      </c>
      <c r="AP25" s="134">
        <f>AO25*$AO$3</f>
        <v>1730.9642094027404</v>
      </c>
      <c r="AQ25" s="117"/>
      <c r="AR25" s="134">
        <f>AQ25*$AQ$3</f>
        <v>0</v>
      </c>
      <c r="AS25" s="117"/>
      <c r="AT25" s="134">
        <f>AS25*$AS$3</f>
        <v>0</v>
      </c>
      <c r="AU25" s="117"/>
      <c r="AV25" s="117">
        <f>AU25*$AU$3</f>
        <v>0</v>
      </c>
      <c r="AW25" s="122">
        <f t="shared" ref="AW25:AX29" si="3">AK25+AM25+AO25+AQ25+AS25+AU25</f>
        <v>1</v>
      </c>
      <c r="AX25" s="167">
        <f t="shared" si="3"/>
        <v>19883.142103626953</v>
      </c>
      <c r="AY25" s="130">
        <f>$AY$4*AZ25</f>
        <v>30740000</v>
      </c>
      <c r="AZ25" s="130">
        <f>AZ7</f>
        <v>1160</v>
      </c>
    </row>
    <row r="26" spans="25:52" x14ac:dyDescent="0.35">
      <c r="AA26" s="316">
        <f>1/AC26</f>
        <v>1.0421008753647354</v>
      </c>
      <c r="AB26" s="317">
        <f>$AB$6*$AA26</f>
        <v>2605.2521884118387</v>
      </c>
      <c r="AC26" s="309">
        <v>0.95960000000000001</v>
      </c>
      <c r="AD26" t="s">
        <v>528</v>
      </c>
      <c r="AE26" s="309">
        <v>0.97629999999999995</v>
      </c>
      <c r="AF26" t="s">
        <v>521</v>
      </c>
      <c r="AG26" s="309">
        <v>0.97629999999999995</v>
      </c>
      <c r="AH26" s="117" t="s">
        <v>368</v>
      </c>
      <c r="AJ26" s="117" t="s">
        <v>370</v>
      </c>
      <c r="AK26" s="118">
        <v>0.55000000000000004</v>
      </c>
      <c r="AL26" s="134">
        <f>AK26*$AK$3</f>
        <v>10465.005465946975</v>
      </c>
      <c r="AM26" s="118">
        <v>0.3</v>
      </c>
      <c r="AN26" s="134">
        <f>AM26*$AM$3</f>
        <v>6050.7259647414039</v>
      </c>
      <c r="AO26" s="118">
        <v>0.15</v>
      </c>
      <c r="AP26" s="134">
        <f>AO26*$AO$3</f>
        <v>2596.4463141041106</v>
      </c>
      <c r="AQ26" s="117"/>
      <c r="AR26" s="134">
        <f>AQ26*$AQ$3</f>
        <v>0</v>
      </c>
      <c r="AS26" s="117"/>
      <c r="AT26" s="134">
        <f>AS26*$AS$3</f>
        <v>0</v>
      </c>
      <c r="AU26" s="117"/>
      <c r="AV26" s="117">
        <f>AU26*$AU$3</f>
        <v>0</v>
      </c>
      <c r="AW26" s="122">
        <f t="shared" si="3"/>
        <v>1</v>
      </c>
      <c r="AX26" s="167">
        <f t="shared" si="3"/>
        <v>19112.177744792491</v>
      </c>
      <c r="AY26" s="130">
        <f>$AY$4*AZ26</f>
        <v>28885000</v>
      </c>
      <c r="AZ26" s="130">
        <f>AZ7-70</f>
        <v>1090</v>
      </c>
    </row>
    <row r="27" spans="25:52" x14ac:dyDescent="0.35">
      <c r="AA27" s="336">
        <f>-AC27</f>
        <v>0</v>
      </c>
      <c r="AB27" s="337">
        <f>$AB$26*$AA27</f>
        <v>0</v>
      </c>
      <c r="AC27" s="555"/>
      <c r="AD27" s="556" t="s">
        <v>529</v>
      </c>
      <c r="AE27" s="157"/>
      <c r="AF27" t="s">
        <v>522</v>
      </c>
      <c r="AG27" s="157"/>
      <c r="AH27" s="117" t="s">
        <v>386</v>
      </c>
      <c r="AJ27" s="117" t="s">
        <v>386</v>
      </c>
      <c r="AK27" s="117"/>
      <c r="AL27" s="134">
        <f>AK27*$AK$3</f>
        <v>0</v>
      </c>
      <c r="AM27" s="118">
        <v>0.4</v>
      </c>
      <c r="AN27" s="134">
        <f>AM27*$AM$3</f>
        <v>8067.6346196552058</v>
      </c>
      <c r="AO27" s="117"/>
      <c r="AP27" s="134">
        <f>AO27*$AO$3</f>
        <v>0</v>
      </c>
      <c r="AQ27" s="118">
        <v>0.5</v>
      </c>
      <c r="AR27" s="134">
        <f>AQ27*$AQ$3</f>
        <v>7777.6432381947452</v>
      </c>
      <c r="AS27" s="118">
        <v>0.1</v>
      </c>
      <c r="AT27" s="134">
        <f>AS27*$AS$3</f>
        <v>1434.1250211551117</v>
      </c>
      <c r="AU27" s="117"/>
      <c r="AV27" s="117">
        <f>AU27*$AU$3</f>
        <v>0</v>
      </c>
      <c r="AW27" s="122">
        <f t="shared" si="3"/>
        <v>1</v>
      </c>
      <c r="AX27" s="167">
        <f t="shared" si="3"/>
        <v>17279.402879005062</v>
      </c>
      <c r="AY27" s="130">
        <f>$AY$4*AZ27</f>
        <v>30740000</v>
      </c>
      <c r="AZ27" s="130">
        <f>AZ7</f>
        <v>1160</v>
      </c>
    </row>
    <row r="28" spans="25:52" x14ac:dyDescent="0.35">
      <c r="AA28" s="336">
        <f>-AC28</f>
        <v>0</v>
      </c>
      <c r="AB28" s="337">
        <f t="shared" ref="AB28:AB30" si="4">$AB$26*$AA28</f>
        <v>0</v>
      </c>
      <c r="AC28" s="157"/>
      <c r="AD28" t="s">
        <v>530</v>
      </c>
      <c r="AE28" s="157"/>
      <c r="AF28" t="s">
        <v>523</v>
      </c>
      <c r="AG28" s="157"/>
      <c r="AH28" s="117" t="s">
        <v>370</v>
      </c>
      <c r="AJ28" s="117" t="s">
        <v>371</v>
      </c>
      <c r="AK28" s="118">
        <v>0.95</v>
      </c>
      <c r="AL28" s="134">
        <f>AK28*$AK$3</f>
        <v>18075.918532090229</v>
      </c>
      <c r="AM28" s="117"/>
      <c r="AN28" s="134">
        <f>AM28*$AM$3</f>
        <v>0</v>
      </c>
      <c r="AO28" s="117"/>
      <c r="AP28" s="134">
        <f>AO28*$AO$3</f>
        <v>0</v>
      </c>
      <c r="AQ28" s="118">
        <v>0.05</v>
      </c>
      <c r="AR28" s="134">
        <f>AQ28*$AQ$3</f>
        <v>777.76432381947461</v>
      </c>
      <c r="AS28" s="117"/>
      <c r="AT28" s="134">
        <f>AS28*$AS$3</f>
        <v>0</v>
      </c>
      <c r="AU28" s="117"/>
      <c r="AV28" s="117">
        <f>AU28*$AU$3</f>
        <v>0</v>
      </c>
      <c r="AW28" s="122">
        <f t="shared" si="3"/>
        <v>1</v>
      </c>
      <c r="AX28" s="167">
        <f t="shared" si="3"/>
        <v>18853.682855909705</v>
      </c>
      <c r="AY28" s="130">
        <f>$AY$4*AZ28</f>
        <v>19080000</v>
      </c>
      <c r="AZ28">
        <f>AZ10</f>
        <v>720</v>
      </c>
    </row>
    <row r="29" spans="25:52" x14ac:dyDescent="0.35">
      <c r="AA29" s="336">
        <f>-AC29</f>
        <v>-3.2300000000000002E-2</v>
      </c>
      <c r="AB29" s="337">
        <f t="shared" si="4"/>
        <v>-84.149645685702396</v>
      </c>
      <c r="AC29" s="186">
        <v>3.2300000000000002E-2</v>
      </c>
      <c r="AD29" t="s">
        <v>531</v>
      </c>
      <c r="AE29" s="157"/>
      <c r="AF29" t="s">
        <v>524</v>
      </c>
      <c r="AG29" s="157"/>
      <c r="AH29" s="117" t="s">
        <v>371</v>
      </c>
      <c r="AJ29" s="117" t="s">
        <v>373</v>
      </c>
      <c r="AK29" s="118">
        <v>0.65</v>
      </c>
      <c r="AL29" s="134">
        <f>AK29*$AK$3</f>
        <v>12367.733732482789</v>
      </c>
      <c r="AM29" s="118">
        <v>0.15</v>
      </c>
      <c r="AN29" s="134">
        <f>AM29*$AM$3</f>
        <v>3025.362982370702</v>
      </c>
      <c r="AO29" s="117"/>
      <c r="AP29" s="134">
        <f>AO29*$AO$3</f>
        <v>0</v>
      </c>
      <c r="AQ29" s="118">
        <v>0.2</v>
      </c>
      <c r="AR29" s="134">
        <f>AQ29*$AQ$3</f>
        <v>3111.0572952778984</v>
      </c>
      <c r="AS29" s="117"/>
      <c r="AT29" s="134">
        <f>AS29*$AS$3</f>
        <v>0</v>
      </c>
      <c r="AU29" s="117"/>
      <c r="AV29" s="117">
        <f>AU29*$AU$3</f>
        <v>0</v>
      </c>
      <c r="AW29" s="122">
        <f t="shared" si="3"/>
        <v>1</v>
      </c>
      <c r="AX29" s="167">
        <f t="shared" si="3"/>
        <v>18504.154010131388</v>
      </c>
      <c r="AY29" s="130">
        <f>$AY$4*AZ29</f>
        <v>0</v>
      </c>
    </row>
    <row r="30" spans="25:52" x14ac:dyDescent="0.35">
      <c r="AA30" s="336">
        <f>-AC30</f>
        <v>-8.0999999999999996E-3</v>
      </c>
      <c r="AB30" s="337">
        <f t="shared" si="4"/>
        <v>-21.102542726135891</v>
      </c>
      <c r="AC30" s="186">
        <v>8.0999999999999996E-3</v>
      </c>
      <c r="AD30" t="s">
        <v>482</v>
      </c>
      <c r="AE30" s="186">
        <v>2.3699999999999999E-2</v>
      </c>
      <c r="AF30" t="s">
        <v>482</v>
      </c>
      <c r="AG30" s="186">
        <v>2.3699999999999999E-2</v>
      </c>
      <c r="AH30" s="117" t="s">
        <v>373</v>
      </c>
    </row>
    <row r="31" spans="25:52" x14ac:dyDescent="0.35">
      <c r="AG31" s="186">
        <v>2.3699999999999999E-2</v>
      </c>
      <c r="AH31" t="s">
        <v>482</v>
      </c>
    </row>
    <row r="32" spans="25:52" x14ac:dyDescent="0.35">
      <c r="Y32" s="313" t="s">
        <v>54</v>
      </c>
      <c r="Z32" s="69">
        <v>0.02</v>
      </c>
      <c r="AA32" s="313" t="s">
        <v>538</v>
      </c>
      <c r="AB32" s="313" t="s">
        <v>54</v>
      </c>
      <c r="AC32" s="116" t="s">
        <v>534</v>
      </c>
      <c r="AE32" s="116" t="s">
        <v>54</v>
      </c>
      <c r="AG32" s="116" t="s">
        <v>54</v>
      </c>
      <c r="AJ32" s="119" t="s">
        <v>389</v>
      </c>
      <c r="AK32" s="339">
        <f>SUM(AC35:AC39)</f>
        <v>3.9200000000000006E-2</v>
      </c>
      <c r="AW32" s="126">
        <v>0.02</v>
      </c>
    </row>
    <row r="33" spans="27:52" x14ac:dyDescent="0.35">
      <c r="AA33" s="314">
        <v>2500</v>
      </c>
      <c r="AB33" s="109">
        <v>2500</v>
      </c>
      <c r="AC33" s="311">
        <f>SUM(AC34:AC38)</f>
        <v>1</v>
      </c>
      <c r="AE33" s="311">
        <f>SUM(AE34:AE38)</f>
        <v>1</v>
      </c>
      <c r="AG33" s="311">
        <f>SUM(AG34:AG38)</f>
        <v>1</v>
      </c>
      <c r="AJ33" s="117" t="s">
        <v>381</v>
      </c>
      <c r="AK33" s="117"/>
      <c r="AL33" s="117">
        <f>AK33*$AK$3</f>
        <v>0</v>
      </c>
      <c r="AM33" s="117"/>
      <c r="AN33" s="117">
        <f>AM33*$AM$3</f>
        <v>0</v>
      </c>
      <c r="AO33" s="117"/>
      <c r="AP33" s="117">
        <f>AO33*$AO$3</f>
        <v>0</v>
      </c>
      <c r="AQ33" s="117"/>
      <c r="AR33" s="117"/>
      <c r="AS33" s="117"/>
      <c r="AT33" s="117">
        <f>AS33*$AS$3</f>
        <v>0</v>
      </c>
      <c r="AU33" s="118">
        <v>1</v>
      </c>
      <c r="AV33" s="117"/>
      <c r="AW33" s="122">
        <f>AK33+AM33+AO33+AQ33+AS33+AU33</f>
        <v>1</v>
      </c>
      <c r="AX33" s="167">
        <f>AL33+AN33+AP33+AR33+AT33+AV33</f>
        <v>0</v>
      </c>
      <c r="AY33" s="130">
        <f>$AY$4*AZ33</f>
        <v>19000500</v>
      </c>
      <c r="AZ33">
        <v>717</v>
      </c>
    </row>
    <row r="34" spans="27:52" x14ac:dyDescent="0.35">
      <c r="AA34" s="316">
        <f>1/AC34</f>
        <v>1.0407993338884263</v>
      </c>
      <c r="AB34" s="317">
        <f>$AB$6*$AA34</f>
        <v>2601.9983347210655</v>
      </c>
      <c r="AC34" s="309">
        <v>0.96079999999999999</v>
      </c>
      <c r="AD34" t="s">
        <v>528</v>
      </c>
      <c r="AE34" s="309">
        <v>0.98950000000000005</v>
      </c>
      <c r="AF34" t="s">
        <v>521</v>
      </c>
      <c r="AG34" s="309">
        <v>0.98950000000000005</v>
      </c>
      <c r="AH34" s="117" t="s">
        <v>381</v>
      </c>
    </row>
    <row r="35" spans="27:52" x14ac:dyDescent="0.35">
      <c r="AA35" s="336">
        <f>-AC35</f>
        <v>0</v>
      </c>
      <c r="AB35" s="337">
        <f>$AB$34*$AA35</f>
        <v>0</v>
      </c>
      <c r="AC35" s="555"/>
      <c r="AD35" s="556" t="s">
        <v>529</v>
      </c>
      <c r="AE35" s="157"/>
      <c r="AF35" t="s">
        <v>522</v>
      </c>
      <c r="AG35" s="157"/>
      <c r="AH35" t="s">
        <v>522</v>
      </c>
      <c r="AU35" s="109">
        <f>'Giá mua Chai-Vảy'!O40</f>
        <v>12550</v>
      </c>
      <c r="AX35" s="195"/>
      <c r="AY35" s="133"/>
      <c r="AZ35" s="133"/>
    </row>
    <row r="36" spans="27:52" x14ac:dyDescent="0.35">
      <c r="AA36" s="336">
        <f>-AC36</f>
        <v>0</v>
      </c>
      <c r="AB36" s="337">
        <f t="shared" ref="AB36:AB38" si="5">$AB$34*$AA36</f>
        <v>0</v>
      </c>
      <c r="AC36" s="157"/>
      <c r="AD36" t="s">
        <v>530</v>
      </c>
      <c r="AE36" s="157"/>
      <c r="AF36" t="s">
        <v>523</v>
      </c>
      <c r="AG36" s="157"/>
      <c r="AH36" t="s">
        <v>523</v>
      </c>
      <c r="AJ36" s="119" t="s">
        <v>446</v>
      </c>
      <c r="AW36" s="126">
        <v>0.01</v>
      </c>
    </row>
    <row r="37" spans="27:52" x14ac:dyDescent="0.35">
      <c r="AA37" s="336">
        <f>-AC37</f>
        <v>-3.8600000000000002E-2</v>
      </c>
      <c r="AB37" s="337">
        <f t="shared" si="5"/>
        <v>-100.43713572023313</v>
      </c>
      <c r="AC37" s="186">
        <v>3.8600000000000002E-2</v>
      </c>
      <c r="AD37" t="s">
        <v>531</v>
      </c>
      <c r="AE37" s="157"/>
      <c r="AF37" t="s">
        <v>524</v>
      </c>
      <c r="AG37" s="157"/>
      <c r="AH37" t="s">
        <v>524</v>
      </c>
      <c r="AJ37" s="117" t="s">
        <v>475</v>
      </c>
      <c r="AK37" s="117"/>
      <c r="AL37" s="117">
        <f>AK37*$AK$3</f>
        <v>0</v>
      </c>
      <c r="AM37" s="117"/>
      <c r="AN37" s="117">
        <f>AM37*$AM$3</f>
        <v>0</v>
      </c>
      <c r="AO37" s="117"/>
      <c r="AP37" s="117">
        <f>AO37*$AO$3</f>
        <v>0</v>
      </c>
      <c r="AQ37" s="117"/>
      <c r="AR37" s="117"/>
      <c r="AS37" s="117"/>
      <c r="AT37" s="117">
        <f>AS37*$AS$3</f>
        <v>0</v>
      </c>
      <c r="AU37" s="118">
        <v>1</v>
      </c>
      <c r="AV37" s="134">
        <f>AU37*$AU$35</f>
        <v>12550</v>
      </c>
      <c r="AW37" s="122">
        <f>AK37+AM37+AO37+AQ37+AS37+AU37</f>
        <v>1</v>
      </c>
      <c r="AX37" s="177">
        <f>AL37+AN37+AP37+AR37+AT37+AV37</f>
        <v>12550</v>
      </c>
      <c r="AY37" s="175">
        <f>AY$1+AX37</f>
        <v>12550</v>
      </c>
      <c r="AZ37" s="194">
        <f>AZ$1+AY37</f>
        <v>12550</v>
      </c>
    </row>
    <row r="38" spans="27:52" x14ac:dyDescent="0.35">
      <c r="AA38" s="336">
        <f>-AC38</f>
        <v>-5.9999999999999995E-4</v>
      </c>
      <c r="AB38" s="337">
        <f t="shared" si="5"/>
        <v>-1.5611990008326391</v>
      </c>
      <c r="AC38" s="186">
        <v>5.9999999999999995E-4</v>
      </c>
      <c r="AD38" t="s">
        <v>482</v>
      </c>
      <c r="AE38" s="186">
        <v>1.0500000000000001E-2</v>
      </c>
      <c r="AF38" t="s">
        <v>482</v>
      </c>
      <c r="AG38" s="186">
        <v>1.0500000000000001E-2</v>
      </c>
      <c r="AH38" t="s">
        <v>482</v>
      </c>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BA5B-FA8A-485C-A962-0C2E5FDD02AF}">
  <sheetPr>
    <tabColor theme="9" tint="0.79998168889431442"/>
  </sheetPr>
  <dimension ref="B1:CP39"/>
  <sheetViews>
    <sheetView topLeftCell="D1" zoomScale="85" zoomScaleNormal="85" workbookViewId="0">
      <pane xSplit="17" topLeftCell="BD1" activePane="topRight" state="frozen"/>
      <selection activeCell="S1" sqref="S1"/>
      <selection pane="topRight" activeCell="BG8" sqref="BG8"/>
    </sheetView>
  </sheetViews>
  <sheetFormatPr defaultRowHeight="14.5" outlineLevelCol="1" x14ac:dyDescent="0.35"/>
  <cols>
    <col min="1" max="1" width="3.36328125" customWidth="1"/>
    <col min="4" max="18" width="8.7265625" hidden="1" customWidth="1" outlineLevel="1"/>
    <col min="19" max="19" width="8.7265625" collapsed="1"/>
    <col min="20" max="20" width="26.08984375"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10.6328125" style="121" customWidth="1"/>
    <col min="34" max="34" width="21.90625" style="121" customWidth="1"/>
    <col min="35" max="35" width="10.1796875" style="121" bestFit="1" customWidth="1"/>
    <col min="36" max="36" width="11.81640625" bestFit="1" customWidth="1"/>
    <col min="37" max="37" width="7" bestFit="1" customWidth="1"/>
    <col min="38" max="38" width="6.7265625" customWidth="1"/>
    <col min="39" max="42" width="8.453125" customWidth="1"/>
    <col min="43" max="43" width="7.6328125" customWidth="1"/>
    <col min="44" max="44" width="8" customWidth="1"/>
    <col min="45" max="45" width="8.90625" customWidth="1"/>
    <col min="46" max="46" width="4.6328125" customWidth="1"/>
    <col min="47" max="48" width="8.08984375" hidden="1" customWidth="1" outlineLevel="1"/>
    <col min="49" max="50" width="7.81640625" hidden="1" customWidth="1" outlineLevel="1"/>
    <col min="51" max="51" width="6.54296875" hidden="1" customWidth="1" outlineLevel="1"/>
    <col min="52" max="52" width="8" hidden="1" customWidth="1" outlineLevel="1"/>
    <col min="53" max="53" width="9.1796875" bestFit="1" customWidth="1" collapsed="1"/>
    <col min="55" max="55" width="8.08984375" bestFit="1" customWidth="1"/>
    <col min="56" max="56" width="9.1796875" bestFit="1" customWidth="1"/>
    <col min="57" max="57" width="7.7265625" bestFit="1" customWidth="1"/>
    <col min="58" max="58" width="8.7265625" bestFit="1" customWidth="1"/>
    <col min="59" max="59" width="10.26953125" bestFit="1" customWidth="1"/>
    <col min="60" max="60" width="9.453125" customWidth="1"/>
    <col min="61" max="61" width="8.90625" bestFit="1" customWidth="1"/>
    <col min="62" max="62" width="10.1796875" bestFit="1" customWidth="1"/>
    <col min="63" max="63" width="7" bestFit="1" customWidth="1"/>
    <col min="64" max="64" width="7" customWidth="1"/>
    <col min="65" max="65" width="9.7265625" customWidth="1"/>
    <col min="66" max="66" width="23.1796875" bestFit="1" customWidth="1"/>
    <col min="67" max="67" width="6.81640625" style="65" customWidth="1"/>
    <col min="68" max="68" width="8.7265625" customWidth="1"/>
    <col min="69" max="69" width="10.54296875" customWidth="1"/>
    <col min="72" max="72" width="7.7265625" bestFit="1" customWidth="1"/>
    <col min="73" max="73" width="8.7265625" bestFit="1" customWidth="1"/>
    <col min="74" max="74" width="9.26953125" bestFit="1" customWidth="1"/>
    <col min="75" max="75" width="9.54296875" bestFit="1" customWidth="1"/>
    <col min="76" max="76" width="9.26953125" bestFit="1" customWidth="1"/>
    <col min="77" max="77" width="8.1796875" bestFit="1" customWidth="1"/>
    <col min="78" max="78" width="6.1796875" bestFit="1" customWidth="1"/>
    <col min="79" max="79" width="7.36328125" customWidth="1"/>
    <col min="80" max="80" width="10.54296875" customWidth="1"/>
    <col min="81" max="81" width="9.1796875" bestFit="1" customWidth="1"/>
    <col min="82" max="82" width="15.90625" customWidth="1"/>
    <col min="83" max="83" width="6.36328125" customWidth="1"/>
    <col min="84" max="85" width="8.08984375" bestFit="1" customWidth="1"/>
    <col min="86" max="86" width="7" bestFit="1" customWidth="1"/>
    <col min="87" max="87" width="4.90625" customWidth="1"/>
    <col min="88" max="88" width="9.7265625" bestFit="1" customWidth="1"/>
    <col min="89" max="89" width="11.54296875" bestFit="1" customWidth="1"/>
    <col min="90" max="90" width="7.08984375" customWidth="1"/>
    <col min="91" max="92" width="8.08984375" bestFit="1" customWidth="1"/>
    <col min="93" max="93" width="7" bestFit="1" customWidth="1"/>
    <col min="94" max="94" width="4.36328125" bestFit="1" customWidth="1"/>
  </cols>
  <sheetData>
    <row r="1" spans="2:94" ht="39" customHeight="1" x14ac:dyDescent="0.35">
      <c r="B1" s="113" t="s">
        <v>364</v>
      </c>
      <c r="T1" s="121" t="s">
        <v>447</v>
      </c>
      <c r="U1" s="109">
        <f>'Hảo_R&amp;D'!AK1</f>
        <v>14800</v>
      </c>
      <c r="W1" s="109">
        <f>'Hảo_R&amp;D'!AM1</f>
        <v>16300</v>
      </c>
      <c r="X1" s="132">
        <f>W3-W1-X3</f>
        <v>-847.55675534306283</v>
      </c>
      <c r="Y1" s="109">
        <f>'Hảo_R&amp;D'!AO1</f>
        <v>14800</v>
      </c>
      <c r="AA1" s="109">
        <f>'Hảo_R&amp;D'!AQ1</f>
        <v>13300</v>
      </c>
      <c r="AB1" s="132"/>
      <c r="AC1" s="168">
        <f>'Hảo_R&amp;D'!AS1</f>
        <v>7971.0144927536239</v>
      </c>
      <c r="AD1" s="171">
        <f>'[5]16.1 Rửa vảy B7'!$I$10</f>
        <v>84.555434657824762</v>
      </c>
      <c r="AE1" s="109">
        <f>'Hảo_R&amp;D'!AU1</f>
        <v>13300</v>
      </c>
      <c r="AL1" s="936" t="s">
        <v>466</v>
      </c>
      <c r="AM1" s="187">
        <f t="shared" ref="AM1:AS1" si="0">AM2/$AS$2</f>
        <v>0.3133333333333333</v>
      </c>
      <c r="AN1" s="187">
        <f t="shared" si="0"/>
        <v>0.52</v>
      </c>
      <c r="AO1" s="187">
        <f t="shared" si="0"/>
        <v>2.6666666666666668E-2</v>
      </c>
      <c r="AP1" s="187">
        <f t="shared" si="0"/>
        <v>6.6666666666666666E-2</v>
      </c>
      <c r="AQ1" s="187">
        <f t="shared" si="0"/>
        <v>6.6666666666666671E-3</v>
      </c>
      <c r="AR1" s="187">
        <f t="shared" si="0"/>
        <v>6.6666666666666666E-2</v>
      </c>
      <c r="AS1" s="187">
        <f t="shared" si="0"/>
        <v>1</v>
      </c>
      <c r="BA1" s="187">
        <f>BA6+BA14+BA24+BA33+BA37</f>
        <v>1</v>
      </c>
      <c r="BB1" t="s">
        <v>516</v>
      </c>
      <c r="BC1" s="276">
        <v>53000</v>
      </c>
      <c r="BD1" s="276">
        <v>100000</v>
      </c>
      <c r="BE1" s="321" t="s">
        <v>539</v>
      </c>
      <c r="BF1" s="321" t="s">
        <v>540</v>
      </c>
      <c r="BG1" s="206" t="s">
        <v>543</v>
      </c>
      <c r="BH1" s="328" t="s">
        <v>541</v>
      </c>
      <c r="BI1" s="333" t="s">
        <v>474</v>
      </c>
      <c r="BJ1" s="333" t="s">
        <v>674</v>
      </c>
      <c r="BK1" s="333" t="s">
        <v>690</v>
      </c>
      <c r="BL1" s="333" t="s">
        <v>691</v>
      </c>
      <c r="BM1" s="333" t="s">
        <v>474</v>
      </c>
      <c r="BN1" s="333" t="s">
        <v>696</v>
      </c>
      <c r="BO1" s="333" t="s">
        <v>695</v>
      </c>
      <c r="BP1" s="282">
        <f>SUM(BP2:BP9)</f>
        <v>53000</v>
      </c>
      <c r="BQ1" s="282">
        <f>SUM(BQ2:BQ9)</f>
        <v>100000</v>
      </c>
      <c r="BR1" s="278">
        <f t="shared" ref="BR1:BR9" si="1">BP1/$BP$1</f>
        <v>1</v>
      </c>
      <c r="BS1" s="278">
        <f>BQ1/$BQ$1</f>
        <v>1</v>
      </c>
      <c r="BT1" s="321" t="s">
        <v>539</v>
      </c>
      <c r="BU1" s="321" t="s">
        <v>540</v>
      </c>
      <c r="BV1" s="308" t="s">
        <v>517</v>
      </c>
      <c r="BW1" s="308" t="s">
        <v>518</v>
      </c>
      <c r="BX1" s="447" t="s">
        <v>648</v>
      </c>
      <c r="BY1" s="507" t="s">
        <v>693</v>
      </c>
      <c r="BZ1" s="308" t="s">
        <v>676</v>
      </c>
      <c r="CA1" s="308" t="s">
        <v>677</v>
      </c>
      <c r="CB1" s="507" t="s">
        <v>675</v>
      </c>
      <c r="CC1" s="308" t="s">
        <v>692</v>
      </c>
      <c r="CD1" s="508">
        <v>26500</v>
      </c>
      <c r="CF1" s="200">
        <v>10000</v>
      </c>
      <c r="CG1" s="165">
        <v>11300</v>
      </c>
      <c r="CH1" s="470">
        <f>CG1-CF1</f>
        <v>1300</v>
      </c>
      <c r="CI1" s="509">
        <f>CH1/26.5</f>
        <v>49.056603773584904</v>
      </c>
      <c r="CJ1" s="529" t="s">
        <v>694</v>
      </c>
      <c r="CK1" s="510" t="s">
        <v>681</v>
      </c>
      <c r="CM1" s="200">
        <v>10000</v>
      </c>
      <c r="CN1" s="165">
        <v>10800</v>
      </c>
      <c r="CO1" s="470">
        <f>CN1-CM1</f>
        <v>800</v>
      </c>
      <c r="CP1" s="509">
        <f>CO1/26.5</f>
        <v>30.188679245283019</v>
      </c>
    </row>
    <row r="2" spans="2:94" ht="15.5" x14ac:dyDescent="0.35">
      <c r="B2" s="114" t="s">
        <v>365</v>
      </c>
      <c r="T2" s="162" t="s">
        <v>634</v>
      </c>
      <c r="U2" s="157">
        <f>'Hảo_R&amp;D'!AK2</f>
        <v>0.77783045852077959</v>
      </c>
      <c r="W2" s="283">
        <f>'Hảo_R&amp;D'!AM2</f>
        <v>0.8081674874213195</v>
      </c>
      <c r="X2" s="132">
        <f>'[5]12. 100% vảy-&gt;hạt WSS01-iSS01'!$I$10</f>
        <v>1636.9775154230633</v>
      </c>
      <c r="Y2" s="157">
        <f>'Hảo_R&amp;D'!AO2</f>
        <v>0.85501479000000002</v>
      </c>
      <c r="AA2" s="157">
        <f>'Hảo_R&amp;D'!AQ2</f>
        <v>0.85501479000000002</v>
      </c>
      <c r="AE2" s="157">
        <f>'Hảo_R&amp;D'!AU2</f>
        <v>0.773478</v>
      </c>
      <c r="AL2" s="936"/>
      <c r="AM2" s="69">
        <f t="shared" ref="AM2:AS2" si="2">AM6+AM14+AM24+AM33</f>
        <v>4.6999999999999993</v>
      </c>
      <c r="AN2" s="69">
        <f t="shared" si="2"/>
        <v>7.8000000000000007</v>
      </c>
      <c r="AO2" s="69">
        <f t="shared" si="2"/>
        <v>0.4</v>
      </c>
      <c r="AP2" s="69">
        <f t="shared" si="2"/>
        <v>1</v>
      </c>
      <c r="AQ2" s="69">
        <f t="shared" si="2"/>
        <v>0.1</v>
      </c>
      <c r="AR2" s="69">
        <f t="shared" si="2"/>
        <v>1</v>
      </c>
      <c r="AS2" s="69">
        <f t="shared" si="2"/>
        <v>15</v>
      </c>
      <c r="BF2" s="332">
        <v>26500</v>
      </c>
      <c r="BG2" s="325">
        <f>AK17</f>
        <v>1250</v>
      </c>
      <c r="BH2" s="329">
        <f>BG2/$BG$6</f>
        <v>1.1467889908256881</v>
      </c>
      <c r="BI2" s="332">
        <f>'H_Tỷ lệ HH&amp;PS'!CC6</f>
        <v>1135.8555900863398</v>
      </c>
      <c r="BJ2" s="497">
        <f>BI2/$BI$6</f>
        <v>1.0813368684816316</v>
      </c>
      <c r="BK2" s="525">
        <f>BG2-BI2</f>
        <v>114.14440991366018</v>
      </c>
      <c r="BL2" s="166">
        <f>BK2/BG2</f>
        <v>9.1315527930928148E-2</v>
      </c>
      <c r="BM2" s="335">
        <f>'Hảo_R&amp;D (Hạt-Full stage-Mix)'!AO17/BF2*1000</f>
        <v>977.5238396395398</v>
      </c>
      <c r="BN2" s="280" t="str">
        <f>T17</f>
        <v>Hạt iSS01084G</v>
      </c>
      <c r="BO2" s="541">
        <v>1</v>
      </c>
      <c r="BP2" s="279">
        <f>BC17</f>
        <v>3533.3333333333335</v>
      </c>
      <c r="BQ2" s="279">
        <f>BD17</f>
        <v>6666.666666666667</v>
      </c>
      <c r="BR2" s="281">
        <f t="shared" si="1"/>
        <v>6.6666666666666666E-2</v>
      </c>
      <c r="BS2" s="281">
        <f t="shared" ref="BS2:BS9" si="3">BQ2/$BQ$1</f>
        <v>6.6666666666666666E-2</v>
      </c>
      <c r="BT2" s="279">
        <f>BP2/12</f>
        <v>294.44444444444446</v>
      </c>
      <c r="BU2" s="279">
        <f>BQ2/12</f>
        <v>555.55555555555554</v>
      </c>
      <c r="BV2" s="505">
        <f>'[8]ZCOR0019-03.26'!$BA$26</f>
        <v>7.882989970244117E-2</v>
      </c>
      <c r="BW2" s="199">
        <f>'[8]ZCOR0019-03.26'!$AZ$26*4/1000</f>
        <v>1764.3173999999999</v>
      </c>
      <c r="BX2" s="199">
        <f>BW2/3</f>
        <v>588.10579999999993</v>
      </c>
      <c r="BY2" s="526">
        <f>(CA2+BZ2)/CB2</f>
        <v>0.17443691164196901</v>
      </c>
      <c r="BZ2" s="280">
        <v>140</v>
      </c>
      <c r="CA2" s="280">
        <v>100</v>
      </c>
      <c r="CB2" s="279">
        <f>BI2+BZ2+CA2</f>
        <v>1375.8555900863398</v>
      </c>
      <c r="CC2" s="199">
        <f>CA2*BT2</f>
        <v>29444.444444444445</v>
      </c>
      <c r="CD2" s="279">
        <f t="shared" ref="CD2:CD10" si="4">CC2*$CD$1</f>
        <v>780277777.77777779</v>
      </c>
      <c r="CF2" s="514">
        <v>1299.3674300717448</v>
      </c>
      <c r="CG2" s="514">
        <f>CB2</f>
        <v>1375.8555900863398</v>
      </c>
      <c r="CH2" s="514">
        <f>CG2-CF2</f>
        <v>76.488160014594996</v>
      </c>
      <c r="CI2" s="515"/>
      <c r="CJ2" s="513">
        <f>CJ4+90</f>
        <v>1470</v>
      </c>
      <c r="CK2" s="514">
        <f>CJ2-CG2</f>
        <v>94.144409913660184</v>
      </c>
      <c r="CL2" s="515"/>
      <c r="CM2" s="514">
        <v>1299.3674300717448</v>
      </c>
      <c r="CN2" s="514">
        <v>1349.4282238420415</v>
      </c>
      <c r="CO2" s="514">
        <f>CN2-CM2</f>
        <v>50.060793770296641</v>
      </c>
      <c r="CP2" s="515"/>
    </row>
    <row r="3" spans="2:94" x14ac:dyDescent="0.35">
      <c r="T3" s="162" t="s">
        <v>448</v>
      </c>
      <c r="U3" s="395">
        <f>U1/U2</f>
        <v>19027.282665358136</v>
      </c>
      <c r="W3" s="131">
        <f>W1/W2</f>
        <v>20169.086549138014</v>
      </c>
      <c r="X3" s="132">
        <f>'[5]10. 100% chai-&gt;hạt WSS01-iSS01'!$I$21+'[5]10. 100% chai-&gt;hạt WSS01-iSS01'!$I$37</f>
        <v>4716.6433044810765</v>
      </c>
      <c r="Y3" s="131">
        <f>Y1/Y2</f>
        <v>17309.642094027404</v>
      </c>
      <c r="AA3" s="131">
        <f>AA1/AA2</f>
        <v>15555.28647638949</v>
      </c>
      <c r="AC3" s="169">
        <f>'[5]16.1 Rửa vảy B7'!$I$48</f>
        <v>14341.250211551116</v>
      </c>
      <c r="AE3" s="131">
        <f>AE1/AE2</f>
        <v>17195.059200132389</v>
      </c>
      <c r="AG3" s="121" t="s">
        <v>636</v>
      </c>
      <c r="AH3" s="121" t="s">
        <v>718</v>
      </c>
      <c r="AI3" s="173"/>
      <c r="AJ3" t="s">
        <v>391</v>
      </c>
      <c r="AK3" t="s">
        <v>393</v>
      </c>
      <c r="AL3" s="936"/>
      <c r="AM3" s="109">
        <f>(AM4/U2)*1.05</f>
        <v>22417.481610530391</v>
      </c>
      <c r="AN3" s="109">
        <f>(AN4/W2)*1.05</f>
        <v>35806.934144721214</v>
      </c>
      <c r="AO3" s="109">
        <f>(AO4/Y2)*1.05</f>
        <v>1735.6424910497749</v>
      </c>
      <c r="AP3" s="109">
        <f>(AP4/AA2)*1.05</f>
        <v>4339.1062276244375</v>
      </c>
      <c r="AQ3" s="109">
        <f>AQ4/AA2</f>
        <v>413.24821215470831</v>
      </c>
      <c r="AR3" s="109">
        <f>(AR4/AE2)*1.05</f>
        <v>4796.5165137211407</v>
      </c>
      <c r="AS3" s="130">
        <f>SUM(AM3:AR3)</f>
        <v>69508.929199801671</v>
      </c>
      <c r="AU3" s="109">
        <f>(AU4/U2)*1.05</f>
        <v>42297.135114208279</v>
      </c>
      <c r="AV3" s="109">
        <f>(AV4/W2)*1.05</f>
        <v>67560.253103247582</v>
      </c>
      <c r="AW3" s="109">
        <f>(AW4/Y2)*1.05</f>
        <v>3274.7971529241036</v>
      </c>
      <c r="AX3" s="109">
        <f>(AX4/AA2)*1.05</f>
        <v>8186.9928823102582</v>
      </c>
      <c r="AY3" s="109">
        <f>AY4/AA2</f>
        <v>779.71360783907221</v>
      </c>
      <c r="AZ3" s="109">
        <f>(AZ4/AE2)*1.05</f>
        <v>9050.0311579644167</v>
      </c>
      <c r="BA3" s="130">
        <f>SUM(AU3:AZ3)</f>
        <v>131148.92301849369</v>
      </c>
      <c r="BG3" s="325">
        <f>AK8</f>
        <v>1190</v>
      </c>
      <c r="BH3" s="330">
        <f>BG3/$BG$6</f>
        <v>1.0917431192660549</v>
      </c>
      <c r="BI3" s="332">
        <f>'H_Tỷ lệ HH&amp;PS'!CC8</f>
        <v>1093.1367392648076</v>
      </c>
      <c r="BJ3" s="497">
        <f t="shared" ref="BJ3:BJ9" si="5">BI3/$BI$6</f>
        <v>1.0406684342408157</v>
      </c>
      <c r="BK3" s="525">
        <f t="shared" ref="BK3:BK5" si="6">BG3-BI3</f>
        <v>96.863260735192398</v>
      </c>
      <c r="BL3" s="166">
        <f t="shared" ref="BL3:BL9" si="7">BK3/BG3</f>
        <v>8.1397698096800336E-2</v>
      </c>
      <c r="BM3" s="335">
        <f>'Hảo_R&amp;D (Hạt-Full stage-Mix)'!AO16/BF2*1000</f>
        <v>977.5238396395398</v>
      </c>
      <c r="BN3" s="1" t="str">
        <f>T16</f>
        <v>Hạt iSS01G</v>
      </c>
      <c r="BO3" s="3">
        <v>2</v>
      </c>
      <c r="BP3" s="300">
        <f>BC8+BC16</f>
        <v>7066.666666666667</v>
      </c>
      <c r="BQ3" s="300">
        <f>BD8+BD16</f>
        <v>13333.333333333334</v>
      </c>
      <c r="BR3" s="301">
        <f t="shared" si="1"/>
        <v>0.13333333333333333</v>
      </c>
      <c r="BS3" s="301">
        <f t="shared" si="3"/>
        <v>0.13333333333333333</v>
      </c>
      <c r="BT3" s="300">
        <f t="shared" ref="BT3:BU9" si="8">BP3/12</f>
        <v>588.88888888888891</v>
      </c>
      <c r="BU3" s="300">
        <f t="shared" si="8"/>
        <v>1111.1111111111111</v>
      </c>
      <c r="BV3" s="153">
        <f>'[8]ZCOR0019-03.26'!$BA$27</f>
        <v>0.23350233317759631</v>
      </c>
      <c r="BW3" s="109">
        <f>'[8]ZCOR0019-03.26'!$AZ$27/3*12/1000</f>
        <v>5226.0910000000003</v>
      </c>
      <c r="BX3" s="109">
        <f>BW3/3</f>
        <v>1742.0303333333334</v>
      </c>
      <c r="BY3" s="526">
        <f t="shared" ref="BY3:BY9" si="9">(CA3+BZ3)/CB3</f>
        <v>0.16114962741245095</v>
      </c>
      <c r="BZ3">
        <f>BZ2</f>
        <v>140</v>
      </c>
      <c r="CA3">
        <f>CA2-30</f>
        <v>70</v>
      </c>
      <c r="CB3" s="130">
        <f t="shared" ref="CB3:CB9" si="10">BI3+BZ3+CA3</f>
        <v>1303.1367392648076</v>
      </c>
      <c r="CC3" s="109">
        <f t="shared" ref="CC3:CC9" si="11">CA3*BT3</f>
        <v>41222.222222222226</v>
      </c>
      <c r="CD3" s="130">
        <f t="shared" si="4"/>
        <v>1092388888.8888891</v>
      </c>
      <c r="CF3" s="130">
        <v>1230.3200109309132</v>
      </c>
      <c r="CG3" s="130">
        <f>CB3</f>
        <v>1303.1367392648076</v>
      </c>
      <c r="CH3" s="130">
        <f t="shared" ref="CH3:CH9" si="12">CG3-CF3</f>
        <v>72.816728333894389</v>
      </c>
      <c r="CJ3" s="513">
        <f>CJ4+30</f>
        <v>1410</v>
      </c>
      <c r="CK3" s="130">
        <f t="shared" ref="CK3:CK9" si="13">CJ3-CG3</f>
        <v>106.8632607351924</v>
      </c>
      <c r="CM3" s="130">
        <v>1230.3200109309132</v>
      </c>
      <c r="CN3" s="130">
        <v>1277.9778866002357</v>
      </c>
      <c r="CO3" s="130">
        <f t="shared" ref="CO3:CO9" si="14">CN3-CM3</f>
        <v>47.657875669322493</v>
      </c>
    </row>
    <row r="4" spans="2:94" x14ac:dyDescent="0.35">
      <c r="T4" s="120" t="s">
        <v>366</v>
      </c>
      <c r="U4" s="115" t="s">
        <v>367</v>
      </c>
      <c r="W4" s="115" t="s">
        <v>374</v>
      </c>
      <c r="Y4" s="115" t="s">
        <v>375</v>
      </c>
      <c r="AA4" s="115" t="s">
        <v>382</v>
      </c>
      <c r="AC4" s="115" t="s">
        <v>384</v>
      </c>
      <c r="AE4" s="115" t="s">
        <v>385</v>
      </c>
      <c r="AG4" s="127" t="s">
        <v>376</v>
      </c>
      <c r="AH4" s="127"/>
      <c r="AJ4" s="129">
        <v>26500</v>
      </c>
      <c r="AL4" s="936"/>
      <c r="AM4" s="195">
        <f>AM1*$BC$1</f>
        <v>16606.666666666664</v>
      </c>
      <c r="AN4" s="195">
        <f t="shared" ref="AN4:AS4" si="15">AN1*$BC$1</f>
        <v>27560</v>
      </c>
      <c r="AO4" s="195">
        <f t="shared" si="15"/>
        <v>1413.3333333333335</v>
      </c>
      <c r="AP4" s="195">
        <f t="shared" si="15"/>
        <v>3533.3333333333335</v>
      </c>
      <c r="AQ4" s="195">
        <f t="shared" si="15"/>
        <v>353.33333333333337</v>
      </c>
      <c r="AR4" s="195">
        <f t="shared" si="15"/>
        <v>3533.3333333333335</v>
      </c>
      <c r="AS4" s="195">
        <f t="shared" si="15"/>
        <v>53000</v>
      </c>
      <c r="AU4" s="195">
        <f>AM1*$BD$1</f>
        <v>31333.333333333328</v>
      </c>
      <c r="AV4" s="195">
        <f t="shared" ref="AV4:BA4" si="16">AN1*$BD$1</f>
        <v>52000</v>
      </c>
      <c r="AW4" s="195">
        <f t="shared" si="16"/>
        <v>2666.666666666667</v>
      </c>
      <c r="AX4" s="195">
        <f t="shared" si="16"/>
        <v>6666.666666666667</v>
      </c>
      <c r="AY4" s="195">
        <f t="shared" si="16"/>
        <v>666.66666666666674</v>
      </c>
      <c r="AZ4" s="195">
        <f t="shared" si="16"/>
        <v>6666.666666666667</v>
      </c>
      <c r="BA4" s="195">
        <f t="shared" si="16"/>
        <v>100000</v>
      </c>
      <c r="BG4" s="325">
        <f>AK7</f>
        <v>1160</v>
      </c>
      <c r="BH4" s="330">
        <f>BG4/$BG$6</f>
        <v>1.0642201834862386</v>
      </c>
      <c r="BI4" s="332">
        <f>'H_Tỷ lệ HH&amp;PS'!CC10</f>
        <v>1071.7773138540419</v>
      </c>
      <c r="BJ4" s="497">
        <f t="shared" si="5"/>
        <v>1.0203342171204079</v>
      </c>
      <c r="BK4" s="525">
        <f t="shared" si="6"/>
        <v>88.22268614595805</v>
      </c>
      <c r="BL4" s="166">
        <f t="shared" si="7"/>
        <v>7.6054039780998325E-2</v>
      </c>
      <c r="BM4" s="335">
        <f>'Hảo_R&amp;D (Hạt-Full stage-Mix)'!AO15/26500*1000</f>
        <v>977.5238396395398</v>
      </c>
      <c r="BN4" s="181" t="str">
        <f>T15</f>
        <v>Hạt WSS01G</v>
      </c>
      <c r="BO4" s="542">
        <v>3</v>
      </c>
      <c r="BP4" s="183">
        <f>BC7+BC15+BC25+BC27</f>
        <v>14133.333333333334</v>
      </c>
      <c r="BQ4" s="183">
        <f>BD7+BD15+BD25+BD27</f>
        <v>26666.666666666668</v>
      </c>
      <c r="BR4" s="283">
        <f t="shared" si="1"/>
        <v>0.26666666666666666</v>
      </c>
      <c r="BS4" s="283">
        <f t="shared" si="3"/>
        <v>0.26666666666666666</v>
      </c>
      <c r="BT4" s="183">
        <f t="shared" si="8"/>
        <v>1177.7777777777778</v>
      </c>
      <c r="BU4" s="183">
        <f t="shared" si="8"/>
        <v>2222.2222222222222</v>
      </c>
      <c r="BV4" s="157">
        <f>'[8]ZCOR0019-03.26'!$BA$25</f>
        <v>0.12892607275073253</v>
      </c>
      <c r="BW4" s="147">
        <f>'[8]ZCOR0019-03.26'!$AZ$25/3*12/1000</f>
        <v>2885.5360000000001</v>
      </c>
      <c r="BX4" s="147">
        <f>BW4/3</f>
        <v>961.84533333333331</v>
      </c>
      <c r="BY4" s="526">
        <f>(CA4+BZ4)/CB4</f>
        <v>0.15058124592496719</v>
      </c>
      <c r="BZ4" s="181">
        <f>BZ2</f>
        <v>140</v>
      </c>
      <c r="CA4" s="181">
        <f>CA3-20</f>
        <v>50</v>
      </c>
      <c r="CB4" s="183">
        <f>BI4+BZ4+CA4</f>
        <v>1261.7773138540419</v>
      </c>
      <c r="CC4" s="147">
        <f t="shared" si="11"/>
        <v>58888.888888888891</v>
      </c>
      <c r="CD4" s="183">
        <f t="shared" si="4"/>
        <v>1560555555.5555556</v>
      </c>
      <c r="CF4" s="183">
        <v>1190.7963013604976</v>
      </c>
      <c r="CG4" s="183">
        <f>CB4</f>
        <v>1261.7773138540419</v>
      </c>
      <c r="CH4" s="183">
        <f t="shared" si="12"/>
        <v>70.981012493544313</v>
      </c>
      <c r="CI4" s="181"/>
      <c r="CJ4" s="147">
        <v>1380</v>
      </c>
      <c r="CK4" s="183">
        <f t="shared" si="13"/>
        <v>118.22268614595805</v>
      </c>
      <c r="CL4" s="181"/>
      <c r="CM4" s="183">
        <v>1190.7963013604976</v>
      </c>
      <c r="CN4" s="183">
        <v>1237.2527179793328</v>
      </c>
      <c r="CO4" s="183">
        <f t="shared" si="14"/>
        <v>46.456416618835192</v>
      </c>
      <c r="CP4" s="181"/>
    </row>
    <row r="5" spans="2:94"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c r="AI5" s="123" t="s">
        <v>372</v>
      </c>
      <c r="AJ5" s="123" t="s">
        <v>372</v>
      </c>
      <c r="AK5" t="s">
        <v>392</v>
      </c>
      <c r="AL5" s="936"/>
      <c r="AM5" s="189" t="str">
        <f>U5</f>
        <v>B6.2</v>
      </c>
      <c r="AN5" s="189" t="str">
        <f>W5</f>
        <v>B1</v>
      </c>
      <c r="AO5" s="189" t="str">
        <f>Y5</f>
        <v>B2.2</v>
      </c>
      <c r="AP5" s="189" t="str">
        <f>AA5</f>
        <v>B5</v>
      </c>
      <c r="AQ5" s="189" t="str">
        <f>AC5</f>
        <v>B7</v>
      </c>
      <c r="AR5" s="189" t="str">
        <f>AE5</f>
        <v>B4</v>
      </c>
      <c r="AS5" s="189"/>
      <c r="AU5" s="189" t="str">
        <f t="shared" ref="AU5:BA5" si="17">AM5</f>
        <v>B6.2</v>
      </c>
      <c r="AV5" s="189" t="str">
        <f t="shared" si="17"/>
        <v>B1</v>
      </c>
      <c r="AW5" s="189" t="str">
        <f t="shared" si="17"/>
        <v>B2.2</v>
      </c>
      <c r="AX5" s="189" t="str">
        <f t="shared" si="17"/>
        <v>B5</v>
      </c>
      <c r="AY5" s="189" t="str">
        <f t="shared" si="17"/>
        <v>B7</v>
      </c>
      <c r="AZ5" s="189" t="str">
        <f t="shared" si="17"/>
        <v>B4</v>
      </c>
      <c r="BA5" s="189">
        <f t="shared" si="17"/>
        <v>0</v>
      </c>
      <c r="BG5" s="325">
        <f>AK18</f>
        <v>1130</v>
      </c>
      <c r="BH5" s="330">
        <f>BG5/$BG$6</f>
        <v>1.036697247706422</v>
      </c>
      <c r="BI5" s="332">
        <f>'H_Tỷ lệ HH&amp;PS'!CC12</f>
        <v>1050.4178884432758</v>
      </c>
      <c r="BJ5" s="497">
        <f t="shared" si="5"/>
        <v>1</v>
      </c>
      <c r="BK5" s="525">
        <f t="shared" si="6"/>
        <v>79.582111556724158</v>
      </c>
      <c r="BL5" s="166">
        <f t="shared" si="7"/>
        <v>7.042664739533111E-2</v>
      </c>
      <c r="BM5" s="335">
        <f>'Hảo_R&amp;D (Hạt-Full stage-Mix)'!AO18/26500*1000</f>
        <v>977.5238396395398</v>
      </c>
      <c r="BN5" s="294" t="str">
        <f>T18</f>
        <v>Hạt WSS03G</v>
      </c>
      <c r="BO5" s="543">
        <v>4</v>
      </c>
      <c r="BP5" s="295">
        <f>BC18</f>
        <v>3533.3333333333335</v>
      </c>
      <c r="BQ5" s="295">
        <f>BD18</f>
        <v>6666.666666666667</v>
      </c>
      <c r="BR5" s="296">
        <f t="shared" si="1"/>
        <v>6.6666666666666666E-2</v>
      </c>
      <c r="BS5" s="296">
        <f t="shared" si="3"/>
        <v>6.6666666666666666E-2</v>
      </c>
      <c r="BT5" s="295">
        <f t="shared" si="8"/>
        <v>294.44444444444446</v>
      </c>
      <c r="BU5" s="295">
        <f t="shared" si="8"/>
        <v>555.55555555555554</v>
      </c>
      <c r="BV5" s="303">
        <f>'[8]ZCOR0019-03.26'!$BA$28</f>
        <v>0.30327623536668236</v>
      </c>
      <c r="BW5" s="304">
        <f>'[8]ZCOR0019-03.26'!$AZ$28/3*12/1000</f>
        <v>6787.7231999999995</v>
      </c>
      <c r="BX5" s="304">
        <f>BW5/3</f>
        <v>2262.5744</v>
      </c>
      <c r="BY5" s="526">
        <f t="shared" si="9"/>
        <v>0.15317418570805194</v>
      </c>
      <c r="BZ5" s="294">
        <f>BZ2</f>
        <v>140</v>
      </c>
      <c r="CA5" s="294">
        <f>CA4</f>
        <v>50</v>
      </c>
      <c r="CB5" s="295">
        <f t="shared" si="10"/>
        <v>1240.4178884432758</v>
      </c>
      <c r="CC5" s="304">
        <f t="shared" si="11"/>
        <v>14722.222222222223</v>
      </c>
      <c r="CD5" s="295">
        <f t="shared" si="4"/>
        <v>390138888.8888889</v>
      </c>
      <c r="CF5" s="295">
        <v>1171.2725917900818</v>
      </c>
      <c r="CG5" s="295">
        <f>CB5</f>
        <v>1240.4178884432758</v>
      </c>
      <c r="CH5" s="295">
        <f t="shared" si="12"/>
        <v>69.145296653194009</v>
      </c>
      <c r="CI5" s="294"/>
      <c r="CJ5" s="304">
        <f>CJ4-70</f>
        <v>1310</v>
      </c>
      <c r="CK5" s="295">
        <f t="shared" si="13"/>
        <v>69.582111556724158</v>
      </c>
      <c r="CL5" s="294"/>
      <c r="CM5" s="295">
        <v>1171.2725917900818</v>
      </c>
      <c r="CN5" s="295">
        <v>1216.52754935843</v>
      </c>
      <c r="CO5" s="295">
        <f t="shared" si="14"/>
        <v>45.254957568348118</v>
      </c>
      <c r="CP5" s="294"/>
    </row>
    <row r="6" spans="2:94" x14ac:dyDescent="0.35">
      <c r="T6" s="119" t="s">
        <v>390</v>
      </c>
      <c r="AG6" s="277">
        <v>0.3</v>
      </c>
      <c r="AH6" s="277"/>
      <c r="AM6" s="188">
        <f>SUM(AM7:AM11)</f>
        <v>2.5499999999999998</v>
      </c>
      <c r="AN6" s="188">
        <f t="shared" ref="AN6:AS6" si="18">SUM(AN7:AN11)</f>
        <v>2.0500000000000003</v>
      </c>
      <c r="AO6" s="188">
        <f t="shared" si="18"/>
        <v>0.15</v>
      </c>
      <c r="AP6" s="188">
        <f t="shared" si="18"/>
        <v>0.25</v>
      </c>
      <c r="AQ6" s="188">
        <f t="shared" si="18"/>
        <v>0</v>
      </c>
      <c r="AR6" s="188">
        <f t="shared" si="18"/>
        <v>0</v>
      </c>
      <c r="AS6" s="188">
        <f t="shared" si="18"/>
        <v>5</v>
      </c>
      <c r="AU6" s="188">
        <f>AM6/AM$2</f>
        <v>0.54255319148936176</v>
      </c>
      <c r="AV6" s="188">
        <f>AN6/AN$2</f>
        <v>0.26282051282051283</v>
      </c>
      <c r="AW6" s="188">
        <f t="shared" ref="AV6:BA11" si="19">AO6/AO$2</f>
        <v>0.37499999999999994</v>
      </c>
      <c r="AX6" s="188">
        <f t="shared" si="19"/>
        <v>0.25</v>
      </c>
      <c r="AY6" s="188">
        <f t="shared" si="19"/>
        <v>0</v>
      </c>
      <c r="AZ6" s="188">
        <f t="shared" si="19"/>
        <v>0</v>
      </c>
      <c r="BA6" s="188">
        <f t="shared" si="19"/>
        <v>0.33333333333333331</v>
      </c>
      <c r="BC6" s="275">
        <f>$BC$1*BA6</f>
        <v>17666.666666666664</v>
      </c>
      <c r="BD6" s="275">
        <f t="shared" ref="BD6:BD11" si="20">$BD$1*BA6</f>
        <v>33333.333333333328</v>
      </c>
      <c r="BE6" s="196">
        <f t="shared" ref="BE6:BF11" si="21">BC6/12</f>
        <v>1472.2222222222219</v>
      </c>
      <c r="BF6" s="196">
        <f t="shared" si="21"/>
        <v>2777.7777777777774</v>
      </c>
      <c r="BG6" s="326">
        <f>AK9</f>
        <v>1090</v>
      </c>
      <c r="BH6" s="331">
        <f>BG6/$BG$6</f>
        <v>1</v>
      </c>
      <c r="BI6" s="496">
        <f>BI5</f>
        <v>1050.4178884432758</v>
      </c>
      <c r="BJ6" s="497">
        <f t="shared" si="5"/>
        <v>1</v>
      </c>
      <c r="BK6" s="525">
        <f>BG6-BI6</f>
        <v>39.582111556724158</v>
      </c>
      <c r="BL6" s="166">
        <f t="shared" si="7"/>
        <v>3.6313863813508401E-2</v>
      </c>
      <c r="BM6" s="334"/>
      <c r="BN6" s="294" t="str">
        <f>T9</f>
        <v>Hạt WSS03G-PW</v>
      </c>
      <c r="BO6" s="543">
        <v>5</v>
      </c>
      <c r="BP6" s="295">
        <f>BC9+BC26</f>
        <v>7066.666666666667</v>
      </c>
      <c r="BQ6" s="295">
        <f>BD9+BD26</f>
        <v>13333.333333333334</v>
      </c>
      <c r="BR6" s="296">
        <f t="shared" si="1"/>
        <v>0.13333333333333333</v>
      </c>
      <c r="BS6" s="296">
        <f t="shared" si="3"/>
        <v>0.13333333333333333</v>
      </c>
      <c r="BT6" s="295">
        <f t="shared" si="8"/>
        <v>588.88888888888891</v>
      </c>
      <c r="BU6" s="295">
        <f t="shared" si="8"/>
        <v>1111.1111111111111</v>
      </c>
      <c r="BV6" s="294"/>
      <c r="BW6" s="304"/>
      <c r="BX6" s="294"/>
      <c r="BY6" s="526">
        <f t="shared" si="9"/>
        <v>0.15317418570805194</v>
      </c>
      <c r="BZ6" s="294">
        <f>BZ2</f>
        <v>140</v>
      </c>
      <c r="CA6" s="294">
        <f>CA5</f>
        <v>50</v>
      </c>
      <c r="CB6" s="295">
        <f t="shared" si="10"/>
        <v>1240.4178884432758</v>
      </c>
      <c r="CC6" s="304">
        <f t="shared" si="11"/>
        <v>29444.444444444445</v>
      </c>
      <c r="CD6" s="295">
        <f t="shared" si="4"/>
        <v>780277777.77777779</v>
      </c>
      <c r="CF6" s="295">
        <v>1171.2725917900818</v>
      </c>
      <c r="CG6" s="295">
        <f>CB6</f>
        <v>1240.4178884432758</v>
      </c>
      <c r="CH6" s="295">
        <f t="shared" si="12"/>
        <v>69.145296653194009</v>
      </c>
      <c r="CI6" s="294"/>
      <c r="CJ6" s="304">
        <f>CJ4-130</f>
        <v>1250</v>
      </c>
      <c r="CK6" s="295">
        <f t="shared" si="13"/>
        <v>9.5821115567241577</v>
      </c>
      <c r="CL6" s="294"/>
      <c r="CM6" s="295">
        <v>1171.2725917900818</v>
      </c>
      <c r="CN6" s="295">
        <v>1216.52754935843</v>
      </c>
      <c r="CO6" s="295">
        <f t="shared" si="14"/>
        <v>45.254957568348118</v>
      </c>
      <c r="CP6" s="294"/>
    </row>
    <row r="7" spans="2:94" s="284" customFormat="1" x14ac:dyDescent="0.35">
      <c r="S7" s="284">
        <v>3</v>
      </c>
      <c r="T7" s="285" t="s">
        <v>368</v>
      </c>
      <c r="U7" s="286">
        <v>0.1</v>
      </c>
      <c r="V7" s="287">
        <f>U7*$U$3</f>
        <v>1902.7282665358136</v>
      </c>
      <c r="W7" s="286">
        <v>0.9</v>
      </c>
      <c r="X7" s="287">
        <f>W7*$W$3</f>
        <v>18152.177894224213</v>
      </c>
      <c r="Y7" s="285"/>
      <c r="Z7" s="287">
        <f>Y7*$Y$3</f>
        <v>0</v>
      </c>
      <c r="AA7" s="285"/>
      <c r="AB7" s="285">
        <f>AA7*$AA$3</f>
        <v>0</v>
      </c>
      <c r="AC7" s="285"/>
      <c r="AD7" s="285">
        <f>AC7*$AC$3</f>
        <v>0</v>
      </c>
      <c r="AE7" s="285"/>
      <c r="AF7" s="285">
        <f>AE7*$AE$3</f>
        <v>0</v>
      </c>
      <c r="AG7" s="288">
        <f>U7+W7+Y7+AA7+AC7+AE7</f>
        <v>1</v>
      </c>
      <c r="AH7" s="288">
        <f>$U7*$U2*$W7*$W2+$Y7*$Y2+$AA7*$AA2+$AC7*$AC2+$AE7*$AE2</f>
        <v>5.6575555857226019E-2</v>
      </c>
      <c r="AI7" s="289">
        <f>V7+X7+Z7+AB7+AD7+AF7</f>
        <v>20054.906160760027</v>
      </c>
      <c r="AJ7" s="290">
        <f>$AJ$4*AK7</f>
        <v>30740000</v>
      </c>
      <c r="AK7" s="291">
        <v>1160</v>
      </c>
      <c r="AL7" s="284">
        <v>3</v>
      </c>
      <c r="AM7" s="292">
        <f>U7</f>
        <v>0.1</v>
      </c>
      <c r="AN7" s="292">
        <f>W7</f>
        <v>0.9</v>
      </c>
      <c r="AO7" s="293">
        <f>Y7</f>
        <v>0</v>
      </c>
      <c r="AP7" s="293">
        <f>AA7</f>
        <v>0</v>
      </c>
      <c r="AQ7" s="293">
        <f>AC7</f>
        <v>0</v>
      </c>
      <c r="AR7" s="293">
        <f>AE7</f>
        <v>0</v>
      </c>
      <c r="AS7" s="292">
        <f>SUM(AM7:AR7)</f>
        <v>1</v>
      </c>
      <c r="AU7" s="293">
        <f>AM7/AM$2</f>
        <v>2.1276595744680854E-2</v>
      </c>
      <c r="AV7" s="293">
        <f t="shared" si="19"/>
        <v>0.11538461538461538</v>
      </c>
      <c r="AW7" s="293">
        <f t="shared" si="19"/>
        <v>0</v>
      </c>
      <c r="AX7" s="293">
        <f t="shared" si="19"/>
        <v>0</v>
      </c>
      <c r="AY7" s="293">
        <f t="shared" si="19"/>
        <v>0</v>
      </c>
      <c r="AZ7" s="293">
        <f t="shared" si="19"/>
        <v>0</v>
      </c>
      <c r="BA7" s="293">
        <f>AS7/AS$2</f>
        <v>6.6666666666666666E-2</v>
      </c>
      <c r="BC7" s="291">
        <f t="shared" ref="BC7:BC11" si="22">$BC$1*BA7</f>
        <v>3533.3333333333335</v>
      </c>
      <c r="BD7" s="291">
        <f t="shared" si="20"/>
        <v>6666.666666666667</v>
      </c>
      <c r="BE7" s="291">
        <f t="shared" si="21"/>
        <v>294.44444444444446</v>
      </c>
      <c r="BF7" s="291">
        <f t="shared" si="21"/>
        <v>555.55555555555554</v>
      </c>
      <c r="BG7" s="291">
        <f>'H_Tỷ lệ HH&amp;PS'!CJ42</f>
        <v>1113.1088906437303</v>
      </c>
      <c r="BH7" s="448">
        <f t="shared" ref="BH7:BH9" si="23">BG7/$BG$6</f>
        <v>1.0212008171043399</v>
      </c>
      <c r="BI7" s="147">
        <f>'H_Tỷ lệ HH&amp;PS'!CC42</f>
        <v>973.10889064373032</v>
      </c>
      <c r="BJ7" s="506">
        <f t="shared" si="5"/>
        <v>0.92640167437159904</v>
      </c>
      <c r="BK7" s="525">
        <f>BG7-BI7</f>
        <v>140</v>
      </c>
      <c r="BL7" s="166">
        <f t="shared" si="7"/>
        <v>0.12577385840394784</v>
      </c>
      <c r="BM7" s="291"/>
      <c r="BN7" s="284" t="str">
        <f>T10</f>
        <v>Hạt WSS05SB (sợi ngắn)</v>
      </c>
      <c r="BO7" s="544">
        <v>6</v>
      </c>
      <c r="BP7" s="290">
        <f>BC10+BC28</f>
        <v>7066.666666666667</v>
      </c>
      <c r="BQ7" s="290">
        <f>BD10+BD28</f>
        <v>13333.333333333334</v>
      </c>
      <c r="BR7" s="293">
        <f t="shared" si="1"/>
        <v>0.13333333333333333</v>
      </c>
      <c r="BS7" s="293">
        <f t="shared" si="3"/>
        <v>0.13333333333333333</v>
      </c>
      <c r="BT7" s="290">
        <f t="shared" si="8"/>
        <v>588.88888888888891</v>
      </c>
      <c r="BU7" s="290">
        <f t="shared" si="8"/>
        <v>1111.1111111111111</v>
      </c>
      <c r="BV7" s="302">
        <f>'[8]ZCOR0019-03.26'!$BA$66</f>
        <v>8.0272039689665509E-2</v>
      </c>
      <c r="BW7" s="109">
        <f>'[8]ZCOR0019-03.26'!$AZ$66/3*12/1000</f>
        <v>1796.5944</v>
      </c>
      <c r="BX7" s="109">
        <f>BW7/3</f>
        <v>598.86479999999995</v>
      </c>
      <c r="BY7" s="526">
        <f t="shared" si="9"/>
        <v>0.16335529848356953</v>
      </c>
      <c r="BZ7" s="284">
        <f>BZ2</f>
        <v>140</v>
      </c>
      <c r="CA7" s="284">
        <f>CA6</f>
        <v>50</v>
      </c>
      <c r="CB7" s="130">
        <f t="shared" si="10"/>
        <v>1163.1088906437303</v>
      </c>
      <c r="CC7" s="109">
        <f t="shared" si="11"/>
        <v>29444.444444444445</v>
      </c>
      <c r="CD7" s="290">
        <f t="shared" si="4"/>
        <v>780277777.77777779</v>
      </c>
      <c r="CF7" s="290">
        <v>1090.8603314552352</v>
      </c>
      <c r="CG7" s="290">
        <f t="shared" ref="CG7:CG9" si="24">CB7</f>
        <v>1163.1088906437303</v>
      </c>
      <c r="CH7" s="290">
        <f t="shared" si="12"/>
        <v>72.248559188495165</v>
      </c>
      <c r="CJ7" s="291">
        <f>CJ4-130</f>
        <v>1250</v>
      </c>
      <c r="CK7" s="290">
        <f t="shared" si="13"/>
        <v>86.891109356269681</v>
      </c>
      <c r="CM7" s="290">
        <v>1090.8603314552352</v>
      </c>
      <c r="CN7" s="290">
        <v>1131.1668422337466</v>
      </c>
      <c r="CO7" s="290">
        <f t="shared" si="14"/>
        <v>40.306510778511438</v>
      </c>
    </row>
    <row r="8" spans="2:94" x14ac:dyDescent="0.35">
      <c r="S8">
        <v>2</v>
      </c>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2">
        <f t="shared" ref="AG8:AG11" si="25">U8+W8+Y8+AA8+AC8+AE8</f>
        <v>1</v>
      </c>
      <c r="AH8" s="122"/>
      <c r="AI8" s="167">
        <f>V8+X8+Z8+AB8+AD8+AF8</f>
        <v>19826.54538400405</v>
      </c>
      <c r="AJ8" s="130">
        <f>$AJ$4*AK8</f>
        <v>31535000</v>
      </c>
      <c r="AK8" s="130">
        <f>AK7+30</f>
        <v>1190</v>
      </c>
      <c r="AL8">
        <v>2</v>
      </c>
      <c r="AM8" s="69">
        <f>U8</f>
        <v>0.3</v>
      </c>
      <c r="AN8" s="69">
        <f>W8</f>
        <v>0.7</v>
      </c>
      <c r="AO8" s="110">
        <f>Y8</f>
        <v>0</v>
      </c>
      <c r="AP8" s="110">
        <f>AA8</f>
        <v>0</v>
      </c>
      <c r="AQ8" s="110">
        <f>AC8</f>
        <v>0</v>
      </c>
      <c r="AR8" s="110">
        <f>AE8</f>
        <v>0</v>
      </c>
      <c r="AS8" s="69">
        <f>SUM(AM8:AR8)</f>
        <v>1</v>
      </c>
      <c r="AU8" s="110">
        <f>AM8/AM$2</f>
        <v>6.3829787234042562E-2</v>
      </c>
      <c r="AV8" s="110">
        <f t="shared" si="19"/>
        <v>8.974358974358973E-2</v>
      </c>
      <c r="AW8" s="110">
        <f t="shared" si="19"/>
        <v>0</v>
      </c>
      <c r="AX8" s="110">
        <f t="shared" si="19"/>
        <v>0</v>
      </c>
      <c r="AY8" s="110">
        <f t="shared" si="19"/>
        <v>0</v>
      </c>
      <c r="AZ8" s="110">
        <f t="shared" si="19"/>
        <v>0</v>
      </c>
      <c r="BA8" s="110">
        <f>AS8/AS$2</f>
        <v>6.6666666666666666E-2</v>
      </c>
      <c r="BC8" s="109">
        <f t="shared" si="22"/>
        <v>3533.3333333333335</v>
      </c>
      <c r="BD8" s="109">
        <f t="shared" si="20"/>
        <v>6666.666666666667</v>
      </c>
      <c r="BE8" s="109">
        <f t="shared" si="21"/>
        <v>294.44444444444446</v>
      </c>
      <c r="BF8" s="109">
        <f t="shared" si="21"/>
        <v>555.55555555555554</v>
      </c>
      <c r="BG8" s="109">
        <f>'H_Tỷ lệ HH&amp;PS'!CJ44</f>
        <v>912.35859229517871</v>
      </c>
      <c r="BH8" s="448">
        <f t="shared" si="23"/>
        <v>0.83702623146346666</v>
      </c>
      <c r="BI8" s="147">
        <f>'H_Tỷ lệ HH&amp;PS'!CC44</f>
        <v>842.35859229517871</v>
      </c>
      <c r="BJ8" s="506">
        <f t="shared" si="5"/>
        <v>0.80192712020885137</v>
      </c>
      <c r="BK8" s="525">
        <f>BG8-BI8</f>
        <v>70</v>
      </c>
      <c r="BL8" s="166">
        <f t="shared" si="7"/>
        <v>7.6724218515774822E-2</v>
      </c>
      <c r="BM8" s="109"/>
      <c r="BN8" s="297" t="str">
        <f>T11</f>
        <v>Vảy FPET201-Out</v>
      </c>
      <c r="BO8" s="545">
        <v>7</v>
      </c>
      <c r="BP8" s="298">
        <f>BC11+BC29</f>
        <v>7066.666666666667</v>
      </c>
      <c r="BQ8" s="298">
        <f>BD11+BD29</f>
        <v>13333.333333333334</v>
      </c>
      <c r="BR8" s="299">
        <f t="shared" si="1"/>
        <v>0.13333333333333333</v>
      </c>
      <c r="BS8" s="299">
        <f t="shared" si="3"/>
        <v>0.13333333333333333</v>
      </c>
      <c r="BT8" s="298">
        <f t="shared" si="8"/>
        <v>588.88888888888891</v>
      </c>
      <c r="BU8" s="298">
        <f t="shared" si="8"/>
        <v>1111.1111111111111</v>
      </c>
      <c r="BV8" s="297"/>
      <c r="BW8" s="504"/>
      <c r="BX8" s="297"/>
      <c r="BY8" s="526">
        <f t="shared" si="9"/>
        <v>0.18404457658223658</v>
      </c>
      <c r="BZ8" s="297">
        <f>BZ2</f>
        <v>140</v>
      </c>
      <c r="CA8" s="297">
        <f>CA7</f>
        <v>50</v>
      </c>
      <c r="CB8" s="298">
        <f t="shared" si="10"/>
        <v>1032.3585922951788</v>
      </c>
      <c r="CC8" s="504">
        <f t="shared" si="11"/>
        <v>29444.444444444445</v>
      </c>
      <c r="CD8" s="298">
        <f t="shared" si="4"/>
        <v>780277777.77777779</v>
      </c>
      <c r="CF8" s="298">
        <v>957.61638694600788</v>
      </c>
      <c r="CG8" s="298">
        <f t="shared" si="24"/>
        <v>1032.3585922951788</v>
      </c>
      <c r="CH8" s="298">
        <f t="shared" si="12"/>
        <v>74.742205349170945</v>
      </c>
      <c r="CI8" s="297"/>
      <c r="CJ8" s="504">
        <f>CJ4-130-BZ2/2-127</f>
        <v>1053</v>
      </c>
      <c r="CK8" s="298">
        <f t="shared" si="13"/>
        <v>20.641407704821177</v>
      </c>
      <c r="CL8" s="297"/>
      <c r="CM8" s="298">
        <v>957.61638694600788</v>
      </c>
      <c r="CN8" s="298">
        <v>997.56536441220032</v>
      </c>
      <c r="CO8" s="298">
        <f t="shared" si="14"/>
        <v>39.948977466192446</v>
      </c>
      <c r="CP8" s="297"/>
    </row>
    <row r="9" spans="2:94" x14ac:dyDescent="0.35">
      <c r="S9">
        <v>5</v>
      </c>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25"/>
        <v>1</v>
      </c>
      <c r="AH9" s="122"/>
      <c r="AI9" s="167">
        <f>V9+X9+Z9+AB9+AD9+AF9</f>
        <v>19112.177744792491</v>
      </c>
      <c r="AJ9" s="130">
        <f>$AJ$4*AK9</f>
        <v>28885000</v>
      </c>
      <c r="AK9" s="130">
        <f>AK7-70</f>
        <v>1090</v>
      </c>
      <c r="AL9">
        <v>5</v>
      </c>
      <c r="AM9" s="69">
        <f>U9</f>
        <v>0.55000000000000004</v>
      </c>
      <c r="AN9" s="69">
        <f>W9</f>
        <v>0.3</v>
      </c>
      <c r="AO9" s="110">
        <f>Y9</f>
        <v>0.15</v>
      </c>
      <c r="AP9" s="110">
        <f>AA9</f>
        <v>0</v>
      </c>
      <c r="AQ9" s="110">
        <f>AC9</f>
        <v>0</v>
      </c>
      <c r="AR9" s="110">
        <f>AE9</f>
        <v>0</v>
      </c>
      <c r="AS9" s="69">
        <f>SUM(AM9:AR9)</f>
        <v>1</v>
      </c>
      <c r="AU9" s="110">
        <f>AM9/AM$2</f>
        <v>0.11702127659574471</v>
      </c>
      <c r="AV9" s="110">
        <f t="shared" si="19"/>
        <v>3.8461538461538457E-2</v>
      </c>
      <c r="AW9" s="110">
        <f t="shared" si="19"/>
        <v>0.37499999999999994</v>
      </c>
      <c r="AX9" s="110">
        <f t="shared" si="19"/>
        <v>0</v>
      </c>
      <c r="AY9" s="110">
        <f t="shared" si="19"/>
        <v>0</v>
      </c>
      <c r="AZ9" s="110">
        <f t="shared" si="19"/>
        <v>0</v>
      </c>
      <c r="BA9" s="110">
        <f t="shared" si="19"/>
        <v>6.6666666666666666E-2</v>
      </c>
      <c r="BC9" s="109">
        <f t="shared" si="22"/>
        <v>3533.3333333333335</v>
      </c>
      <c r="BD9" s="109">
        <f t="shared" si="20"/>
        <v>6666.666666666667</v>
      </c>
      <c r="BE9" s="109">
        <f t="shared" si="21"/>
        <v>294.44444444444446</v>
      </c>
      <c r="BF9" s="109">
        <f t="shared" si="21"/>
        <v>555.55555555555554</v>
      </c>
      <c r="BG9" s="109">
        <v>800</v>
      </c>
      <c r="BH9" s="448">
        <f t="shared" si="23"/>
        <v>0.73394495412844041</v>
      </c>
      <c r="BI9" s="147">
        <f>'H_Tỷ lệ HH&amp;PS'!AQ69</f>
        <v>886.59604535253879</v>
      </c>
      <c r="BJ9" s="506">
        <f t="shared" si="5"/>
        <v>0.84404126691566361</v>
      </c>
      <c r="BK9" s="525">
        <f>BG9-BI9</f>
        <v>-86.596045352538795</v>
      </c>
      <c r="BL9" s="166">
        <f t="shared" si="7"/>
        <v>-0.1082450566906735</v>
      </c>
      <c r="BM9" s="109"/>
      <c r="BN9" t="str">
        <f>T33</f>
        <v>Dây Đai</v>
      </c>
      <c r="BO9" s="65">
        <v>8</v>
      </c>
      <c r="BP9" s="130">
        <f>BC33</f>
        <v>3533.3333333333335</v>
      </c>
      <c r="BQ9" s="130">
        <f>BD33</f>
        <v>6666.666666666667</v>
      </c>
      <c r="BR9" s="110">
        <f t="shared" si="1"/>
        <v>6.6666666666666666E-2</v>
      </c>
      <c r="BS9" s="110">
        <f t="shared" si="3"/>
        <v>6.6666666666666666E-2</v>
      </c>
      <c r="BT9" s="130">
        <f t="shared" si="8"/>
        <v>294.44444444444446</v>
      </c>
      <c r="BU9" s="130">
        <f t="shared" si="8"/>
        <v>555.55555555555554</v>
      </c>
      <c r="BW9" s="109"/>
      <c r="BY9" s="526">
        <f t="shared" si="9"/>
        <v>0.17648216415079176</v>
      </c>
      <c r="BZ9">
        <f>BZ2</f>
        <v>140</v>
      </c>
      <c r="CA9">
        <v>50</v>
      </c>
      <c r="CB9" s="130">
        <f t="shared" si="10"/>
        <v>1076.5960453525388</v>
      </c>
      <c r="CC9" s="109">
        <f t="shared" si="11"/>
        <v>14722.222222222223</v>
      </c>
      <c r="CD9" s="130">
        <f t="shared" si="4"/>
        <v>390138888.8888889</v>
      </c>
      <c r="CF9" s="290">
        <v>893.61542527672191</v>
      </c>
      <c r="CG9" s="290">
        <f t="shared" si="24"/>
        <v>1076.5960453525388</v>
      </c>
      <c r="CH9" s="290">
        <f t="shared" si="12"/>
        <v>182.98062007581689</v>
      </c>
      <c r="CI9" s="284"/>
      <c r="CJ9" s="291">
        <f>CJ4-130</f>
        <v>1250</v>
      </c>
      <c r="CK9" s="290">
        <f t="shared" si="13"/>
        <v>173.40395464746121</v>
      </c>
      <c r="CL9" s="284"/>
      <c r="CM9" s="290">
        <v>893.61542527672191</v>
      </c>
      <c r="CN9" s="290">
        <v>922.98159948823559</v>
      </c>
      <c r="CO9" s="290">
        <f t="shared" si="14"/>
        <v>29.36617421151368</v>
      </c>
      <c r="CP9" s="284"/>
    </row>
    <row r="10" spans="2:94" x14ac:dyDescent="0.35">
      <c r="S10">
        <v>6</v>
      </c>
      <c r="T10" s="117" t="s">
        <v>371</v>
      </c>
      <c r="U10" s="118">
        <v>0.95</v>
      </c>
      <c r="V10" s="134">
        <f>U10*$U$3</f>
        <v>18075.918532090229</v>
      </c>
      <c r="W10" s="261"/>
      <c r="X10" s="263">
        <f>W10*$W$3</f>
        <v>0</v>
      </c>
      <c r="Y10" s="117"/>
      <c r="Z10" s="134">
        <f>Y10*$Y$3</f>
        <v>0</v>
      </c>
      <c r="AA10" s="261">
        <v>0.05</v>
      </c>
      <c r="AB10" s="262">
        <f>AA10*$AA$3</f>
        <v>777.76432381947461</v>
      </c>
      <c r="AC10" s="117"/>
      <c r="AD10" s="117">
        <f>AC10*$AC$3</f>
        <v>0</v>
      </c>
      <c r="AE10" s="117"/>
      <c r="AF10" s="117">
        <f>AE10*$AE$3</f>
        <v>0</v>
      </c>
      <c r="AG10" s="122">
        <f t="shared" si="25"/>
        <v>1</v>
      </c>
      <c r="AH10" s="122"/>
      <c r="AI10" s="167">
        <f>V10+X10+Z10+AB10+AD10+AF10</f>
        <v>18853.682855909705</v>
      </c>
      <c r="AJ10" s="130">
        <f>$AJ$4*AK10</f>
        <v>19080000</v>
      </c>
      <c r="AK10" s="130">
        <v>720</v>
      </c>
      <c r="AL10">
        <v>6</v>
      </c>
      <c r="AM10" s="69">
        <f>U10</f>
        <v>0.95</v>
      </c>
      <c r="AN10" s="69">
        <f>W10</f>
        <v>0</v>
      </c>
      <c r="AO10" s="110">
        <f>Y10</f>
        <v>0</v>
      </c>
      <c r="AP10" s="110">
        <f>AA10</f>
        <v>0.05</v>
      </c>
      <c r="AQ10" s="110">
        <f>AC10</f>
        <v>0</v>
      </c>
      <c r="AR10" s="110">
        <f>AE10</f>
        <v>0</v>
      </c>
      <c r="AS10" s="69">
        <f>SUM(AM10:AR10)</f>
        <v>1</v>
      </c>
      <c r="AU10" s="110">
        <f>AM10/AM$2</f>
        <v>0.2021276595744681</v>
      </c>
      <c r="AV10" s="110">
        <f t="shared" si="19"/>
        <v>0</v>
      </c>
      <c r="AW10" s="110">
        <f t="shared" si="19"/>
        <v>0</v>
      </c>
      <c r="AX10" s="110">
        <f t="shared" si="19"/>
        <v>0.05</v>
      </c>
      <c r="AY10" s="110">
        <f t="shared" si="19"/>
        <v>0</v>
      </c>
      <c r="AZ10" s="110">
        <f t="shared" si="19"/>
        <v>0</v>
      </c>
      <c r="BA10" s="110">
        <f t="shared" si="19"/>
        <v>6.6666666666666666E-2</v>
      </c>
      <c r="BC10" s="109">
        <f t="shared" si="22"/>
        <v>3533.3333333333335</v>
      </c>
      <c r="BD10" s="109">
        <f t="shared" si="20"/>
        <v>6666.666666666667</v>
      </c>
      <c r="BE10" s="109">
        <f t="shared" si="21"/>
        <v>294.44444444444446</v>
      </c>
      <c r="BF10" s="109">
        <f t="shared" si="21"/>
        <v>555.55555555555554</v>
      </c>
      <c r="BG10" s="109"/>
      <c r="BH10" s="109"/>
      <c r="BI10" s="109"/>
      <c r="BJ10" s="109"/>
      <c r="BK10" s="527">
        <f>AVERAGE(BK2:BK9)</f>
        <v>67.724816819465019</v>
      </c>
      <c r="BL10" s="528">
        <f>AVERAGE(BL2:BL9)</f>
        <v>5.622009965582693E-2</v>
      </c>
      <c r="BM10" s="109"/>
      <c r="BT10" s="205">
        <f>SUM(BT2:BT9)</f>
        <v>4416.6666666666661</v>
      </c>
      <c r="BU10" s="205">
        <f>SUM(BU2:BU9)</f>
        <v>8333.3333333333339</v>
      </c>
      <c r="BW10" s="205">
        <f>SUM(BW2:BW9)</f>
        <v>18460.262000000002</v>
      </c>
      <c r="BX10" s="205">
        <f>SUM(BX2:BX9)</f>
        <v>6153.4206666666669</v>
      </c>
      <c r="BY10" s="548">
        <f>AVERAGE(BY2:BY9)</f>
        <v>0.16454977445151109</v>
      </c>
      <c r="BZ10" s="553">
        <f>CA10/CB10</f>
        <v>4.8485253880925186E-2</v>
      </c>
      <c r="CA10" s="524">
        <f>AVERAGE(CA2:CA9)</f>
        <v>58.75</v>
      </c>
      <c r="CB10" s="524">
        <f>AVERAGE(CB2:CB9)</f>
        <v>1211.7086185478986</v>
      </c>
      <c r="CC10" s="524">
        <f>SUM(CC2:CC9)</f>
        <v>247333.33333333331</v>
      </c>
      <c r="CD10" s="524">
        <f t="shared" si="4"/>
        <v>6554333333.333333</v>
      </c>
    </row>
    <row r="11" spans="2:94" x14ac:dyDescent="0.35">
      <c r="S11">
        <v>7</v>
      </c>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25"/>
        <v>1</v>
      </c>
      <c r="AH11" s="122"/>
      <c r="AI11" s="167">
        <f>V11+X11+Z11+AB11+AD11+AF11</f>
        <v>18504.154010131388</v>
      </c>
      <c r="AJ11" s="130">
        <f>$AJ$4*AK11</f>
        <v>20140000</v>
      </c>
      <c r="AK11" s="130">
        <v>760</v>
      </c>
      <c r="AL11">
        <v>7</v>
      </c>
      <c r="AM11" s="69">
        <f>U11</f>
        <v>0.65</v>
      </c>
      <c r="AN11" s="69">
        <f>W11</f>
        <v>0.15</v>
      </c>
      <c r="AO11" s="110">
        <f>Y11</f>
        <v>0</v>
      </c>
      <c r="AP11" s="110">
        <f>AA11</f>
        <v>0.2</v>
      </c>
      <c r="AQ11" s="110">
        <f>AC11</f>
        <v>0</v>
      </c>
      <c r="AR11" s="110">
        <f>AE11</f>
        <v>0</v>
      </c>
      <c r="AS11" s="69">
        <f>SUM(AM11:AR11)</f>
        <v>1</v>
      </c>
      <c r="AU11" s="110">
        <f>AM11/AM$2</f>
        <v>0.13829787234042556</v>
      </c>
      <c r="AV11" s="110">
        <f t="shared" si="19"/>
        <v>1.9230769230769228E-2</v>
      </c>
      <c r="AW11" s="110">
        <f t="shared" si="19"/>
        <v>0</v>
      </c>
      <c r="AX11" s="110">
        <f t="shared" si="19"/>
        <v>0.2</v>
      </c>
      <c r="AY11" s="110">
        <f t="shared" si="19"/>
        <v>0</v>
      </c>
      <c r="AZ11" s="110">
        <f t="shared" si="19"/>
        <v>0</v>
      </c>
      <c r="BA11" s="110">
        <f t="shared" si="19"/>
        <v>6.6666666666666666E-2</v>
      </c>
      <c r="BC11" s="109">
        <f t="shared" si="22"/>
        <v>3533.3333333333335</v>
      </c>
      <c r="BD11" s="109">
        <f t="shared" si="20"/>
        <v>6666.666666666667</v>
      </c>
      <c r="BE11" s="109">
        <f t="shared" si="21"/>
        <v>294.44444444444446</v>
      </c>
      <c r="BF11" s="109">
        <f t="shared" si="21"/>
        <v>555.55555555555554</v>
      </c>
      <c r="BG11" s="109"/>
      <c r="BH11" s="109"/>
      <c r="BI11" s="109"/>
      <c r="BJ11" s="109"/>
      <c r="BK11" s="109"/>
      <c r="BL11" s="109"/>
      <c r="BM11" s="109"/>
      <c r="BY11" s="526">
        <f>+SUMPRODUCT(BR2:BR9,BY2:BY9)</f>
        <v>0.16199104143821996</v>
      </c>
      <c r="BZ11" s="153">
        <f>CA11/CB11</f>
        <v>4.6108186380744487E-2</v>
      </c>
      <c r="CA11" s="109">
        <f>SUMPRODUCT(BR2:BR9,CA2:CA9)</f>
        <v>56</v>
      </c>
      <c r="CB11" s="109">
        <f>+SUMPRODUCT(BR2:BR9,CB2:CB9)</f>
        <v>1214.5348667061537</v>
      </c>
    </row>
    <row r="12" spans="2:94" x14ac:dyDescent="0.35">
      <c r="AI12" s="121">
        <v>20601</v>
      </c>
      <c r="BO12" s="549" t="s">
        <v>711</v>
      </c>
    </row>
    <row r="13" spans="2:94" x14ac:dyDescent="0.35">
      <c r="AI13" s="196">
        <f>AI12-AI11</f>
        <v>2096.8459898686124</v>
      </c>
      <c r="BN13" t="s">
        <v>706</v>
      </c>
      <c r="BO13" s="65">
        <v>100</v>
      </c>
    </row>
    <row r="14" spans="2:94" x14ac:dyDescent="0.35">
      <c r="T14" s="119" t="s">
        <v>387</v>
      </c>
      <c r="W14" s="116" t="s">
        <v>48</v>
      </c>
      <c r="AG14" s="126">
        <v>0.53</v>
      </c>
      <c r="AH14" s="126"/>
      <c r="AM14" s="188">
        <f t="shared" ref="AM14:AS14" si="26">SUM(AM15:AM18)</f>
        <v>0</v>
      </c>
      <c r="AN14" s="188">
        <f t="shared" si="26"/>
        <v>4</v>
      </c>
      <c r="AO14" s="188">
        <f t="shared" si="26"/>
        <v>0</v>
      </c>
      <c r="AP14" s="188">
        <f t="shared" si="26"/>
        <v>0</v>
      </c>
      <c r="AQ14" s="188">
        <f t="shared" si="26"/>
        <v>0</v>
      </c>
      <c r="AR14" s="188">
        <f t="shared" si="26"/>
        <v>0</v>
      </c>
      <c r="AS14" s="188">
        <f t="shared" si="26"/>
        <v>4</v>
      </c>
      <c r="AU14" s="188">
        <f t="shared" ref="AU14:BA18" si="27">AM14/AM$2</f>
        <v>0</v>
      </c>
      <c r="AV14" s="188">
        <f t="shared" si="27"/>
        <v>0.51282051282051277</v>
      </c>
      <c r="AW14" s="188">
        <f t="shared" si="27"/>
        <v>0</v>
      </c>
      <c r="AX14" s="188">
        <f t="shared" si="27"/>
        <v>0</v>
      </c>
      <c r="AY14" s="188">
        <f t="shared" si="27"/>
        <v>0</v>
      </c>
      <c r="AZ14" s="188">
        <f t="shared" si="27"/>
        <v>0</v>
      </c>
      <c r="BA14" s="188">
        <f t="shared" si="27"/>
        <v>0.26666666666666666</v>
      </c>
      <c r="BC14" s="275">
        <f>$BC$1*BA14</f>
        <v>14133.333333333334</v>
      </c>
      <c r="BD14" s="275">
        <f>$BD$1*BA14</f>
        <v>26666.666666666668</v>
      </c>
      <c r="BE14" s="196">
        <f t="shared" ref="BE14:BF18" si="28">BC14/12</f>
        <v>1177.7777777777778</v>
      </c>
      <c r="BF14" s="196">
        <f t="shared" si="28"/>
        <v>2222.2222222222222</v>
      </c>
      <c r="BG14" s="275"/>
      <c r="BH14" s="275"/>
      <c r="BI14" s="275"/>
      <c r="BJ14" s="275"/>
      <c r="BK14" s="275"/>
      <c r="BL14" s="275"/>
      <c r="BM14" s="275"/>
      <c r="BN14" t="s">
        <v>707</v>
      </c>
      <c r="BO14" s="65">
        <v>90</v>
      </c>
    </row>
    <row r="15" spans="2:94" x14ac:dyDescent="0.35">
      <c r="S15">
        <v>3</v>
      </c>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G18" si="29">U15+W15+Y15+AA15+AC15+AE15</f>
        <v>1</v>
      </c>
      <c r="AH15" s="122"/>
      <c r="AI15" s="167">
        <f>V15+X15+Z15+AB15+AD15+AF15</f>
        <v>20169.086549138014</v>
      </c>
      <c r="AJ15" s="130">
        <f>$AJ$4*AK15</f>
        <v>30740000</v>
      </c>
      <c r="AK15" s="130">
        <f>AK7</f>
        <v>1160</v>
      </c>
      <c r="AL15">
        <v>3</v>
      </c>
      <c r="AM15" s="69">
        <f>U15</f>
        <v>0</v>
      </c>
      <c r="AN15" s="69">
        <f>W15</f>
        <v>1</v>
      </c>
      <c r="AO15" s="110">
        <f>Y15</f>
        <v>0</v>
      </c>
      <c r="AP15" s="110">
        <f>AA15</f>
        <v>0</v>
      </c>
      <c r="AQ15" s="110">
        <f>AC15</f>
        <v>0</v>
      </c>
      <c r="AR15" s="110">
        <f>AE15</f>
        <v>0</v>
      </c>
      <c r="AS15" s="69">
        <f>SUM(AM15:AR15)</f>
        <v>1</v>
      </c>
      <c r="AU15" s="110">
        <f t="shared" si="27"/>
        <v>0</v>
      </c>
      <c r="AV15" s="110">
        <f t="shared" si="27"/>
        <v>0.12820512820512819</v>
      </c>
      <c r="AW15" s="110">
        <f t="shared" si="27"/>
        <v>0</v>
      </c>
      <c r="AX15" s="110">
        <f t="shared" si="27"/>
        <v>0</v>
      </c>
      <c r="AY15" s="110">
        <f t="shared" si="27"/>
        <v>0</v>
      </c>
      <c r="AZ15" s="110">
        <f t="shared" si="27"/>
        <v>0</v>
      </c>
      <c r="BA15" s="110">
        <f t="shared" si="27"/>
        <v>6.6666666666666666E-2</v>
      </c>
      <c r="BC15" s="109">
        <f>$BC$1*BA15</f>
        <v>3533.3333333333335</v>
      </c>
      <c r="BD15" s="109">
        <f>$BD$1*BA15</f>
        <v>6666.666666666667</v>
      </c>
      <c r="BE15" s="291">
        <f t="shared" si="28"/>
        <v>294.44444444444446</v>
      </c>
      <c r="BF15" s="291">
        <f t="shared" si="28"/>
        <v>555.55555555555554</v>
      </c>
      <c r="BG15" s="109"/>
      <c r="BH15" s="109"/>
      <c r="BI15" s="109"/>
      <c r="BJ15" s="109"/>
      <c r="BK15" s="109"/>
      <c r="BL15" s="109"/>
      <c r="BM15" s="109"/>
      <c r="BN15" t="s">
        <v>708</v>
      </c>
      <c r="BO15" s="65">
        <v>80</v>
      </c>
    </row>
    <row r="16" spans="2:94" x14ac:dyDescent="0.35">
      <c r="S16">
        <v>2</v>
      </c>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29"/>
        <v>1</v>
      </c>
      <c r="AH16" s="122"/>
      <c r="AI16" s="167">
        <f>V16+X16+Z16+AB16+AD16+AF16</f>
        <v>20169.086549138014</v>
      </c>
      <c r="AJ16" s="130">
        <f>$AJ$4*AK16</f>
        <v>31535000</v>
      </c>
      <c r="AK16" s="130">
        <f>AK7+30</f>
        <v>1190</v>
      </c>
      <c r="AL16">
        <v>2</v>
      </c>
      <c r="AM16" s="69">
        <f>U16</f>
        <v>0</v>
      </c>
      <c r="AN16" s="69">
        <f>W16</f>
        <v>1</v>
      </c>
      <c r="AO16" s="110">
        <f>Y16</f>
        <v>0</v>
      </c>
      <c r="AP16" s="110">
        <f>AA16</f>
        <v>0</v>
      </c>
      <c r="AQ16" s="110">
        <f>AC16</f>
        <v>0</v>
      </c>
      <c r="AR16" s="110">
        <f>AE16</f>
        <v>0</v>
      </c>
      <c r="AS16" s="69">
        <f>SUM(AM16:AR16)</f>
        <v>1</v>
      </c>
      <c r="AU16" s="110">
        <f t="shared" si="27"/>
        <v>0</v>
      </c>
      <c r="AV16" s="110">
        <f t="shared" si="27"/>
        <v>0.12820512820512819</v>
      </c>
      <c r="AW16" s="110">
        <f t="shared" si="27"/>
        <v>0</v>
      </c>
      <c r="AX16" s="110">
        <f t="shared" si="27"/>
        <v>0</v>
      </c>
      <c r="AY16" s="110">
        <f t="shared" si="27"/>
        <v>0</v>
      </c>
      <c r="AZ16" s="110">
        <f t="shared" si="27"/>
        <v>0</v>
      </c>
      <c r="BA16" s="110">
        <f t="shared" si="27"/>
        <v>6.6666666666666666E-2</v>
      </c>
      <c r="BC16" s="109">
        <f>$BC$1*BA16</f>
        <v>3533.3333333333335</v>
      </c>
      <c r="BD16" s="109">
        <f>$BD$1*BA16</f>
        <v>6666.666666666667</v>
      </c>
      <c r="BE16" s="109">
        <f t="shared" si="28"/>
        <v>294.44444444444446</v>
      </c>
      <c r="BF16" s="109">
        <f t="shared" si="28"/>
        <v>555.55555555555554</v>
      </c>
      <c r="BG16" s="109"/>
      <c r="BH16" s="109"/>
      <c r="BI16" s="109"/>
      <c r="BJ16" s="109"/>
      <c r="BK16" s="109"/>
      <c r="BL16" s="109"/>
      <c r="BM16" s="109"/>
      <c r="BN16" t="s">
        <v>709</v>
      </c>
      <c r="BO16" s="65">
        <v>70</v>
      </c>
    </row>
    <row r="17" spans="19:88" x14ac:dyDescent="0.35">
      <c r="S17">
        <v>1</v>
      </c>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29"/>
        <v>1</v>
      </c>
      <c r="AH17" s="122"/>
      <c r="AI17" s="167">
        <f>V17+X17+Z17+AB17+AD17+AF17</f>
        <v>20169.086549138014</v>
      </c>
      <c r="AJ17" s="130">
        <f>$AJ$4*AK17</f>
        <v>33125000</v>
      </c>
      <c r="AK17" s="130">
        <f>AK7+90</f>
        <v>1250</v>
      </c>
      <c r="AL17">
        <v>1</v>
      </c>
      <c r="AM17" s="69">
        <f>U17</f>
        <v>0</v>
      </c>
      <c r="AN17" s="69">
        <f>W17</f>
        <v>1</v>
      </c>
      <c r="AO17" s="110">
        <f>Y17</f>
        <v>0</v>
      </c>
      <c r="AP17" s="110">
        <f>AA17</f>
        <v>0</v>
      </c>
      <c r="AQ17" s="110">
        <f>AC17</f>
        <v>0</v>
      </c>
      <c r="AR17" s="110">
        <f>AE17</f>
        <v>0</v>
      </c>
      <c r="AS17" s="69">
        <f>SUM(AM17:AR17)</f>
        <v>1</v>
      </c>
      <c r="AU17" s="110">
        <f t="shared" si="27"/>
        <v>0</v>
      </c>
      <c r="AV17" s="110">
        <f t="shared" si="27"/>
        <v>0.12820512820512819</v>
      </c>
      <c r="AW17" s="110">
        <f t="shared" si="27"/>
        <v>0</v>
      </c>
      <c r="AX17" s="110">
        <f t="shared" si="27"/>
        <v>0</v>
      </c>
      <c r="AY17" s="110">
        <f t="shared" si="27"/>
        <v>0</v>
      </c>
      <c r="AZ17" s="110">
        <f t="shared" si="27"/>
        <v>0</v>
      </c>
      <c r="BA17" s="110">
        <f t="shared" si="27"/>
        <v>6.6666666666666666E-2</v>
      </c>
      <c r="BC17" s="199">
        <f>$BC$1*BA17</f>
        <v>3533.3333333333335</v>
      </c>
      <c r="BD17" s="199">
        <f>$BD$1*BA17</f>
        <v>6666.666666666667</v>
      </c>
      <c r="BE17" s="199">
        <f t="shared" si="28"/>
        <v>294.44444444444446</v>
      </c>
      <c r="BF17" s="199">
        <f t="shared" si="28"/>
        <v>555.55555555555554</v>
      </c>
      <c r="BG17" s="199"/>
      <c r="BH17" s="199"/>
      <c r="BI17" s="199"/>
      <c r="BJ17" s="199"/>
      <c r="BK17" s="199"/>
      <c r="BL17" s="199"/>
      <c r="BM17" s="199"/>
      <c r="BN17" t="s">
        <v>710</v>
      </c>
      <c r="BO17" s="65">
        <v>50</v>
      </c>
    </row>
    <row r="18" spans="19:88" x14ac:dyDescent="0.35">
      <c r="S18">
        <v>4</v>
      </c>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29"/>
        <v>1</v>
      </c>
      <c r="AH18" s="122"/>
      <c r="AI18" s="167">
        <f>V18+X18+Z18+AB18+AD18+AF18</f>
        <v>20169.086549138014</v>
      </c>
      <c r="AJ18" s="130">
        <f>$AJ$4*AK18</f>
        <v>29945000</v>
      </c>
      <c r="AK18" s="130">
        <f>AK7-30</f>
        <v>1130</v>
      </c>
      <c r="AL18">
        <v>4</v>
      </c>
      <c r="AM18" s="69">
        <f>U18</f>
        <v>0</v>
      </c>
      <c r="AN18" s="69">
        <f>W18</f>
        <v>1</v>
      </c>
      <c r="AO18" s="110">
        <f>Y18</f>
        <v>0</v>
      </c>
      <c r="AP18" s="110">
        <f>AA18</f>
        <v>0</v>
      </c>
      <c r="AQ18" s="110">
        <f>AC18</f>
        <v>0</v>
      </c>
      <c r="AR18" s="110">
        <f>AE18</f>
        <v>0</v>
      </c>
      <c r="AS18" s="69">
        <f>SUM(AM18:AR18)</f>
        <v>1</v>
      </c>
      <c r="AU18" s="110">
        <f t="shared" si="27"/>
        <v>0</v>
      </c>
      <c r="AV18" s="110">
        <f t="shared" si="27"/>
        <v>0.12820512820512819</v>
      </c>
      <c r="AW18" s="110">
        <f t="shared" si="27"/>
        <v>0</v>
      </c>
      <c r="AX18" s="110">
        <f t="shared" si="27"/>
        <v>0</v>
      </c>
      <c r="AY18" s="110">
        <f t="shared" si="27"/>
        <v>0</v>
      </c>
      <c r="AZ18" s="110">
        <f t="shared" si="27"/>
        <v>0</v>
      </c>
      <c r="BA18" s="110">
        <f t="shared" si="27"/>
        <v>6.6666666666666666E-2</v>
      </c>
      <c r="BC18" s="109">
        <f>$BC$1*BA18</f>
        <v>3533.3333333333335</v>
      </c>
      <c r="BD18" s="109">
        <f>$BD$1*BA18</f>
        <v>6666.666666666667</v>
      </c>
      <c r="BE18" s="109">
        <f t="shared" si="28"/>
        <v>294.44444444444446</v>
      </c>
      <c r="BF18" s="109">
        <f t="shared" si="28"/>
        <v>555.55555555555554</v>
      </c>
      <c r="BG18" s="109"/>
      <c r="BH18" s="109"/>
      <c r="BI18" s="109"/>
      <c r="BJ18" s="109"/>
      <c r="BK18" s="109"/>
      <c r="BL18" s="109"/>
      <c r="BM18" s="109"/>
    </row>
    <row r="19" spans="19:88" x14ac:dyDescent="0.35">
      <c r="BC19" s="109"/>
      <c r="BD19" s="109"/>
      <c r="BE19" s="109"/>
      <c r="BF19" s="109"/>
      <c r="BG19" s="109"/>
      <c r="BH19" s="109"/>
      <c r="BI19" s="147">
        <f>'H_Tỷ lệ HH&amp;PS'!CC39</f>
        <v>968.66818397975226</v>
      </c>
      <c r="BJ19" s="109"/>
      <c r="BK19" s="109"/>
      <c r="BL19" s="109"/>
      <c r="BM19" s="109"/>
      <c r="BN19" t="str">
        <f>'H_Tỷ lệ HH&amp;PS'!BU39</f>
        <v>Hạt WSS03NC</v>
      </c>
      <c r="BY19" s="526">
        <f t="shared" ref="BY19:BY22" si="30">(CA19+BZ19)/CB19</f>
        <v>0.16398137329308099</v>
      </c>
      <c r="BZ19">
        <f>BZ2</f>
        <v>140</v>
      </c>
      <c r="CA19">
        <f>CA9</f>
        <v>50</v>
      </c>
      <c r="CB19" s="130">
        <f t="shared" ref="CB19:CB22" si="31">BI19+BZ19+CA19</f>
        <v>1158.6681839797523</v>
      </c>
      <c r="CJ19" s="130">
        <f>CJ4-130</f>
        <v>1250</v>
      </c>
    </row>
    <row r="20" spans="19:88" x14ac:dyDescent="0.35">
      <c r="BI20" s="147">
        <f>'H_Tỷ lệ HH&amp;PS'!CC40</f>
        <v>972.88892791204978</v>
      </c>
      <c r="BN20" t="str">
        <f>'H_Tỷ lệ HH&amp;PS'!BU40</f>
        <v>Hạt WSS04NC</v>
      </c>
      <c r="BY20" s="526">
        <f t="shared" si="30"/>
        <v>0.16338619746009814</v>
      </c>
      <c r="BZ20">
        <f t="shared" ref="BZ20:BZ25" si="32">BZ3</f>
        <v>140</v>
      </c>
      <c r="CA20">
        <f>CA19</f>
        <v>50</v>
      </c>
      <c r="CB20" s="130">
        <f t="shared" si="31"/>
        <v>1162.8889279120499</v>
      </c>
      <c r="CJ20" s="130">
        <f>CJ4-170</f>
        <v>1210</v>
      </c>
    </row>
    <row r="21" spans="19:88" x14ac:dyDescent="0.35">
      <c r="BI21" s="147">
        <f>'H_Tỷ lệ HH&amp;PS'!CC41</f>
        <v>1020.2442243302686</v>
      </c>
      <c r="BM21" t="str">
        <f>'H_Tỷ lệ HH&amp;PS'!BS41</f>
        <v>Hyosung</v>
      </c>
      <c r="BN21" t="str">
        <f>'H_Tỷ lệ HH&amp;PS'!BU41</f>
        <v>Hạt WSS04SB</v>
      </c>
      <c r="BY21" s="526">
        <f t="shared" si="30"/>
        <v>0.15699310616842085</v>
      </c>
      <c r="BZ21">
        <f t="shared" si="32"/>
        <v>140</v>
      </c>
      <c r="CA21">
        <f t="shared" ref="CA21:CA22" si="33">CA20</f>
        <v>50</v>
      </c>
      <c r="CB21" s="130">
        <f t="shared" si="31"/>
        <v>1210.2442243302685</v>
      </c>
      <c r="CJ21" s="130">
        <f>CJ4-130</f>
        <v>1250</v>
      </c>
    </row>
    <row r="22" spans="19:88" x14ac:dyDescent="0.35">
      <c r="BI22" s="147">
        <f>'H_Tỷ lệ HH&amp;PS'!CC42</f>
        <v>973.10889064373032</v>
      </c>
      <c r="BN22" t="str">
        <f>'H_Tỷ lệ HH&amp;PS'!BU42</f>
        <v>Hạt WSS05SB (sợi ngắn)</v>
      </c>
      <c r="BY22" s="526">
        <f t="shared" si="30"/>
        <v>0.16335529848356953</v>
      </c>
      <c r="BZ22">
        <f t="shared" si="32"/>
        <v>140</v>
      </c>
      <c r="CA22">
        <f t="shared" si="33"/>
        <v>50</v>
      </c>
      <c r="CB22" s="130">
        <f t="shared" si="31"/>
        <v>1163.1088906437303</v>
      </c>
      <c r="CJ22" s="130">
        <f>CJ4-170</f>
        <v>1210</v>
      </c>
    </row>
    <row r="24" spans="19:88" x14ac:dyDescent="0.35">
      <c r="T24" s="119" t="s">
        <v>388</v>
      </c>
      <c r="AG24" s="126">
        <v>0.05</v>
      </c>
      <c r="AH24" s="126"/>
      <c r="AM24" s="188">
        <f>SUM(AM25:AM29)</f>
        <v>2.15</v>
      </c>
      <c r="AN24" s="188">
        <f t="shared" ref="AN24:AS24" si="34">SUM(AN25:AN29)</f>
        <v>1.75</v>
      </c>
      <c r="AO24" s="188">
        <f t="shared" si="34"/>
        <v>0.25</v>
      </c>
      <c r="AP24" s="188">
        <f t="shared" si="34"/>
        <v>0.75</v>
      </c>
      <c r="AQ24" s="188">
        <f t="shared" si="34"/>
        <v>0.1</v>
      </c>
      <c r="AR24" s="188">
        <f t="shared" si="34"/>
        <v>0</v>
      </c>
      <c r="AS24" s="188">
        <f t="shared" si="34"/>
        <v>5</v>
      </c>
      <c r="AU24" s="188">
        <f t="shared" ref="AU24:BA29" si="35">AM24/AM$2</f>
        <v>0.45744680851063835</v>
      </c>
      <c r="AV24" s="188">
        <f t="shared" si="35"/>
        <v>0.22435897435897434</v>
      </c>
      <c r="AW24" s="188">
        <f t="shared" si="35"/>
        <v>0.625</v>
      </c>
      <c r="AX24" s="188">
        <f t="shared" si="35"/>
        <v>0.75</v>
      </c>
      <c r="AY24" s="188">
        <f t="shared" si="35"/>
        <v>1</v>
      </c>
      <c r="AZ24" s="188">
        <f t="shared" si="35"/>
        <v>0</v>
      </c>
      <c r="BA24" s="188">
        <f t="shared" si="35"/>
        <v>0.33333333333333331</v>
      </c>
      <c r="BC24" s="275">
        <f t="shared" ref="BC24:BC29" si="36">$BC$1*BA24</f>
        <v>17666.666666666664</v>
      </c>
      <c r="BD24" s="275">
        <f t="shared" ref="BD24:BD29" si="37">$BD$1*BA24</f>
        <v>33333.333333333328</v>
      </c>
      <c r="BE24" s="196">
        <f t="shared" ref="BE24:BF29" si="38">BC24/12</f>
        <v>1472.2222222222219</v>
      </c>
      <c r="BF24" s="196">
        <f t="shared" si="38"/>
        <v>2777.7777777777774</v>
      </c>
      <c r="BG24" s="275"/>
      <c r="BH24" s="275"/>
      <c r="BI24" s="147">
        <f>'H_Tỷ lệ HH&amp;PS'!CC49</f>
        <v>0</v>
      </c>
      <c r="BJ24" s="275"/>
      <c r="BK24" s="275"/>
      <c r="BL24" s="275"/>
      <c r="BM24" s="275"/>
      <c r="BN24" s="280" t="str">
        <f>'H_Tỷ lệ HH&amp;PS'!BU49</f>
        <v>Hạt WSS03SB</v>
      </c>
      <c r="BY24" s="526">
        <f t="shared" ref="BY24:BY25" si="39">(CA24+BZ24)/CB24</f>
        <v>1</v>
      </c>
      <c r="BZ24">
        <f t="shared" si="32"/>
        <v>140</v>
      </c>
      <c r="CA24">
        <f>CA22</f>
        <v>50</v>
      </c>
      <c r="CB24" s="130">
        <f t="shared" ref="CB24:CB25" si="40">BI24+BZ24+CA24</f>
        <v>190</v>
      </c>
      <c r="CJ24" s="130">
        <f>CJ4-130</f>
        <v>1250</v>
      </c>
    </row>
    <row r="25" spans="19:88" x14ac:dyDescent="0.35">
      <c r="S25">
        <v>3</v>
      </c>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G29" si="41">U25+W25+Y25+AA25+AC25+AE25</f>
        <v>1</v>
      </c>
      <c r="AH25" s="122"/>
      <c r="AI25" s="167">
        <f>V25+X25+Z25+AB25+AD25+AF25</f>
        <v>19883.142103626953</v>
      </c>
      <c r="AJ25" s="130">
        <f>$AJ$4*AK25</f>
        <v>30740000</v>
      </c>
      <c r="AK25" s="130">
        <f>AK7</f>
        <v>1160</v>
      </c>
      <c r="AL25">
        <v>3</v>
      </c>
      <c r="AM25" s="69">
        <f>U25</f>
        <v>0</v>
      </c>
      <c r="AN25" s="69">
        <f>W25</f>
        <v>0.9</v>
      </c>
      <c r="AO25" s="110">
        <f>Y25</f>
        <v>0.1</v>
      </c>
      <c r="AP25" s="110">
        <f>AA25</f>
        <v>0</v>
      </c>
      <c r="AQ25" s="110">
        <f>AC25</f>
        <v>0</v>
      </c>
      <c r="AR25" s="110">
        <f>AE25</f>
        <v>0</v>
      </c>
      <c r="AS25" s="69">
        <f>SUM(AM25:AR25)</f>
        <v>1</v>
      </c>
      <c r="AU25" s="110">
        <f t="shared" si="35"/>
        <v>0</v>
      </c>
      <c r="AV25" s="110">
        <f t="shared" si="35"/>
        <v>0.11538461538461538</v>
      </c>
      <c r="AW25" s="110">
        <f t="shared" si="35"/>
        <v>0.25</v>
      </c>
      <c r="AX25" s="110">
        <f t="shared" si="35"/>
        <v>0</v>
      </c>
      <c r="AY25" s="110">
        <f t="shared" si="35"/>
        <v>0</v>
      </c>
      <c r="AZ25" s="110">
        <f t="shared" si="35"/>
        <v>0</v>
      </c>
      <c r="BA25" s="110">
        <f t="shared" si="35"/>
        <v>6.6666666666666666E-2</v>
      </c>
      <c r="BC25" s="109">
        <f t="shared" si="36"/>
        <v>3533.3333333333335</v>
      </c>
      <c r="BD25" s="109">
        <f t="shared" si="37"/>
        <v>6666.666666666667</v>
      </c>
      <c r="BE25" s="291">
        <f t="shared" si="38"/>
        <v>294.44444444444446</v>
      </c>
      <c r="BF25" s="291">
        <f t="shared" si="38"/>
        <v>555.55555555555554</v>
      </c>
      <c r="BG25" s="109"/>
      <c r="BH25" s="109"/>
      <c r="BI25" s="147">
        <f>'H_Tỷ lệ HH&amp;PS'!CC50</f>
        <v>0</v>
      </c>
      <c r="BJ25" s="109"/>
      <c r="BK25" s="109"/>
      <c r="BL25" s="109"/>
      <c r="BM25" s="109"/>
      <c r="BN25" s="280" t="str">
        <f>'H_Tỷ lệ HH&amp;PS'!BU50</f>
        <v>Hạt WSS04SB</v>
      </c>
      <c r="BY25" s="526">
        <f t="shared" si="39"/>
        <v>1</v>
      </c>
      <c r="BZ25">
        <f t="shared" si="32"/>
        <v>140</v>
      </c>
      <c r="CA25">
        <f t="shared" ref="CA25" si="42">CA24</f>
        <v>50</v>
      </c>
      <c r="CB25" s="130">
        <f t="shared" si="40"/>
        <v>190</v>
      </c>
      <c r="CJ25" s="130">
        <f>CJ4-170</f>
        <v>1210</v>
      </c>
    </row>
    <row r="26" spans="19:88" x14ac:dyDescent="0.35">
      <c r="S26">
        <v>5</v>
      </c>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41"/>
        <v>1</v>
      </c>
      <c r="AH26" s="122"/>
      <c r="AI26" s="167">
        <f>V26+X26+Z26+AB26+AD26+AF26</f>
        <v>19112.177744792491</v>
      </c>
      <c r="AJ26" s="130">
        <f>$AJ$4*AK26</f>
        <v>28885000</v>
      </c>
      <c r="AK26" s="130">
        <f>AK7-70</f>
        <v>1090</v>
      </c>
      <c r="AL26">
        <v>5</v>
      </c>
      <c r="AM26" s="69">
        <f>U26</f>
        <v>0.55000000000000004</v>
      </c>
      <c r="AN26" s="69">
        <f>W26</f>
        <v>0.3</v>
      </c>
      <c r="AO26" s="110">
        <f>Y26</f>
        <v>0.15</v>
      </c>
      <c r="AP26" s="110">
        <f>AA26</f>
        <v>0</v>
      </c>
      <c r="AQ26" s="110">
        <f>AC26</f>
        <v>0</v>
      </c>
      <c r="AR26" s="110">
        <f>AE26</f>
        <v>0</v>
      </c>
      <c r="AS26" s="69">
        <f>SUM(AM26:AR26)</f>
        <v>1</v>
      </c>
      <c r="AU26" s="110">
        <f t="shared" si="35"/>
        <v>0.11702127659574471</v>
      </c>
      <c r="AV26" s="110">
        <f t="shared" si="35"/>
        <v>3.8461538461538457E-2</v>
      </c>
      <c r="AW26" s="110">
        <f t="shared" si="35"/>
        <v>0.37499999999999994</v>
      </c>
      <c r="AX26" s="110">
        <f t="shared" si="35"/>
        <v>0</v>
      </c>
      <c r="AY26" s="110">
        <f t="shared" si="35"/>
        <v>0</v>
      </c>
      <c r="AZ26" s="110">
        <f t="shared" si="35"/>
        <v>0</v>
      </c>
      <c r="BA26" s="110">
        <f t="shared" si="35"/>
        <v>6.6666666666666666E-2</v>
      </c>
      <c r="BC26" s="109">
        <f t="shared" si="36"/>
        <v>3533.3333333333335</v>
      </c>
      <c r="BD26" s="109">
        <f t="shared" si="37"/>
        <v>6666.666666666667</v>
      </c>
      <c r="BE26" s="109">
        <f t="shared" si="38"/>
        <v>294.44444444444446</v>
      </c>
      <c r="BF26" s="109">
        <f t="shared" si="38"/>
        <v>555.55555555555554</v>
      </c>
      <c r="BG26" s="109"/>
      <c r="BH26" s="109"/>
      <c r="BI26" s="109"/>
      <c r="BJ26" s="109"/>
      <c r="BK26" s="109"/>
      <c r="BL26" s="109"/>
      <c r="BM26" s="109"/>
    </row>
    <row r="27" spans="19:88" x14ac:dyDescent="0.35">
      <c r="S27">
        <v>3</v>
      </c>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41"/>
        <v>1</v>
      </c>
      <c r="AH27" s="122"/>
      <c r="AI27" s="167">
        <f>V27+X27+Z27+AB27+AD27+AF27</f>
        <v>17279.402879005062</v>
      </c>
      <c r="AJ27" s="130">
        <f>$AJ$4*AK27</f>
        <v>30740000</v>
      </c>
      <c r="AK27" s="130">
        <f>AK7</f>
        <v>1160</v>
      </c>
      <c r="AL27">
        <v>3</v>
      </c>
      <c r="AM27" s="69">
        <f>U27</f>
        <v>0</v>
      </c>
      <c r="AN27" s="69">
        <f>W27</f>
        <v>0.4</v>
      </c>
      <c r="AO27" s="110">
        <f>Y27</f>
        <v>0</v>
      </c>
      <c r="AP27" s="110">
        <f>AA27</f>
        <v>0.5</v>
      </c>
      <c r="AQ27" s="110">
        <f>AC27</f>
        <v>0.1</v>
      </c>
      <c r="AR27" s="110">
        <f>AE27</f>
        <v>0</v>
      </c>
      <c r="AS27" s="69">
        <f>SUM(AM27:AR27)</f>
        <v>1</v>
      </c>
      <c r="AU27" s="110">
        <f t="shared" si="35"/>
        <v>0</v>
      </c>
      <c r="AV27" s="110">
        <f t="shared" si="35"/>
        <v>5.128205128205128E-2</v>
      </c>
      <c r="AW27" s="110">
        <f t="shared" si="35"/>
        <v>0</v>
      </c>
      <c r="AX27" s="110">
        <f t="shared" si="35"/>
        <v>0.5</v>
      </c>
      <c r="AY27" s="110">
        <f t="shared" si="35"/>
        <v>1</v>
      </c>
      <c r="AZ27" s="110">
        <f t="shared" si="35"/>
        <v>0</v>
      </c>
      <c r="BA27" s="110">
        <f t="shared" si="35"/>
        <v>6.6666666666666666E-2</v>
      </c>
      <c r="BC27" s="109">
        <f t="shared" si="36"/>
        <v>3533.3333333333335</v>
      </c>
      <c r="BD27" s="109">
        <f t="shared" si="37"/>
        <v>6666.666666666667</v>
      </c>
      <c r="BE27" s="109">
        <f t="shared" si="38"/>
        <v>294.44444444444446</v>
      </c>
      <c r="BF27" s="109">
        <f t="shared" si="38"/>
        <v>555.55555555555554</v>
      </c>
      <c r="BG27" s="109"/>
      <c r="BH27" s="109"/>
      <c r="BI27" s="109"/>
      <c r="BJ27" s="109"/>
      <c r="BK27" s="109"/>
      <c r="BL27" s="109"/>
      <c r="BM27" s="109"/>
    </row>
    <row r="28" spans="19:88" x14ac:dyDescent="0.35">
      <c r="S28">
        <v>6</v>
      </c>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41"/>
        <v>1</v>
      </c>
      <c r="AH28" s="122"/>
      <c r="AI28" s="167">
        <f>V28+X28+Z28+AB28+AD28+AF28</f>
        <v>18853.682855909705</v>
      </c>
      <c r="AJ28" s="130">
        <f>$AJ$4*AK28</f>
        <v>19080000</v>
      </c>
      <c r="AK28" s="130">
        <f>AK10</f>
        <v>720</v>
      </c>
      <c r="AL28">
        <v>6</v>
      </c>
      <c r="AM28" s="69">
        <f>U28</f>
        <v>0.95</v>
      </c>
      <c r="AN28" s="69">
        <f>W28</f>
        <v>0</v>
      </c>
      <c r="AO28" s="110">
        <f>Y28</f>
        <v>0</v>
      </c>
      <c r="AP28" s="110">
        <f>AA28</f>
        <v>0.05</v>
      </c>
      <c r="AQ28" s="110">
        <f>AC28</f>
        <v>0</v>
      </c>
      <c r="AR28" s="110">
        <f>AE28</f>
        <v>0</v>
      </c>
      <c r="AS28" s="69">
        <f>SUM(AM28:AR28)</f>
        <v>1</v>
      </c>
      <c r="AU28" s="110">
        <f t="shared" si="35"/>
        <v>0.2021276595744681</v>
      </c>
      <c r="AV28" s="110">
        <f t="shared" si="35"/>
        <v>0</v>
      </c>
      <c r="AW28" s="110">
        <f t="shared" si="35"/>
        <v>0</v>
      </c>
      <c r="AX28" s="110">
        <f t="shared" si="35"/>
        <v>0.05</v>
      </c>
      <c r="AY28" s="110">
        <f t="shared" si="35"/>
        <v>0</v>
      </c>
      <c r="AZ28" s="110">
        <f t="shared" si="35"/>
        <v>0</v>
      </c>
      <c r="BA28" s="110">
        <f t="shared" si="35"/>
        <v>6.6666666666666666E-2</v>
      </c>
      <c r="BC28" s="109">
        <f t="shared" si="36"/>
        <v>3533.3333333333335</v>
      </c>
      <c r="BD28" s="109">
        <f t="shared" si="37"/>
        <v>6666.666666666667</v>
      </c>
      <c r="BE28" s="109">
        <f t="shared" si="38"/>
        <v>294.44444444444446</v>
      </c>
      <c r="BF28" s="109">
        <f t="shared" si="38"/>
        <v>555.55555555555554</v>
      </c>
      <c r="BG28" s="109"/>
      <c r="BH28" s="109"/>
      <c r="BI28" s="109"/>
      <c r="BJ28" s="109"/>
      <c r="BK28" s="109"/>
      <c r="BL28" s="109"/>
      <c r="BM28" s="109"/>
    </row>
    <row r="29" spans="19:88" x14ac:dyDescent="0.35">
      <c r="S29">
        <v>7</v>
      </c>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41"/>
        <v>1</v>
      </c>
      <c r="AH29" s="122"/>
      <c r="AI29" s="167">
        <f>V29+X29+Z29+AB29+AD29+AF29</f>
        <v>18504.154010131388</v>
      </c>
      <c r="AJ29" s="130">
        <f>$AJ$4*AK29</f>
        <v>20140000</v>
      </c>
      <c r="AK29" s="130">
        <v>760</v>
      </c>
      <c r="AL29">
        <v>7</v>
      </c>
      <c r="AM29" s="69">
        <f>U29</f>
        <v>0.65</v>
      </c>
      <c r="AN29" s="69">
        <f>W29</f>
        <v>0.15</v>
      </c>
      <c r="AO29" s="110">
        <f>Y29</f>
        <v>0</v>
      </c>
      <c r="AP29" s="110">
        <f>AA29</f>
        <v>0.2</v>
      </c>
      <c r="AQ29" s="110">
        <f>AC29</f>
        <v>0</v>
      </c>
      <c r="AR29" s="110">
        <f>AE29</f>
        <v>0</v>
      </c>
      <c r="AS29" s="69">
        <f>SUM(AM29:AR29)</f>
        <v>1</v>
      </c>
      <c r="AU29" s="110">
        <f t="shared" si="35"/>
        <v>0.13829787234042556</v>
      </c>
      <c r="AV29" s="110">
        <f t="shared" si="35"/>
        <v>1.9230769230769228E-2</v>
      </c>
      <c r="AW29" s="110">
        <f t="shared" si="35"/>
        <v>0</v>
      </c>
      <c r="AX29" s="110">
        <f t="shared" si="35"/>
        <v>0.2</v>
      </c>
      <c r="AY29" s="110">
        <f t="shared" si="35"/>
        <v>0</v>
      </c>
      <c r="AZ29" s="110">
        <f t="shared" si="35"/>
        <v>0</v>
      </c>
      <c r="BA29" s="110">
        <f t="shared" si="35"/>
        <v>6.6666666666666666E-2</v>
      </c>
      <c r="BC29" s="109">
        <f t="shared" si="36"/>
        <v>3533.3333333333335</v>
      </c>
      <c r="BD29" s="109">
        <f t="shared" si="37"/>
        <v>6666.666666666667</v>
      </c>
      <c r="BE29" s="109">
        <f t="shared" si="38"/>
        <v>294.44444444444446</v>
      </c>
      <c r="BF29" s="109">
        <f t="shared" si="38"/>
        <v>555.55555555555554</v>
      </c>
      <c r="BG29" s="109"/>
      <c r="BH29" s="109"/>
      <c r="BI29" s="109"/>
      <c r="BJ29" s="109"/>
      <c r="BK29" s="109"/>
      <c r="BL29" s="109"/>
      <c r="BM29" s="109"/>
    </row>
    <row r="32" spans="19:88" x14ac:dyDescent="0.35">
      <c r="T32" s="119" t="s">
        <v>389</v>
      </c>
      <c r="AG32" s="126">
        <v>0.02</v>
      </c>
      <c r="AH32" s="126"/>
    </row>
    <row r="33" spans="19:65" x14ac:dyDescent="0.35">
      <c r="S33">
        <v>8</v>
      </c>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22"/>
      <c r="AI33" s="167">
        <f>V33+X33+Z33+AB33+AD33+AF33</f>
        <v>17195.059200132389</v>
      </c>
      <c r="AJ33" s="130">
        <f>$AJ$4*AK33</f>
        <v>21200000</v>
      </c>
      <c r="AK33">
        <v>800</v>
      </c>
      <c r="AL33">
        <v>8</v>
      </c>
      <c r="AM33" s="188">
        <f>U33</f>
        <v>0</v>
      </c>
      <c r="AN33" s="188">
        <f>W33</f>
        <v>0</v>
      </c>
      <c r="AO33" s="188">
        <f>Y33</f>
        <v>0</v>
      </c>
      <c r="AP33" s="188">
        <f>AA33</f>
        <v>0</v>
      </c>
      <c r="AQ33" s="188">
        <f>AC33</f>
        <v>0</v>
      </c>
      <c r="AR33" s="188">
        <f>AE33</f>
        <v>1</v>
      </c>
      <c r="AS33" s="188">
        <f>SUM(AM33:AR33)</f>
        <v>1</v>
      </c>
      <c r="AU33" s="188">
        <f t="shared" ref="AU33:BA33" si="43">AM33/AM$2</f>
        <v>0</v>
      </c>
      <c r="AV33" s="188">
        <f t="shared" si="43"/>
        <v>0</v>
      </c>
      <c r="AW33" s="188">
        <f t="shared" si="43"/>
        <v>0</v>
      </c>
      <c r="AX33" s="188">
        <f t="shared" si="43"/>
        <v>0</v>
      </c>
      <c r="AY33" s="188">
        <f t="shared" si="43"/>
        <v>0</v>
      </c>
      <c r="AZ33" s="188">
        <f t="shared" si="43"/>
        <v>1</v>
      </c>
      <c r="BA33" s="188">
        <f t="shared" si="43"/>
        <v>6.6666666666666666E-2</v>
      </c>
      <c r="BC33" s="275">
        <f>$BC$1*BA33</f>
        <v>3533.3333333333335</v>
      </c>
      <c r="BD33" s="275">
        <f>$BD$1*BA33</f>
        <v>6666.666666666667</v>
      </c>
      <c r="BE33" s="196">
        <f>BC33/12</f>
        <v>294.44444444444446</v>
      </c>
      <c r="BF33" s="196">
        <f>BD33/12</f>
        <v>555.55555555555554</v>
      </c>
      <c r="BG33" s="275"/>
      <c r="BH33" s="275"/>
      <c r="BI33" s="275"/>
      <c r="BJ33" s="275"/>
      <c r="BK33" s="275"/>
      <c r="BL33" s="275"/>
      <c r="BM33" s="275"/>
    </row>
    <row r="34" spans="19:65" x14ac:dyDescent="0.35">
      <c r="AU34" s="110"/>
      <c r="AV34" s="110"/>
      <c r="AW34" s="110"/>
      <c r="AX34" s="110"/>
      <c r="AY34" s="110"/>
      <c r="AZ34" s="110"/>
      <c r="BA34" s="110"/>
    </row>
    <row r="35" spans="19:65" x14ac:dyDescent="0.35">
      <c r="AE35" s="109">
        <f>'Giá mua Chai-Vảy'!O40</f>
        <v>12550</v>
      </c>
      <c r="AI35" s="133"/>
      <c r="AJ35" s="133"/>
      <c r="AK35" s="133"/>
      <c r="AL35" s="133"/>
      <c r="AM35" s="121"/>
      <c r="AN35" s="121"/>
      <c r="AO35" s="121"/>
      <c r="AP35" s="133"/>
      <c r="AU35" s="110"/>
      <c r="AV35" s="110"/>
      <c r="AW35" s="110"/>
      <c r="AX35" s="110"/>
      <c r="AY35" s="110"/>
      <c r="AZ35" s="110"/>
      <c r="BA35" s="110"/>
    </row>
    <row r="36" spans="19:65" x14ac:dyDescent="0.35">
      <c r="T36" s="119" t="s">
        <v>446</v>
      </c>
      <c r="AG36" s="126">
        <v>0.01</v>
      </c>
      <c r="AH36" s="126"/>
      <c r="AL36" s="133"/>
      <c r="AM36" s="121"/>
      <c r="AN36" s="121"/>
      <c r="AO36" s="121"/>
      <c r="AP36" s="133"/>
    </row>
    <row r="37" spans="19:65"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22"/>
      <c r="AI37" s="177">
        <f>V37+X37+Z37+AB37+AD37+AF37</f>
        <v>12550</v>
      </c>
      <c r="AJ37" s="130">
        <f>$AJ$4*AK37</f>
        <v>19500000</v>
      </c>
      <c r="AK37" s="194">
        <f>19500000/26500</f>
        <v>735.84905660377353</v>
      </c>
      <c r="AL37" s="175" t="e">
        <f>#REF!+$W$2</f>
        <v>#REF!</v>
      </c>
      <c r="AM37" s="208" t="e">
        <f>AM$1+AL37*$AL$2+AK37*$AK$2</f>
        <v>#REF!</v>
      </c>
      <c r="AN37" s="208" t="e">
        <f>AM37+$AN$1</f>
        <v>#REF!</v>
      </c>
      <c r="AO37" s="208" t="e">
        <f>AM37+$AO$1</f>
        <v>#REF!</v>
      </c>
      <c r="AP37" s="209" t="e">
        <f>AN37</f>
        <v>#REF!</v>
      </c>
      <c r="AQ37" s="110">
        <f>$AQ$4*AR37/1000</f>
        <v>0.35333333333333339</v>
      </c>
      <c r="AR37" s="188">
        <f>AE37</f>
        <v>1</v>
      </c>
      <c r="AS37" s="188" t="e">
        <f>SUM(AM37:AR37)</f>
        <v>#REF!</v>
      </c>
      <c r="AU37" s="188"/>
      <c r="AV37" s="188"/>
      <c r="AW37" s="188"/>
      <c r="AX37" s="188"/>
      <c r="AY37" s="188"/>
      <c r="AZ37" s="188"/>
      <c r="BA37" s="188"/>
      <c r="BC37" s="276">
        <f>$BC$1*AG36</f>
        <v>530</v>
      </c>
      <c r="BD37" s="276">
        <f>$BD$1*AG36</f>
        <v>1000</v>
      </c>
      <c r="BE37" s="276"/>
      <c r="BF37" s="276"/>
      <c r="BG37" s="276"/>
      <c r="BH37" s="276"/>
      <c r="BI37" s="276"/>
      <c r="BJ37" s="276"/>
      <c r="BK37" s="276"/>
      <c r="BL37" s="276"/>
      <c r="BM37" s="276"/>
    </row>
    <row r="38" spans="19:65" x14ac:dyDescent="0.35">
      <c r="AU38" s="110"/>
      <c r="AV38" s="110"/>
      <c r="AW38" s="110"/>
      <c r="AX38" s="110"/>
      <c r="AY38" s="110"/>
      <c r="AZ38" s="110"/>
      <c r="BA38" s="110"/>
    </row>
    <row r="39" spans="19:65" x14ac:dyDescent="0.35">
      <c r="AU39" s="110"/>
      <c r="AV39" s="110"/>
      <c r="AW39" s="110"/>
      <c r="AX39" s="110"/>
      <c r="AY39" s="110"/>
      <c r="AZ39" s="110"/>
      <c r="BA39" s="110"/>
    </row>
  </sheetData>
  <mergeCells count="1">
    <mergeCell ref="AL1:AL5"/>
  </mergeCells>
  <hyperlinks>
    <hyperlink ref="AA11" r:id="rId1" display="20@" xr:uid="{77473BA7-F275-4D4A-A0FB-9D171488B57D}"/>
  </hyperlinks>
  <pageMargins left="0.7" right="0.7" top="0.75" bottom="0.75" header="0.3" footer="0.3"/>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D7F82-4759-400A-B6F2-20033F169D0C}">
  <sheetPr>
    <tabColor rgb="FF0000FF"/>
    <pageSetUpPr fitToPage="1"/>
  </sheetPr>
  <dimension ref="B1:DN39"/>
  <sheetViews>
    <sheetView topLeftCell="D1" zoomScale="85" zoomScaleNormal="85" workbookViewId="0">
      <pane xSplit="17" topLeftCell="BF1" activePane="topRight" state="frozen"/>
      <selection activeCell="S1" sqref="S1"/>
      <selection pane="topRight" activeCell="BL7" sqref="BL7"/>
    </sheetView>
  </sheetViews>
  <sheetFormatPr defaultRowHeight="14.5" outlineLevelRow="1" outlineLevelCol="2" x14ac:dyDescent="0.35"/>
  <cols>
    <col min="1" max="1" width="3.36328125" customWidth="1"/>
    <col min="4" max="18" width="8.7265625" hidden="1" customWidth="1" outlineLevel="1"/>
    <col min="19" max="19" width="3.6328125" customWidth="1" collapsed="1"/>
    <col min="20" max="20" width="28.7265625" customWidth="1"/>
    <col min="21" max="21" width="12.26953125" customWidth="1" outlineLevel="1"/>
    <col min="22" max="22" width="10.1796875" customWidth="1" outlineLevel="1"/>
    <col min="23" max="23" width="12.08984375" customWidth="1" outlineLevel="1"/>
    <col min="24" max="24" width="10" customWidth="1" outlineLevel="1"/>
    <col min="25" max="25" width="10.1796875" customWidth="1" outlineLevel="1"/>
    <col min="26" max="26" width="9.1796875" customWidth="1" outlineLevel="1"/>
    <col min="27" max="27" width="11.453125" customWidth="1" outlineLevel="1"/>
    <col min="28" max="28" width="9.1796875" customWidth="1" outlineLevel="1"/>
    <col min="29" max="29" width="9.81640625" hidden="1" customWidth="1" outlineLevel="1"/>
    <col min="30" max="30" width="8.453125" hidden="1" customWidth="1" outlineLevel="1"/>
    <col min="31" max="31" width="10.1796875" customWidth="1" outlineLevel="1"/>
    <col min="32" max="32" width="8.90625" customWidth="1" outlineLevel="1"/>
    <col min="33" max="34" width="21.90625" style="121" customWidth="1" outlineLevel="1"/>
    <col min="35" max="35" width="10.1796875" style="121" customWidth="1" outlineLevel="1"/>
    <col min="36" max="36" width="11.81640625" customWidth="1" outlineLevel="1"/>
    <col min="37" max="37" width="7" customWidth="1" outlineLevel="1"/>
    <col min="38" max="38" width="6.7265625" customWidth="1"/>
    <col min="39" max="42" width="8.453125" customWidth="1"/>
    <col min="43" max="43" width="7.6328125" customWidth="1"/>
    <col min="44" max="44" width="8" customWidth="1"/>
    <col min="45" max="45" width="8.90625" customWidth="1"/>
    <col min="46" max="46" width="3.90625" customWidth="1"/>
    <col min="47" max="48" width="8.08984375" hidden="1" customWidth="1" outlineLevel="1"/>
    <col min="49" max="50" width="7.81640625" hidden="1" customWidth="1" outlineLevel="1"/>
    <col min="51" max="51" width="6.54296875" hidden="1" customWidth="1" outlineLevel="1"/>
    <col min="52" max="52" width="8" hidden="1" customWidth="1" outlineLevel="1"/>
    <col min="53" max="53" width="9.1796875" bestFit="1" customWidth="1" collapsed="1"/>
    <col min="54" max="54" width="5.26953125" customWidth="1"/>
    <col min="55" max="55" width="8.08984375" bestFit="1" customWidth="1"/>
    <col min="56" max="56" width="9.1796875" bestFit="1" customWidth="1"/>
    <col min="57" max="57" width="7.36328125" bestFit="1" customWidth="1"/>
    <col min="58" max="58" width="8.36328125" bestFit="1" customWidth="1"/>
    <col min="59" max="59" width="10.26953125" bestFit="1" customWidth="1"/>
    <col min="60" max="60" width="9.453125" customWidth="1"/>
    <col min="61" max="61" width="8.90625" bestFit="1" customWidth="1"/>
    <col min="62" max="62" width="10.1796875" bestFit="1" customWidth="1"/>
    <col min="63" max="63" width="7" bestFit="1" customWidth="1"/>
    <col min="64" max="64" width="7" customWidth="1"/>
    <col min="65" max="65" width="9.7265625" customWidth="1"/>
    <col min="66" max="66" width="21" customWidth="1"/>
    <col min="67" max="67" width="6.81640625" style="65" customWidth="1"/>
    <col min="68" max="68" width="8.7265625" hidden="1" customWidth="1"/>
    <col min="69" max="69" width="10.54296875" hidden="1" customWidth="1"/>
    <col min="70" max="70" width="5.81640625" customWidth="1"/>
    <col min="71" max="71" width="8.7265625" customWidth="1" outlineLevel="2"/>
    <col min="72" max="72" width="7.7265625" bestFit="1" customWidth="1"/>
    <col min="73" max="73" width="8.7265625" bestFit="1" customWidth="1"/>
    <col min="74" max="74" width="9.26953125" hidden="1" customWidth="1" outlineLevel="2"/>
    <col min="75" max="75" width="9.54296875" hidden="1" customWidth="1" outlineLevel="2"/>
    <col min="76" max="76" width="9.26953125" hidden="1" customWidth="1" outlineLevel="2"/>
    <col min="77" max="77" width="9.26953125" bestFit="1" customWidth="1" collapsed="1"/>
    <col min="78" max="78" width="9.36328125" customWidth="1"/>
    <col min="79" max="79" width="9.08984375" bestFit="1" customWidth="1"/>
    <col min="80" max="80" width="5.453125" bestFit="1" customWidth="1"/>
    <col min="81" max="81" width="7.26953125" bestFit="1" customWidth="1"/>
    <col min="82" max="82" width="4.90625" bestFit="1" customWidth="1"/>
    <col min="83" max="83" width="6.26953125" bestFit="1" customWidth="1"/>
    <col min="84" max="84" width="9.54296875" bestFit="1" customWidth="1"/>
    <col min="85" max="85" width="9.1796875" bestFit="1" customWidth="1"/>
    <col min="86" max="86" width="14.6328125" bestFit="1" customWidth="1"/>
    <col min="87" max="87" width="3.81640625" customWidth="1"/>
    <col min="88" max="89" width="8.08984375" bestFit="1" customWidth="1"/>
    <col min="90" max="90" width="7" bestFit="1" customWidth="1"/>
    <col min="91" max="91" width="4.90625" customWidth="1"/>
    <col min="92" max="92" width="8.54296875" customWidth="1"/>
    <col min="93" max="93" width="11.54296875" bestFit="1" customWidth="1"/>
    <col min="94" max="94" width="5.6328125" bestFit="1" customWidth="1"/>
    <col min="95" max="96" width="8.08984375" bestFit="1" customWidth="1"/>
    <col min="97" max="97" width="5.453125" bestFit="1" customWidth="1"/>
    <col min="98" max="98" width="4.36328125" bestFit="1" customWidth="1"/>
    <col min="99" max="99" width="2.81640625" customWidth="1"/>
    <col min="100" max="100" width="6.1796875" bestFit="1" customWidth="1"/>
    <col min="102" max="102" width="20.26953125" bestFit="1" customWidth="1"/>
    <col min="103" max="103" width="5.453125" bestFit="1" customWidth="1"/>
    <col min="106" max="107" width="8.08984375" bestFit="1" customWidth="1"/>
    <col min="108" max="108" width="5.453125" bestFit="1" customWidth="1"/>
    <col min="110" max="110" width="20.26953125" bestFit="1" customWidth="1"/>
    <col min="111" max="111" width="5.453125" bestFit="1" customWidth="1"/>
    <col min="112" max="113" width="8.08984375" bestFit="1" customWidth="1"/>
    <col min="114" max="114" width="7" bestFit="1" customWidth="1"/>
    <col min="115" max="115" width="4.36328125" bestFit="1" customWidth="1"/>
    <col min="118" max="118" width="6" bestFit="1" customWidth="1"/>
  </cols>
  <sheetData>
    <row r="1" spans="2:118" s="687" customFormat="1" ht="40" customHeight="1" x14ac:dyDescent="0.35">
      <c r="B1" s="686" t="s">
        <v>364</v>
      </c>
      <c r="T1" s="710" t="s">
        <v>840</v>
      </c>
      <c r="U1" s="689">
        <f>'Hảo_R&amp;D'!AK1</f>
        <v>14800</v>
      </c>
      <c r="W1" s="689">
        <f>'Hảo_R&amp;D'!AM1</f>
        <v>16300</v>
      </c>
      <c r="X1" s="720">
        <f>W3-W1-X3</f>
        <v>-847.55675534306283</v>
      </c>
      <c r="Y1" s="689">
        <f>'Hảo_R&amp;D'!AO1</f>
        <v>14800</v>
      </c>
      <c r="AA1" s="689">
        <f>'Hảo_R&amp;D'!AQ1</f>
        <v>13300</v>
      </c>
      <c r="AB1" s="690"/>
      <c r="AC1" s="691">
        <f>'Hảo_R&amp;D'!AS1</f>
        <v>7971.0144927536239</v>
      </c>
      <c r="AD1" s="722">
        <f>'[5]16.1 Rửa vảy B7'!$I$10</f>
        <v>84.555434657824762</v>
      </c>
      <c r="AE1" s="689">
        <f>'Hảo_R&amp;D'!AU1</f>
        <v>13300</v>
      </c>
      <c r="AG1" s="688"/>
      <c r="AH1" s="688"/>
      <c r="AI1" s="688"/>
      <c r="AK1" s="692" t="s">
        <v>823</v>
      </c>
      <c r="AL1" s="936" t="s">
        <v>466</v>
      </c>
      <c r="AM1" s="693">
        <f t="shared" ref="AM1:AS1" si="0">AM2/$AS$2</f>
        <v>0.3133333333333333</v>
      </c>
      <c r="AN1" s="693">
        <f t="shared" si="0"/>
        <v>0.52</v>
      </c>
      <c r="AO1" s="693">
        <f t="shared" si="0"/>
        <v>2.6666666666666668E-2</v>
      </c>
      <c r="AP1" s="693">
        <f t="shared" si="0"/>
        <v>6.6666666666666666E-2</v>
      </c>
      <c r="AQ1" s="693">
        <f t="shared" si="0"/>
        <v>6.6666666666666671E-3</v>
      </c>
      <c r="AR1" s="693">
        <f>AR2/$AS$2</f>
        <v>6.6666666666666666E-2</v>
      </c>
      <c r="AS1" s="693">
        <f t="shared" si="0"/>
        <v>1</v>
      </c>
      <c r="BA1" s="693">
        <f>BA6+BA14+BA24+BA33+BA37</f>
        <v>1</v>
      </c>
      <c r="BB1" s="687" t="s">
        <v>516</v>
      </c>
      <c r="BC1" s="694">
        <v>53000</v>
      </c>
      <c r="BD1" s="694">
        <v>100000</v>
      </c>
      <c r="BE1" s="695" t="s">
        <v>539</v>
      </c>
      <c r="BF1" s="695" t="s">
        <v>540</v>
      </c>
      <c r="BG1" s="696" t="s">
        <v>543</v>
      </c>
      <c r="BH1" s="697" t="s">
        <v>541</v>
      </c>
      <c r="BI1" s="698" t="s">
        <v>474</v>
      </c>
      <c r="BJ1" s="698" t="s">
        <v>674</v>
      </c>
      <c r="BK1" s="698" t="s">
        <v>690</v>
      </c>
      <c r="BL1" s="698" t="s">
        <v>691</v>
      </c>
      <c r="BM1" s="698" t="s">
        <v>474</v>
      </c>
      <c r="BN1" s="698" t="s">
        <v>696</v>
      </c>
      <c r="BO1" s="698" t="s">
        <v>695</v>
      </c>
      <c r="BP1" s="699">
        <f>SUM(BP2:BP9)</f>
        <v>53000</v>
      </c>
      <c r="BQ1" s="699">
        <f>SUM(BQ2:BQ9)</f>
        <v>100000</v>
      </c>
      <c r="BR1" s="700">
        <f t="shared" ref="BR1:BR9" si="1">BP1/$BP$1</f>
        <v>1</v>
      </c>
      <c r="BS1" s="700">
        <f>BQ1/$BQ$1</f>
        <v>1</v>
      </c>
      <c r="BT1" s="695" t="s">
        <v>539</v>
      </c>
      <c r="BU1" s="695" t="s">
        <v>540</v>
      </c>
      <c r="BV1" s="701" t="s">
        <v>517</v>
      </c>
      <c r="BW1" s="701" t="s">
        <v>518</v>
      </c>
      <c r="BX1" s="702" t="s">
        <v>648</v>
      </c>
      <c r="BY1" s="703" t="s">
        <v>517</v>
      </c>
      <c r="BZ1" s="703" t="s">
        <v>518</v>
      </c>
      <c r="CA1" s="728" t="s">
        <v>648</v>
      </c>
      <c r="CB1" s="702" t="s">
        <v>454</v>
      </c>
      <c r="CC1" s="703" t="s">
        <v>693</v>
      </c>
      <c r="CD1" s="701" t="s">
        <v>676</v>
      </c>
      <c r="CE1" s="701" t="s">
        <v>677</v>
      </c>
      <c r="CF1" s="703" t="s">
        <v>675</v>
      </c>
      <c r="CG1" s="507" t="s">
        <v>844</v>
      </c>
      <c r="CH1" s="308" t="s">
        <v>843</v>
      </c>
      <c r="CI1" s="727">
        <v>26500</v>
      </c>
      <c r="CJ1" s="704">
        <v>10000</v>
      </c>
      <c r="CK1" s="705">
        <v>11300</v>
      </c>
      <c r="CL1" s="706">
        <f>CK1-CJ1</f>
        <v>1300</v>
      </c>
      <c r="CM1" s="707">
        <f>CL1/26.5</f>
        <v>49.056603773584904</v>
      </c>
      <c r="CN1" s="708" t="s">
        <v>694</v>
      </c>
      <c r="CO1" s="709" t="s">
        <v>681</v>
      </c>
      <c r="CP1" s="688" t="s">
        <v>839</v>
      </c>
      <c r="CQ1" s="704">
        <v>10000</v>
      </c>
      <c r="CR1" s="705">
        <v>10800</v>
      </c>
      <c r="CS1" s="706">
        <f>CR1-CQ1</f>
        <v>800</v>
      </c>
      <c r="CT1" s="707">
        <f>CS1/26.5</f>
        <v>30.188679245283019</v>
      </c>
      <c r="CV1" s="788" t="s">
        <v>878</v>
      </c>
      <c r="CW1" s="703" t="s">
        <v>740</v>
      </c>
      <c r="CX1" s="729" t="s">
        <v>696</v>
      </c>
      <c r="CY1" s="698" t="s">
        <v>695</v>
      </c>
      <c r="CZ1" s="705">
        <v>10000</v>
      </c>
      <c r="DA1" s="705">
        <v>10800</v>
      </c>
      <c r="DB1" s="705">
        <v>11300</v>
      </c>
      <c r="DC1" s="705">
        <v>12000</v>
      </c>
      <c r="DD1" s="705">
        <f>DC1-DB1</f>
        <v>700</v>
      </c>
      <c r="DF1" s="729" t="s">
        <v>696</v>
      </c>
      <c r="DG1" s="698" t="s">
        <v>695</v>
      </c>
      <c r="DH1" s="704">
        <v>10000</v>
      </c>
      <c r="DI1" s="705">
        <v>11300</v>
      </c>
      <c r="DJ1" s="706">
        <f>DI1-DH1</f>
        <v>1300</v>
      </c>
      <c r="DK1" s="707">
        <f>DJ1/26.5</f>
        <v>49.056603773584904</v>
      </c>
      <c r="DL1" s="708" t="s">
        <v>694</v>
      </c>
      <c r="DM1" s="709" t="s">
        <v>681</v>
      </c>
      <c r="DN1" s="688" t="s">
        <v>839</v>
      </c>
    </row>
    <row r="2" spans="2:118" ht="15.5" x14ac:dyDescent="0.35">
      <c r="B2" s="114" t="s">
        <v>365</v>
      </c>
      <c r="T2" s="162" t="s">
        <v>634</v>
      </c>
      <c r="U2" s="157">
        <f>'Hảo_R&amp;D'!AK2</f>
        <v>0.77783045852077959</v>
      </c>
      <c r="W2" s="283">
        <f>'Hảo_R&amp;D'!AM2</f>
        <v>0.8081674874213195</v>
      </c>
      <c r="X2" s="721">
        <f>'[5]12. 100% vảy-&gt;hạt WSS01-iSS01'!$I$10</f>
        <v>1636.9775154230633</v>
      </c>
      <c r="Y2" s="157">
        <f>'Hảo_R&amp;D'!AO2</f>
        <v>0.85501479000000002</v>
      </c>
      <c r="AA2" s="157">
        <f>'Hảo_R&amp;D'!AQ2</f>
        <v>0.85501479000000002</v>
      </c>
      <c r="AE2" s="157">
        <f>'Hảo_R&amp;D'!AU2</f>
        <v>0.773478</v>
      </c>
      <c r="AL2" s="936"/>
      <c r="AM2" s="69">
        <f t="shared" ref="AM2:AS2" si="2">AM6+AM14+AM24+AM33</f>
        <v>4.6999999999999993</v>
      </c>
      <c r="AN2" s="69">
        <f t="shared" si="2"/>
        <v>7.8000000000000007</v>
      </c>
      <c r="AO2" s="69">
        <f t="shared" si="2"/>
        <v>0.4</v>
      </c>
      <c r="AP2" s="69">
        <f t="shared" si="2"/>
        <v>1</v>
      </c>
      <c r="AQ2" s="69">
        <f t="shared" si="2"/>
        <v>0.1</v>
      </c>
      <c r="AR2" s="69">
        <f t="shared" si="2"/>
        <v>1</v>
      </c>
      <c r="AS2" s="69">
        <f t="shared" si="2"/>
        <v>15</v>
      </c>
      <c r="BF2" s="723">
        <v>26500</v>
      </c>
      <c r="BG2" s="325">
        <f>AK17</f>
        <v>1250</v>
      </c>
      <c r="BH2" s="329">
        <f>BG2/$BG$6</f>
        <v>1.1467889908256881</v>
      </c>
      <c r="BI2" s="332">
        <f>'H_Tỷ lệ HH&amp;PS (-PS)'!EG6</f>
        <v>956.49785833397073</v>
      </c>
      <c r="BJ2" s="497">
        <f>BI2/$BI$6</f>
        <v>1.0126053058810165</v>
      </c>
      <c r="BK2" s="525">
        <f>BG2-BI2</f>
        <v>293.50214166602927</v>
      </c>
      <c r="BL2" s="166">
        <f>BK2/BG2</f>
        <v>0.23480171333282343</v>
      </c>
      <c r="BM2" s="335">
        <f>'Hảo_R&amp;D (Hạt-Full stage-Mix)'!AO17/BF2*1000</f>
        <v>977.5238396395398</v>
      </c>
      <c r="BN2" s="280" t="str">
        <f>T17</f>
        <v>Hạt iSS01084G</v>
      </c>
      <c r="BO2" s="541">
        <v>1</v>
      </c>
      <c r="BP2" s="279">
        <f>BC17</f>
        <v>3533.3333333333335</v>
      </c>
      <c r="BQ2" s="279">
        <f>BD17</f>
        <v>6666.666666666667</v>
      </c>
      <c r="BR2" s="281">
        <f>BP2/$BP$1</f>
        <v>6.6666666666666666E-2</v>
      </c>
      <c r="BS2" s="281">
        <f t="shared" ref="BS2:BS9" si="3">BQ2/$BQ$1</f>
        <v>6.6666666666666666E-2</v>
      </c>
      <c r="BT2" s="279">
        <f>BP2/12</f>
        <v>294.44444444444446</v>
      </c>
      <c r="BU2" s="279">
        <f>BQ2/12</f>
        <v>555.55555555555554</v>
      </c>
      <c r="BV2" s="505">
        <f>'[8]ZCOR0019-03.26'!$BA$26</f>
        <v>7.882989970244117E-2</v>
      </c>
      <c r="BW2" s="199">
        <f>'[8]ZCOR0019-03.26'!$AZ$26*4/1000</f>
        <v>1764.3173999999999</v>
      </c>
      <c r="BX2" s="199">
        <f>BW2/3</f>
        <v>588.10579999999993</v>
      </c>
      <c r="BY2" s="505">
        <f>BZ2/$BZ$10</f>
        <v>0.1613130582872285</v>
      </c>
      <c r="BZ2" s="199">
        <f>[9]Chart!$AV$4/1000</f>
        <v>2666.4</v>
      </c>
      <c r="CA2" s="199">
        <f>BZ2/4</f>
        <v>666.6</v>
      </c>
      <c r="CB2" s="199">
        <f>CF2-BI2</f>
        <v>240</v>
      </c>
      <c r="CC2" s="526">
        <f>(CE2+CD2)/CF2</f>
        <v>0.20058539873542369</v>
      </c>
      <c r="CD2" s="280">
        <v>140</v>
      </c>
      <c r="CE2" s="280">
        <v>100</v>
      </c>
      <c r="CF2" s="279">
        <f>BI2+CD2+CE2</f>
        <v>1196.4978583339707</v>
      </c>
      <c r="CG2" s="199">
        <f>CE2*BT2</f>
        <v>29444.444444444445</v>
      </c>
      <c r="CH2" s="279">
        <f t="shared" ref="CH2:CH10" si="4">CG2*$CI$1</f>
        <v>780277777.77777779</v>
      </c>
      <c r="CJ2" s="514">
        <v>1299.3674300717448</v>
      </c>
      <c r="CK2" s="514">
        <f>CF2</f>
        <v>1196.4978583339707</v>
      </c>
      <c r="CL2" s="514">
        <f>CK2-CJ2</f>
        <v>-102.86957173777409</v>
      </c>
      <c r="CM2" s="515"/>
      <c r="CN2" s="513">
        <f>CN4+90</f>
        <v>1470</v>
      </c>
      <c r="CO2" s="514">
        <f>CN2-CK2</f>
        <v>273.50214166602927</v>
      </c>
      <c r="CP2" s="296">
        <f t="shared" ref="CP2:CP9" si="5">CO2/CN2</f>
        <v>0.18605587868437365</v>
      </c>
      <c r="CQ2" s="514">
        <v>1299.3674300717448</v>
      </c>
      <c r="CR2" s="514">
        <v>1349.4282238420415</v>
      </c>
      <c r="CS2" s="514">
        <f>CR2-CQ2</f>
        <v>50.060793770296641</v>
      </c>
      <c r="CT2" s="515"/>
      <c r="CV2" s="787">
        <f>(CN2-BI2-CD2)/CN2</f>
        <v>0.25408308956872738</v>
      </c>
      <c r="CW2" s="526">
        <f>(CN2-BI2)/CN2</f>
        <v>0.34932118480682262</v>
      </c>
      <c r="CX2" s="280" t="s">
        <v>379</v>
      </c>
      <c r="CY2" s="541">
        <v>1</v>
      </c>
      <c r="CZ2" s="514">
        <v>1299.3674300717448</v>
      </c>
      <c r="DA2" s="514">
        <v>1349.4282238420415</v>
      </c>
      <c r="DB2" s="514">
        <v>1311.8148255848041</v>
      </c>
      <c r="DC2" s="514">
        <v>1352.8716965106396</v>
      </c>
      <c r="DD2" s="514">
        <f t="shared" ref="DD2:DD9" si="6">DC2-DB2</f>
        <v>41.056870925835483</v>
      </c>
      <c r="DF2" s="280" t="s">
        <v>379</v>
      </c>
      <c r="DG2" s="541">
        <v>1</v>
      </c>
      <c r="DH2" s="514">
        <v>1299.3674300717448</v>
      </c>
      <c r="DI2" s="514">
        <v>1311.8148255848041</v>
      </c>
      <c r="DJ2" s="514">
        <f>DI2-DG2</f>
        <v>1310.8148255848041</v>
      </c>
      <c r="DK2" s="515"/>
      <c r="DL2" s="513">
        <f>DL4+90</f>
        <v>1470</v>
      </c>
      <c r="DM2" s="514">
        <f>DL2-DI2</f>
        <v>158.18517441519589</v>
      </c>
      <c r="DN2" s="296">
        <f>DM2/DL2</f>
        <v>0.10760896218720808</v>
      </c>
    </row>
    <row r="3" spans="2:118" x14ac:dyDescent="0.35">
      <c r="T3" s="162" t="s">
        <v>448</v>
      </c>
      <c r="U3" s="395">
        <f>U1/U2</f>
        <v>19027.282665358136</v>
      </c>
      <c r="W3" s="131">
        <f>W1/W2</f>
        <v>20169.086549138014</v>
      </c>
      <c r="X3" s="721">
        <f>'[5]10. 100% chai-&gt;hạt WSS01-iSS01'!$I$21+'[5]10. 100% chai-&gt;hạt WSS01-iSS01'!$I$37</f>
        <v>4716.6433044810765</v>
      </c>
      <c r="Y3" s="131">
        <f>Y1/Y2</f>
        <v>17309.642094027404</v>
      </c>
      <c r="AA3" s="131">
        <f>AA1/AA2</f>
        <v>15555.28647638949</v>
      </c>
      <c r="AC3" s="169">
        <f>'[5]16.1 Rửa vảy B7'!$I$48</f>
        <v>14341.250211551116</v>
      </c>
      <c r="AE3" s="131">
        <f>AE1/AE2</f>
        <v>17195.059200132389</v>
      </c>
      <c r="AG3" s="121" t="s">
        <v>636</v>
      </c>
      <c r="AH3" s="121" t="s">
        <v>718</v>
      </c>
      <c r="AI3" s="173"/>
      <c r="AJ3" t="s">
        <v>391</v>
      </c>
      <c r="AK3" t="s">
        <v>393</v>
      </c>
      <c r="AL3" s="936"/>
      <c r="AM3" s="723">
        <f>(AM4/U2)*1.05</f>
        <v>22417.481610530391</v>
      </c>
      <c r="AN3" s="723">
        <f>(AN4/W2)*1.05</f>
        <v>35806.934144721214</v>
      </c>
      <c r="AO3" s="723">
        <f>(AO4/Y2)*1.05</f>
        <v>1735.6424910497749</v>
      </c>
      <c r="AP3" s="723">
        <f>(AP4/AA2)*1.05</f>
        <v>4339.1062276244375</v>
      </c>
      <c r="AQ3" s="723">
        <f>AQ4/AA2</f>
        <v>413.24821215470831</v>
      </c>
      <c r="AR3" s="723">
        <f>(AR4/AE2)*1.05</f>
        <v>4796.5165137211407</v>
      </c>
      <c r="AS3" s="160">
        <f>SUM(AM3:AR3)</f>
        <v>69508.929199801671</v>
      </c>
      <c r="AU3" s="109">
        <f>(AU4/U2)*1.05</f>
        <v>42297.135114208279</v>
      </c>
      <c r="AV3" s="109">
        <f>(AV4/W2)*1.05</f>
        <v>67560.253103247582</v>
      </c>
      <c r="AW3" s="109">
        <f>(AW4/Y2)*1.05</f>
        <v>3274.7971529241036</v>
      </c>
      <c r="AX3" s="109">
        <f>(AX4/AA2)*1.05</f>
        <v>8186.9928823102582</v>
      </c>
      <c r="AY3" s="109">
        <f>AY4/AA2</f>
        <v>779.71360783907221</v>
      </c>
      <c r="AZ3" s="109">
        <f>(AZ4/AE2)*1.05</f>
        <v>9050.0311579644167</v>
      </c>
      <c r="BA3" s="160">
        <f>SUM(AU3:AZ3)</f>
        <v>131148.92301849369</v>
      </c>
      <c r="BG3" s="325">
        <f>AK8</f>
        <v>1190</v>
      </c>
      <c r="BH3" s="330">
        <f>BG3/$BG$6</f>
        <v>1.0917431192660549</v>
      </c>
      <c r="BI3" s="332">
        <f>'H_Tỷ lệ HH&amp;PS (-PS)'!EG8</f>
        <v>936.69778953426078</v>
      </c>
      <c r="BJ3" s="497">
        <f t="shared" ref="BJ3:BJ9" si="7">BI3/$BI$6</f>
        <v>0.99164377988417018</v>
      </c>
      <c r="BK3" s="525">
        <f t="shared" ref="BK3:BK5" si="8">BG3-BI3</f>
        <v>253.30221046573922</v>
      </c>
      <c r="BL3" s="166">
        <f t="shared" ref="BL3:BL9" si="9">BK3/BG3</f>
        <v>0.21285900039137751</v>
      </c>
      <c r="BM3" s="335">
        <f>'Hảo_R&amp;D (Hạt-Full stage-Mix)'!AO16/BF2*1000</f>
        <v>977.5238396395398</v>
      </c>
      <c r="BN3" s="1" t="str">
        <f>T16</f>
        <v>Hạt iSS01G</v>
      </c>
      <c r="BO3" s="3">
        <v>2</v>
      </c>
      <c r="BP3" s="300">
        <f>BC8+BC16</f>
        <v>7066.666666666667</v>
      </c>
      <c r="BQ3" s="300">
        <f>BD8+BD16</f>
        <v>13333.333333333334</v>
      </c>
      <c r="BR3" s="301">
        <f t="shared" si="1"/>
        <v>0.13333333333333333</v>
      </c>
      <c r="BS3" s="301">
        <f t="shared" si="3"/>
        <v>0.13333333333333333</v>
      </c>
      <c r="BT3" s="300">
        <f t="shared" ref="BT3:BU9" si="10">BP3/12</f>
        <v>588.88888888888891</v>
      </c>
      <c r="BU3" s="300">
        <f t="shared" si="10"/>
        <v>1111.1111111111111</v>
      </c>
      <c r="BV3" s="153">
        <f>'[8]ZCOR0019-03.26'!$BA$27</f>
        <v>0.23350233317759631</v>
      </c>
      <c r="BW3" s="109">
        <f>'[8]ZCOR0019-03.26'!$AZ$27/3*12/1000</f>
        <v>5226.0910000000003</v>
      </c>
      <c r="BX3" s="109">
        <f>BW3/3</f>
        <v>1742.0303333333334</v>
      </c>
      <c r="BY3" s="153">
        <f t="shared" ref="BY3:BY10" si="11">BZ3/$BZ$10</f>
        <v>0.1020911288102678</v>
      </c>
      <c r="BZ3" s="109">
        <f>[9]Chart!$AV$5/1000</f>
        <v>1687.5</v>
      </c>
      <c r="CA3" s="109">
        <f t="shared" ref="CA3:CA9" si="12">BZ3/4</f>
        <v>421.875</v>
      </c>
      <c r="CB3" s="199">
        <f t="shared" ref="CB3:CB9" si="13">CF3-BI3</f>
        <v>209.99999999999989</v>
      </c>
      <c r="CC3" s="526">
        <f t="shared" ref="CC3:CC9" si="14">(CE3+CD3)/CF3</f>
        <v>0.18313456423884183</v>
      </c>
      <c r="CD3">
        <f>CD2</f>
        <v>140</v>
      </c>
      <c r="CE3">
        <f>CE2-30</f>
        <v>70</v>
      </c>
      <c r="CF3" s="130">
        <f t="shared" ref="CF3:CF9" si="15">BI3+CD3+CE3</f>
        <v>1146.6977895342607</v>
      </c>
      <c r="CG3" s="109">
        <f t="shared" ref="CG3:CG9" si="16">CE3*BT3</f>
        <v>41222.222222222226</v>
      </c>
      <c r="CH3" s="130">
        <f t="shared" si="4"/>
        <v>1092388888.8888891</v>
      </c>
      <c r="CJ3" s="130">
        <v>1230.3200109309132</v>
      </c>
      <c r="CK3" s="130">
        <f>CF3</f>
        <v>1146.6977895342607</v>
      </c>
      <c r="CL3" s="130">
        <f t="shared" ref="CL3:CL9" si="17">CK3-CJ3</f>
        <v>-83.622221396652549</v>
      </c>
      <c r="CN3" s="513">
        <f>CN4+30</f>
        <v>1410</v>
      </c>
      <c r="CO3" s="130">
        <f t="shared" ref="CO3:CO9" si="18">CN3-CK3</f>
        <v>263.30221046573934</v>
      </c>
      <c r="CP3" s="296">
        <f t="shared" si="5"/>
        <v>0.18673915635868038</v>
      </c>
      <c r="CQ3" s="130">
        <v>1230.3200109309132</v>
      </c>
      <c r="CR3" s="130">
        <v>1277.9778866002357</v>
      </c>
      <c r="CS3" s="130">
        <f t="shared" ref="CS3:CS9" si="19">CR3-CQ3</f>
        <v>47.657875669322493</v>
      </c>
      <c r="CV3" s="787">
        <f t="shared" ref="CV3:CV9" si="20">(CN3-BI3-CD3)/CN3</f>
        <v>0.23638454642960227</v>
      </c>
      <c r="CW3" s="526">
        <f t="shared" ref="CW3:CW9" si="21">(CN3-BI3)/CN3</f>
        <v>0.33567532657144628</v>
      </c>
      <c r="CX3" s="1" t="s">
        <v>378</v>
      </c>
      <c r="CY3" s="3">
        <v>2</v>
      </c>
      <c r="CZ3" s="130">
        <v>1230.3200109309132</v>
      </c>
      <c r="DA3" s="130">
        <v>1277.9778866002357</v>
      </c>
      <c r="DB3" s="130">
        <v>1242.1699314593457</v>
      </c>
      <c r="DC3" s="130">
        <v>1281.2560725807411</v>
      </c>
      <c r="DD3" s="130">
        <f t="shared" si="6"/>
        <v>39.086141121395485</v>
      </c>
      <c r="DF3" s="1" t="s">
        <v>378</v>
      </c>
      <c r="DG3" s="3">
        <v>2</v>
      </c>
      <c r="DH3" s="130">
        <v>1230.3200109309132</v>
      </c>
      <c r="DI3" s="130">
        <v>1242.1699314593457</v>
      </c>
      <c r="DJ3" s="130">
        <f t="shared" ref="DJ3:DJ9" si="22">DI3-DG3</f>
        <v>1240.1699314593457</v>
      </c>
      <c r="DL3" s="513">
        <f>DL4+30</f>
        <v>1410</v>
      </c>
      <c r="DM3" s="130">
        <f t="shared" ref="DM3:DM4" si="23">DL3-DI3</f>
        <v>167.83006854065434</v>
      </c>
      <c r="DN3" s="296">
        <f t="shared" ref="DN3:DN9" si="24">DM3/DL3</f>
        <v>0.11902841740471939</v>
      </c>
    </row>
    <row r="4" spans="2:118" x14ac:dyDescent="0.35">
      <c r="T4" s="120" t="s">
        <v>366</v>
      </c>
      <c r="U4" s="115" t="s">
        <v>367</v>
      </c>
      <c r="W4" s="115" t="s">
        <v>374</v>
      </c>
      <c r="Y4" s="115" t="s">
        <v>375</v>
      </c>
      <c r="AA4" s="115" t="s">
        <v>382</v>
      </c>
      <c r="AC4" s="115" t="s">
        <v>384</v>
      </c>
      <c r="AE4" s="115" t="s">
        <v>385</v>
      </c>
      <c r="AG4" s="127" t="s">
        <v>376</v>
      </c>
      <c r="AH4" s="127"/>
      <c r="AJ4" s="129">
        <v>26500</v>
      </c>
      <c r="AL4" s="936"/>
      <c r="AM4" s="195">
        <f>AM1*$BC$1</f>
        <v>16606.666666666664</v>
      </c>
      <c r="AN4" s="195">
        <f>AN1*$BC$1</f>
        <v>27560</v>
      </c>
      <c r="AO4" s="195">
        <f t="shared" ref="AO4:AS4" si="25">AO1*$BC$1</f>
        <v>1413.3333333333335</v>
      </c>
      <c r="AP4" s="195">
        <f t="shared" si="25"/>
        <v>3533.3333333333335</v>
      </c>
      <c r="AQ4" s="195">
        <f t="shared" si="25"/>
        <v>353.33333333333337</v>
      </c>
      <c r="AR4" s="195">
        <f t="shared" si="25"/>
        <v>3533.3333333333335</v>
      </c>
      <c r="AS4" s="195">
        <f t="shared" si="25"/>
        <v>53000</v>
      </c>
      <c r="AU4" s="195">
        <f>AM1*$BD$1</f>
        <v>31333.333333333328</v>
      </c>
      <c r="AV4" s="195">
        <f t="shared" ref="AV4:BA4" si="26">AN1*$BD$1</f>
        <v>52000</v>
      </c>
      <c r="AW4" s="195">
        <f t="shared" si="26"/>
        <v>2666.666666666667</v>
      </c>
      <c r="AX4" s="195">
        <f t="shared" si="26"/>
        <v>6666.666666666667</v>
      </c>
      <c r="AY4" s="195">
        <f t="shared" si="26"/>
        <v>666.66666666666674</v>
      </c>
      <c r="AZ4" s="195">
        <f t="shared" si="26"/>
        <v>6666.666666666667</v>
      </c>
      <c r="BA4" s="195">
        <f t="shared" si="26"/>
        <v>100000</v>
      </c>
      <c r="BG4" s="325">
        <f>AK7</f>
        <v>1160</v>
      </c>
      <c r="BH4" s="330">
        <f>BG4/$BG$6</f>
        <v>1.0642201834862386</v>
      </c>
      <c r="BI4" s="403">
        <f>'H_Tỷ lệ HH&amp;PS (-PS)'!EG10</f>
        <v>966.60783510921556</v>
      </c>
      <c r="BJ4" s="497">
        <f t="shared" si="7"/>
        <v>1.023308326317234</v>
      </c>
      <c r="BK4" s="525">
        <f t="shared" si="8"/>
        <v>193.39216489078444</v>
      </c>
      <c r="BL4" s="166">
        <f t="shared" si="9"/>
        <v>0.16671738352653831</v>
      </c>
      <c r="BM4" s="335">
        <f>'Hảo_R&amp;D (Hạt-Full stage-Mix)'!AO15/26500*1000</f>
        <v>977.5238396395398</v>
      </c>
      <c r="BN4" s="179" t="str">
        <f>T15</f>
        <v>Hạt WSS01G</v>
      </c>
      <c r="BO4" s="542">
        <v>3</v>
      </c>
      <c r="BP4" s="273">
        <f>BC7+BC15+BC25+BC27</f>
        <v>14133.333333333334</v>
      </c>
      <c r="BQ4" s="183">
        <f>BD7+BD15+BD25+BD27</f>
        <v>26666.666666666668</v>
      </c>
      <c r="BR4" s="571">
        <f t="shared" si="1"/>
        <v>0.26666666666666666</v>
      </c>
      <c r="BS4" s="283">
        <f t="shared" si="3"/>
        <v>0.26666666666666666</v>
      </c>
      <c r="BT4" s="183">
        <f t="shared" si="10"/>
        <v>1177.7777777777778</v>
      </c>
      <c r="BU4" s="183">
        <f t="shared" si="10"/>
        <v>2222.2222222222222</v>
      </c>
      <c r="BV4" s="157">
        <f>'[8]ZCOR0019-03.26'!$BA$25</f>
        <v>0.12892607275073253</v>
      </c>
      <c r="BW4" s="147">
        <f>'[8]ZCOR0019-03.26'!$AZ$25/3*12/1000</f>
        <v>2885.5360000000001</v>
      </c>
      <c r="BX4" s="147">
        <f>BW4/3</f>
        <v>961.84533333333331</v>
      </c>
      <c r="BY4" s="157">
        <f>BZ4/$BZ$10</f>
        <v>0.51602755099262831</v>
      </c>
      <c r="BZ4" s="147">
        <f>[9]Chart!$AV$6/1000</f>
        <v>8529.6</v>
      </c>
      <c r="CA4" s="147">
        <f t="shared" si="12"/>
        <v>2132.4</v>
      </c>
      <c r="CB4" s="199">
        <f t="shared" si="13"/>
        <v>190</v>
      </c>
      <c r="CC4" s="526">
        <f>(CE4+CD4)/CF4</f>
        <v>0.16427348512822307</v>
      </c>
      <c r="CD4" s="181">
        <f>CD2</f>
        <v>140</v>
      </c>
      <c r="CE4" s="181">
        <v>50</v>
      </c>
      <c r="CF4" s="183">
        <f>BI4+CD4+CE4</f>
        <v>1156.6078351092156</v>
      </c>
      <c r="CG4" s="147">
        <f>CE4*BT4</f>
        <v>58888.888888888891</v>
      </c>
      <c r="CH4" s="183">
        <f t="shared" si="4"/>
        <v>1560555555.5555556</v>
      </c>
      <c r="CJ4" s="183">
        <v>1190.7963013604976</v>
      </c>
      <c r="CK4" s="183">
        <f>CF4</f>
        <v>1156.6078351092156</v>
      </c>
      <c r="CL4" s="183">
        <f>CK4-CJ4</f>
        <v>-34.18846625128208</v>
      </c>
      <c r="CM4" s="181"/>
      <c r="CN4" s="147">
        <v>1380</v>
      </c>
      <c r="CO4" s="183">
        <f t="shared" si="18"/>
        <v>223.39216489078444</v>
      </c>
      <c r="CP4" s="296">
        <f>CO4/CN4</f>
        <v>0.16187838035564089</v>
      </c>
      <c r="CQ4" s="183">
        <v>1190.7963013604976</v>
      </c>
      <c r="CR4" s="183">
        <v>1237.2527179793328</v>
      </c>
      <c r="CS4" s="183">
        <f>CR4-CQ4</f>
        <v>46.456416618835192</v>
      </c>
      <c r="CT4" s="181"/>
      <c r="CV4" s="787">
        <f t="shared" si="20"/>
        <v>0.1981102644136119</v>
      </c>
      <c r="CW4" s="526">
        <f>(CN4-BI4)/CN4</f>
        <v>0.29955953977593075</v>
      </c>
      <c r="CX4" s="179" t="s">
        <v>377</v>
      </c>
      <c r="CY4" s="542">
        <v>3</v>
      </c>
      <c r="CZ4" s="183">
        <v>1190.7963013604976</v>
      </c>
      <c r="DA4" s="183">
        <v>1237.2527179793328</v>
      </c>
      <c r="DB4" s="183">
        <v>1202.3474843966167</v>
      </c>
      <c r="DC4" s="183">
        <v>1240.4482606157922</v>
      </c>
      <c r="DD4" s="183">
        <f t="shared" si="6"/>
        <v>38.100776219175486</v>
      </c>
      <c r="DE4" s="130">
        <f>DB4-CK4</f>
        <v>45.739649287401107</v>
      </c>
      <c r="DF4" s="179" t="s">
        <v>377</v>
      </c>
      <c r="DG4" s="542">
        <v>3</v>
      </c>
      <c r="DH4" s="183">
        <v>1190.7963013604976</v>
      </c>
      <c r="DI4" s="183">
        <v>1202.3474843966167</v>
      </c>
      <c r="DJ4" s="183">
        <f t="shared" si="22"/>
        <v>1199.3474843966167</v>
      </c>
      <c r="DK4" s="181"/>
      <c r="DL4" s="147">
        <v>1380</v>
      </c>
      <c r="DM4" s="183">
        <f t="shared" si="23"/>
        <v>177.65251560338334</v>
      </c>
      <c r="DN4" s="296">
        <f t="shared" si="24"/>
        <v>0.12873370695897343</v>
      </c>
    </row>
    <row r="5" spans="2:118"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c r="AI5" s="123" t="s">
        <v>372</v>
      </c>
      <c r="AJ5" s="123" t="s">
        <v>372</v>
      </c>
      <c r="AK5" t="s">
        <v>392</v>
      </c>
      <c r="AL5" s="936"/>
      <c r="AM5" s="189" t="str">
        <f>U5</f>
        <v>B6.2</v>
      </c>
      <c r="AN5" s="189" t="str">
        <f>W5</f>
        <v>B1</v>
      </c>
      <c r="AO5" s="189" t="str">
        <f>Y5</f>
        <v>B2.2</v>
      </c>
      <c r="AP5" s="189" t="str">
        <f>AA5</f>
        <v>B5</v>
      </c>
      <c r="AQ5" s="189" t="str">
        <f>AC5</f>
        <v>B7</v>
      </c>
      <c r="AR5" s="189" t="str">
        <f>AE5</f>
        <v>B4</v>
      </c>
      <c r="AS5" s="189"/>
      <c r="AU5" s="189" t="str">
        <f t="shared" ref="AU5:BA5" si="27">AM5</f>
        <v>B6.2</v>
      </c>
      <c r="AV5" s="189" t="str">
        <f t="shared" si="27"/>
        <v>B1</v>
      </c>
      <c r="AW5" s="189" t="str">
        <f t="shared" si="27"/>
        <v>B2.2</v>
      </c>
      <c r="AX5" s="189" t="str">
        <f t="shared" si="27"/>
        <v>B5</v>
      </c>
      <c r="AY5" s="189" t="str">
        <f t="shared" si="27"/>
        <v>B7</v>
      </c>
      <c r="AZ5" s="189" t="str">
        <f t="shared" si="27"/>
        <v>B4</v>
      </c>
      <c r="BA5" s="189">
        <f t="shared" si="27"/>
        <v>0</v>
      </c>
      <c r="BG5" s="325">
        <f>AK18</f>
        <v>1130</v>
      </c>
      <c r="BH5" s="330">
        <f>BG5/$BG$6</f>
        <v>1.036697247706422</v>
      </c>
      <c r="BI5" s="332">
        <f>'H_Tỷ lệ HH&amp;PS (-PS)'!EG12</f>
        <v>944.59099984842601</v>
      </c>
      <c r="BJ5" s="497">
        <f t="shared" si="7"/>
        <v>1</v>
      </c>
      <c r="BK5" s="525">
        <f t="shared" si="8"/>
        <v>185.40900015157399</v>
      </c>
      <c r="BL5" s="166">
        <f t="shared" si="9"/>
        <v>0.16407876119608317</v>
      </c>
      <c r="BM5" s="335">
        <f>'Hảo_R&amp;D (Hạt-Full stage-Mix)'!AO18/26500*1000</f>
        <v>977.5238396395398</v>
      </c>
      <c r="BN5" s="294" t="str">
        <f>T18</f>
        <v>Hạt WSS03G</v>
      </c>
      <c r="BO5" s="543">
        <v>4</v>
      </c>
      <c r="BP5" s="295">
        <f>BC18</f>
        <v>3533.3333333333335</v>
      </c>
      <c r="BQ5" s="295">
        <f>BD18</f>
        <v>6666.666666666667</v>
      </c>
      <c r="BR5" s="296">
        <f t="shared" si="1"/>
        <v>6.6666666666666666E-2</v>
      </c>
      <c r="BS5" s="296">
        <f t="shared" si="3"/>
        <v>6.6666666666666666E-2</v>
      </c>
      <c r="BT5" s="295">
        <f t="shared" si="10"/>
        <v>294.44444444444446</v>
      </c>
      <c r="BU5" s="295">
        <f>BQ5/12</f>
        <v>555.55555555555554</v>
      </c>
      <c r="BV5" s="303">
        <f>'[8]ZCOR0019-03.26'!$BA$28</f>
        <v>0.30327623536668236</v>
      </c>
      <c r="BW5" s="304">
        <f>'[8]ZCOR0019-03.26'!$AZ$28/3*12/1000</f>
        <v>6787.7231999999995</v>
      </c>
      <c r="BX5" s="304">
        <f>BW5/3</f>
        <v>2262.5744</v>
      </c>
      <c r="BY5" s="725">
        <f t="shared" si="11"/>
        <v>7.5408288892182707E-2</v>
      </c>
      <c r="BZ5" s="304">
        <f>[9]Chart!$AV$7/1000</f>
        <v>1246.45</v>
      </c>
      <c r="CA5" s="304">
        <f t="shared" si="12"/>
        <v>311.61250000000001</v>
      </c>
      <c r="CB5" s="199">
        <f t="shared" si="13"/>
        <v>190</v>
      </c>
      <c r="CC5" s="526">
        <f t="shared" si="14"/>
        <v>0.16746122613821435</v>
      </c>
      <c r="CD5" s="294">
        <f>CD2</f>
        <v>140</v>
      </c>
      <c r="CE5" s="294">
        <f>CE4</f>
        <v>50</v>
      </c>
      <c r="CF5" s="295">
        <f t="shared" si="15"/>
        <v>1134.590999848426</v>
      </c>
      <c r="CG5" s="304">
        <f t="shared" si="16"/>
        <v>14722.222222222223</v>
      </c>
      <c r="CH5" s="295">
        <f t="shared" si="4"/>
        <v>390138888.8888889</v>
      </c>
      <c r="CJ5" s="295">
        <v>1171.2725917900818</v>
      </c>
      <c r="CK5" s="295">
        <f>CF5</f>
        <v>1134.590999848426</v>
      </c>
      <c r="CL5" s="295">
        <f>CK5-CJ5</f>
        <v>-36.681591941655824</v>
      </c>
      <c r="CM5" s="294"/>
      <c r="CN5" s="304">
        <f>CN4-70</f>
        <v>1310</v>
      </c>
      <c r="CO5" s="295">
        <f>CN5-CK5</f>
        <v>175.40900015157399</v>
      </c>
      <c r="CP5" s="296">
        <f t="shared" si="5"/>
        <v>0.13390000011570533</v>
      </c>
      <c r="CQ5" s="295">
        <v>1171.2725917900818</v>
      </c>
      <c r="CR5" s="295">
        <v>1216.52754935843</v>
      </c>
      <c r="CS5" s="295">
        <f t="shared" si="19"/>
        <v>45.254957568348118</v>
      </c>
      <c r="CT5" s="294"/>
      <c r="CV5" s="787">
        <f t="shared" si="20"/>
        <v>0.17206793904700304</v>
      </c>
      <c r="CW5" s="526">
        <f t="shared" si="21"/>
        <v>0.27893816805463661</v>
      </c>
      <c r="CX5" s="294" t="s">
        <v>380</v>
      </c>
      <c r="CY5" s="543">
        <v>4</v>
      </c>
      <c r="CZ5" s="295">
        <v>1171.2725917900818</v>
      </c>
      <c r="DA5" s="295">
        <v>1216.52754935843</v>
      </c>
      <c r="DB5" s="295">
        <v>1182.5250373338874</v>
      </c>
      <c r="DC5" s="295">
        <v>1219.6404486508429</v>
      </c>
      <c r="DD5" s="295">
        <f t="shared" si="6"/>
        <v>37.115411316955488</v>
      </c>
      <c r="DE5" s="316"/>
      <c r="DF5" s="294" t="s">
        <v>380</v>
      </c>
      <c r="DG5" s="543">
        <v>4</v>
      </c>
      <c r="DH5" s="295">
        <v>1171.2725917900818</v>
      </c>
      <c r="DI5" s="295">
        <v>1182.5250373338874</v>
      </c>
      <c r="DJ5" s="295">
        <f t="shared" si="22"/>
        <v>1178.5250373338874</v>
      </c>
      <c r="DK5" s="294"/>
      <c r="DL5" s="304">
        <f>DL4-70</f>
        <v>1310</v>
      </c>
      <c r="DM5" s="295">
        <f>DL5-DI5</f>
        <v>127.47496266611256</v>
      </c>
      <c r="DN5" s="296">
        <f t="shared" si="24"/>
        <v>9.73091318061928E-2</v>
      </c>
    </row>
    <row r="6" spans="2:118" x14ac:dyDescent="0.35">
      <c r="T6" s="119" t="s">
        <v>390</v>
      </c>
      <c r="AG6" s="277">
        <v>0.3</v>
      </c>
      <c r="AH6" s="277"/>
      <c r="AM6" s="188">
        <f>SUM(AM7:AM11)</f>
        <v>2.5499999999999998</v>
      </c>
      <c r="AN6" s="188">
        <f t="shared" ref="AN6:AS6" si="28">SUM(AN7:AN11)</f>
        <v>2.0500000000000003</v>
      </c>
      <c r="AO6" s="188">
        <f t="shared" si="28"/>
        <v>0.15</v>
      </c>
      <c r="AP6" s="188">
        <f t="shared" si="28"/>
        <v>0.25</v>
      </c>
      <c r="AQ6" s="188">
        <f t="shared" si="28"/>
        <v>0</v>
      </c>
      <c r="AR6" s="188">
        <f t="shared" si="28"/>
        <v>0</v>
      </c>
      <c r="AS6" s="188">
        <f t="shared" si="28"/>
        <v>5</v>
      </c>
      <c r="AU6" s="188">
        <f>AM6/AM$2</f>
        <v>0.54255319148936176</v>
      </c>
      <c r="AV6" s="188">
        <f>AN6/AN$2</f>
        <v>0.26282051282051283</v>
      </c>
      <c r="AW6" s="188">
        <f t="shared" ref="AV6:BA11" si="29">AO6/AO$2</f>
        <v>0.37499999999999994</v>
      </c>
      <c r="AX6" s="188">
        <f t="shared" si="29"/>
        <v>0.25</v>
      </c>
      <c r="AY6" s="188">
        <f t="shared" si="29"/>
        <v>0</v>
      </c>
      <c r="AZ6" s="188">
        <f t="shared" si="29"/>
        <v>0</v>
      </c>
      <c r="BA6" s="188">
        <f t="shared" si="29"/>
        <v>0.33333333333333331</v>
      </c>
      <c r="BC6" s="275">
        <f>$BC$1*BA6</f>
        <v>17666.666666666664</v>
      </c>
      <c r="BD6" s="275">
        <f t="shared" ref="BD6:BD11" si="30">$BD$1*BA6</f>
        <v>33333.333333333328</v>
      </c>
      <c r="BE6" s="196">
        <f t="shared" ref="BE6:BF11" si="31">BC6/12</f>
        <v>1472.2222222222219</v>
      </c>
      <c r="BF6" s="196">
        <f t="shared" si="31"/>
        <v>2777.7777777777774</v>
      </c>
      <c r="BG6" s="326">
        <f>AK9</f>
        <v>1090</v>
      </c>
      <c r="BH6" s="331">
        <f>BG6/$BG$6</f>
        <v>1</v>
      </c>
      <c r="BI6" s="496">
        <f>BI5</f>
        <v>944.59099984842601</v>
      </c>
      <c r="BJ6" s="497">
        <f t="shared" si="7"/>
        <v>1</v>
      </c>
      <c r="BK6" s="525">
        <f>BG6-BI6</f>
        <v>145.40900015157399</v>
      </c>
      <c r="BL6" s="166">
        <f t="shared" si="9"/>
        <v>0.13340275243263669</v>
      </c>
      <c r="BM6" s="334"/>
      <c r="BN6" s="294" t="str">
        <f>T9</f>
        <v>Hạt WSS03G-PW</v>
      </c>
      <c r="BO6" s="543">
        <v>5</v>
      </c>
      <c r="BP6" s="295">
        <f>BC9+BC26</f>
        <v>7066.666666666667</v>
      </c>
      <c r="BQ6" s="295">
        <f>BD9+BD26</f>
        <v>13333.333333333334</v>
      </c>
      <c r="BR6" s="296">
        <f t="shared" si="1"/>
        <v>0.13333333333333333</v>
      </c>
      <c r="BS6" s="296">
        <f t="shared" si="3"/>
        <v>0.13333333333333333</v>
      </c>
      <c r="BT6" s="295">
        <f t="shared" si="10"/>
        <v>588.88888888888891</v>
      </c>
      <c r="BU6" s="295">
        <f t="shared" si="10"/>
        <v>1111.1111111111111</v>
      </c>
      <c r="BV6" s="294"/>
      <c r="BW6" s="304"/>
      <c r="BX6" s="294"/>
      <c r="BY6" s="725">
        <f t="shared" si="11"/>
        <v>5.4569598925547594E-2</v>
      </c>
      <c r="BZ6" s="304">
        <f>[9]Chart!$AV$8/1000</f>
        <v>902</v>
      </c>
      <c r="CA6" s="304">
        <f t="shared" si="12"/>
        <v>225.5</v>
      </c>
      <c r="CB6" s="199">
        <f t="shared" si="13"/>
        <v>190</v>
      </c>
      <c r="CC6" s="526">
        <f t="shared" si="14"/>
        <v>0.16746122613821435</v>
      </c>
      <c r="CD6" s="294">
        <f>CD2</f>
        <v>140</v>
      </c>
      <c r="CE6" s="294">
        <f>CE5</f>
        <v>50</v>
      </c>
      <c r="CF6" s="295">
        <f t="shared" si="15"/>
        <v>1134.590999848426</v>
      </c>
      <c r="CG6" s="304">
        <f t="shared" si="16"/>
        <v>29444.444444444445</v>
      </c>
      <c r="CH6" s="295">
        <f t="shared" si="4"/>
        <v>780277777.77777779</v>
      </c>
      <c r="CJ6" s="295">
        <v>1171.2725917900818</v>
      </c>
      <c r="CK6" s="295">
        <f>CF6</f>
        <v>1134.590999848426</v>
      </c>
      <c r="CL6" s="295">
        <f t="shared" si="17"/>
        <v>-36.681591941655824</v>
      </c>
      <c r="CM6" s="294"/>
      <c r="CN6" s="304">
        <f>CN4-130</f>
        <v>1250</v>
      </c>
      <c r="CO6" s="295">
        <f t="shared" si="18"/>
        <v>115.40900015157399</v>
      </c>
      <c r="CP6" s="296">
        <f t="shared" si="5"/>
        <v>9.2327200121259195E-2</v>
      </c>
      <c r="CQ6" s="295">
        <v>1171.2725917900818</v>
      </c>
      <c r="CR6" s="295">
        <v>1216.52754935843</v>
      </c>
      <c r="CS6" s="295">
        <f t="shared" si="19"/>
        <v>45.254957568348118</v>
      </c>
      <c r="CT6" s="294"/>
      <c r="CV6" s="787">
        <f t="shared" si="20"/>
        <v>0.1323272001212592</v>
      </c>
      <c r="CW6" s="526">
        <f t="shared" si="21"/>
        <v>0.24432720012125919</v>
      </c>
      <c r="CX6" s="294" t="s">
        <v>370</v>
      </c>
      <c r="CY6" s="543">
        <v>5</v>
      </c>
      <c r="CZ6" s="295">
        <v>1171.2725917900818</v>
      </c>
      <c r="DA6" s="295">
        <v>1216.52754935843</v>
      </c>
      <c r="DB6" s="295">
        <v>1182.5250373338874</v>
      </c>
      <c r="DC6" s="295">
        <v>1219.6404486508429</v>
      </c>
      <c r="DD6" s="295">
        <f t="shared" si="6"/>
        <v>37.115411316955488</v>
      </c>
      <c r="DF6" s="294" t="s">
        <v>370</v>
      </c>
      <c r="DG6" s="543">
        <v>5</v>
      </c>
      <c r="DH6" s="295">
        <v>1171.2725917900818</v>
      </c>
      <c r="DI6" s="295">
        <v>1182.5250373338874</v>
      </c>
      <c r="DJ6" s="295">
        <f t="shared" si="22"/>
        <v>1177.5250373338874</v>
      </c>
      <c r="DK6" s="294"/>
      <c r="DL6" s="304">
        <f>DL4-130</f>
        <v>1250</v>
      </c>
      <c r="DM6" s="295">
        <f t="shared" ref="DM6:DM9" si="32">DL6-DI6</f>
        <v>67.47496266611256</v>
      </c>
      <c r="DN6" s="296">
        <f t="shared" si="24"/>
        <v>5.3979970132890048E-2</v>
      </c>
    </row>
    <row r="7" spans="2:118" s="284" customFormat="1" x14ac:dyDescent="0.35">
      <c r="S7" s="284">
        <v>3</v>
      </c>
      <c r="T7" s="285" t="s">
        <v>368</v>
      </c>
      <c r="U7" s="286">
        <v>0.1</v>
      </c>
      <c r="V7" s="287">
        <f>U7*$U$3</f>
        <v>1902.7282665358136</v>
      </c>
      <c r="W7" s="286">
        <v>0.9</v>
      </c>
      <c r="X7" s="287">
        <f>W7*$W$3</f>
        <v>18152.177894224213</v>
      </c>
      <c r="Y7" s="285"/>
      <c r="Z7" s="287">
        <f>Y7*$Y$3</f>
        <v>0</v>
      </c>
      <c r="AA7" s="285"/>
      <c r="AB7" s="285">
        <f>AA7*$AA$3</f>
        <v>0</v>
      </c>
      <c r="AC7" s="285"/>
      <c r="AD7" s="285">
        <f>AC7*$AC$3</f>
        <v>0</v>
      </c>
      <c r="AE7" s="285"/>
      <c r="AF7" s="285">
        <f>AE7*$AE$3</f>
        <v>0</v>
      </c>
      <c r="AG7" s="288">
        <f>U7+W7+Y7+AA7+AC7+AE7</f>
        <v>1</v>
      </c>
      <c r="AH7" s="288">
        <f>$U7*$U2*$W7*$W2+$Y7*$Y2+$AA7*$AA2+$AC7*$AC2+$AE7*$AE2</f>
        <v>5.6575555857226019E-2</v>
      </c>
      <c r="AI7" s="289">
        <f>V7+X7+Z7+AB7+AD7+AF7</f>
        <v>20054.906160760027</v>
      </c>
      <c r="AJ7" s="290">
        <f>$AJ$4*AK7</f>
        <v>30740000</v>
      </c>
      <c r="AK7" s="291">
        <v>1160</v>
      </c>
      <c r="AL7" s="284">
        <v>3</v>
      </c>
      <c r="AM7" s="292">
        <f>U7</f>
        <v>0.1</v>
      </c>
      <c r="AN7" s="292">
        <f>W7</f>
        <v>0.9</v>
      </c>
      <c r="AO7" s="293">
        <f>Y7</f>
        <v>0</v>
      </c>
      <c r="AP7" s="293">
        <f>AA7</f>
        <v>0</v>
      </c>
      <c r="AQ7" s="293">
        <f>AC7</f>
        <v>0</v>
      </c>
      <c r="AR7" s="293">
        <f>AE7</f>
        <v>0</v>
      </c>
      <c r="AS7" s="292">
        <f>SUM(AM7:AR7)</f>
        <v>1</v>
      </c>
      <c r="AU7" s="293">
        <f>AM7/AM$2</f>
        <v>2.1276595744680854E-2</v>
      </c>
      <c r="AV7" s="293">
        <f t="shared" si="29"/>
        <v>0.11538461538461538</v>
      </c>
      <c r="AW7" s="293">
        <f t="shared" si="29"/>
        <v>0</v>
      </c>
      <c r="AX7" s="293">
        <f t="shared" si="29"/>
        <v>0</v>
      </c>
      <c r="AY7" s="293">
        <f t="shared" si="29"/>
        <v>0</v>
      </c>
      <c r="AZ7" s="293">
        <f t="shared" si="29"/>
        <v>0</v>
      </c>
      <c r="BA7" s="293">
        <f>AS7/AS$2</f>
        <v>6.6666666666666666E-2</v>
      </c>
      <c r="BC7" s="291">
        <f t="shared" ref="BC7:BC11" si="33">$BC$1*BA7</f>
        <v>3533.3333333333335</v>
      </c>
      <c r="BD7" s="291">
        <f t="shared" si="30"/>
        <v>6666.666666666667</v>
      </c>
      <c r="BE7" s="291">
        <f t="shared" si="31"/>
        <v>294.44444444444446</v>
      </c>
      <c r="BF7" s="291">
        <f t="shared" si="31"/>
        <v>555.55555555555554</v>
      </c>
      <c r="BG7" s="291">
        <f>'H_Tỷ lệ HH&amp;PS'!CJ42</f>
        <v>1113.1088906437303</v>
      </c>
      <c r="BH7" s="448">
        <f t="shared" ref="BH7:BH9" si="34">BG7/$BG$6</f>
        <v>1.0212008171043399</v>
      </c>
      <c r="BI7" s="147">
        <f>'H_Tỷ lệ HH&amp;PS (-PS)'!EG43</f>
        <v>927.926942754322</v>
      </c>
      <c r="BJ7" s="506">
        <f t="shared" si="7"/>
        <v>0.98235844180520671</v>
      </c>
      <c r="BK7" s="525">
        <f>BG7-BI7</f>
        <v>185.18194788940832</v>
      </c>
      <c r="BL7" s="166">
        <f t="shared" si="9"/>
        <v>0.16636462923435494</v>
      </c>
      <c r="BM7" s="291"/>
      <c r="BN7" s="284" t="str">
        <f>T10</f>
        <v>Hạt WSS05SB (sợi ngắn)</v>
      </c>
      <c r="BO7" s="544">
        <v>6</v>
      </c>
      <c r="BP7" s="290">
        <f>BC10+BC28</f>
        <v>7066.666666666667</v>
      </c>
      <c r="BQ7" s="290">
        <f>BD10+BD28</f>
        <v>13333.333333333334</v>
      </c>
      <c r="BR7" s="293">
        <f t="shared" si="1"/>
        <v>0.13333333333333333</v>
      </c>
      <c r="BS7" s="293">
        <f t="shared" si="3"/>
        <v>0.13333333333333333</v>
      </c>
      <c r="BT7" s="290">
        <f t="shared" si="10"/>
        <v>588.88888888888891</v>
      </c>
      <c r="BU7" s="290">
        <f t="shared" si="10"/>
        <v>1111.1111111111111</v>
      </c>
      <c r="BV7" s="302">
        <f>'[8]ZCOR0019-03.26'!$BA$66</f>
        <v>8.0272039689665509E-2</v>
      </c>
      <c r="BW7" s="109">
        <f>'[8]ZCOR0019-03.26'!$AZ$66/3*12/1000</f>
        <v>1796.5944</v>
      </c>
      <c r="BX7" s="109">
        <f>BW7/3</f>
        <v>598.86479999999995</v>
      </c>
      <c r="BY7" s="153">
        <f t="shared" si="11"/>
        <v>4.124784096168331E-2</v>
      </c>
      <c r="BZ7" s="109">
        <f>[9]Chart!$AV$9/1000</f>
        <v>681.8</v>
      </c>
      <c r="CA7" s="109">
        <f t="shared" si="12"/>
        <v>170.45</v>
      </c>
      <c r="CB7" s="199">
        <f t="shared" si="13"/>
        <v>190</v>
      </c>
      <c r="CC7" s="526">
        <f t="shared" si="14"/>
        <v>0.16995743883932388</v>
      </c>
      <c r="CD7" s="284">
        <f>CD2</f>
        <v>140</v>
      </c>
      <c r="CE7" s="284">
        <f>CE6</f>
        <v>50</v>
      </c>
      <c r="CF7" s="130">
        <f t="shared" si="15"/>
        <v>1117.926942754322</v>
      </c>
      <c r="CG7" s="109">
        <f t="shared" si="16"/>
        <v>29444.444444444445</v>
      </c>
      <c r="CH7" s="290">
        <f t="shared" si="4"/>
        <v>780277777.77777779</v>
      </c>
      <c r="CJ7" s="290">
        <v>1090.8603314552352</v>
      </c>
      <c r="CK7" s="290">
        <f t="shared" ref="CK7:CK9" si="35">CF7</f>
        <v>1117.926942754322</v>
      </c>
      <c r="CL7" s="290">
        <f t="shared" si="17"/>
        <v>27.066611299086844</v>
      </c>
      <c r="CN7" s="291">
        <f>CN4-130</f>
        <v>1250</v>
      </c>
      <c r="CO7" s="290">
        <f t="shared" si="18"/>
        <v>132.073057245678</v>
      </c>
      <c r="CP7" s="296">
        <f t="shared" si="5"/>
        <v>0.10565844579654241</v>
      </c>
      <c r="CQ7" s="290">
        <v>1090.8603314552352</v>
      </c>
      <c r="CR7" s="290">
        <v>1131.1668422337466</v>
      </c>
      <c r="CS7" s="290">
        <f t="shared" si="19"/>
        <v>40.306510778511438</v>
      </c>
      <c r="CV7" s="787">
        <f t="shared" si="20"/>
        <v>0.14565844579654241</v>
      </c>
      <c r="CW7" s="526">
        <f t="shared" si="21"/>
        <v>0.2576584457965424</v>
      </c>
      <c r="CX7" s="284" t="s">
        <v>371</v>
      </c>
      <c r="CY7" s="544">
        <v>6</v>
      </c>
      <c r="CZ7" s="290">
        <v>1090.8603314552352</v>
      </c>
      <c r="DA7" s="290">
        <v>1131.1668422337466</v>
      </c>
      <c r="DB7" s="290">
        <v>1163.1088906437303</v>
      </c>
      <c r="DC7" s="290">
        <v>1198.7075306113886</v>
      </c>
      <c r="DD7" s="290">
        <f t="shared" si="6"/>
        <v>35.598639967658301</v>
      </c>
      <c r="DF7" s="284" t="s">
        <v>371</v>
      </c>
      <c r="DG7" s="544">
        <v>6</v>
      </c>
      <c r="DH7" s="290">
        <v>1090.8603314552352</v>
      </c>
      <c r="DI7" s="290">
        <v>1163.1088906437303</v>
      </c>
      <c r="DJ7" s="290">
        <f t="shared" si="22"/>
        <v>1157.1088906437303</v>
      </c>
      <c r="DL7" s="291">
        <f>DL4-130</f>
        <v>1250</v>
      </c>
      <c r="DM7" s="290">
        <f t="shared" si="32"/>
        <v>86.891109356269681</v>
      </c>
      <c r="DN7" s="296">
        <f t="shared" si="24"/>
        <v>6.9512887485015745E-2</v>
      </c>
    </row>
    <row r="8" spans="2:118" x14ac:dyDescent="0.35">
      <c r="S8">
        <v>2</v>
      </c>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2">
        <f t="shared" ref="AG8:AG11" si="36">U8+W8+Y8+AA8+AC8+AE8</f>
        <v>1</v>
      </c>
      <c r="AH8" s="122"/>
      <c r="AI8" s="167">
        <f>V8+X8+Z8+AB8+AD8+AF8</f>
        <v>19826.54538400405</v>
      </c>
      <c r="AJ8" s="130">
        <f>$AJ$4*AK8</f>
        <v>31535000</v>
      </c>
      <c r="AK8" s="130">
        <f>AK7+30</f>
        <v>1190</v>
      </c>
      <c r="AL8">
        <v>2</v>
      </c>
      <c r="AM8" s="69">
        <f>U8</f>
        <v>0.3</v>
      </c>
      <c r="AN8" s="69">
        <f>W8</f>
        <v>0.7</v>
      </c>
      <c r="AO8" s="110">
        <f>Y8</f>
        <v>0</v>
      </c>
      <c r="AP8" s="110">
        <f>AA8</f>
        <v>0</v>
      </c>
      <c r="AQ8" s="110">
        <f>AC8</f>
        <v>0</v>
      </c>
      <c r="AR8" s="110">
        <f>AE8</f>
        <v>0</v>
      </c>
      <c r="AS8" s="69">
        <f>SUM(AM8:AR8)</f>
        <v>1</v>
      </c>
      <c r="AU8" s="110">
        <f>AM8/AM$2</f>
        <v>6.3829787234042562E-2</v>
      </c>
      <c r="AV8" s="110">
        <f t="shared" si="29"/>
        <v>8.974358974358973E-2</v>
      </c>
      <c r="AW8" s="110">
        <f t="shared" si="29"/>
        <v>0</v>
      </c>
      <c r="AX8" s="110">
        <f t="shared" si="29"/>
        <v>0</v>
      </c>
      <c r="AY8" s="110">
        <f t="shared" si="29"/>
        <v>0</v>
      </c>
      <c r="AZ8" s="110">
        <f t="shared" si="29"/>
        <v>0</v>
      </c>
      <c r="BA8" s="110">
        <f>AS8/AS$2</f>
        <v>6.6666666666666666E-2</v>
      </c>
      <c r="BC8" s="109">
        <f t="shared" si="33"/>
        <v>3533.3333333333335</v>
      </c>
      <c r="BD8" s="109">
        <f t="shared" si="30"/>
        <v>6666.666666666667</v>
      </c>
      <c r="BE8" s="109">
        <f t="shared" si="31"/>
        <v>294.44444444444446</v>
      </c>
      <c r="BF8" s="109">
        <f t="shared" si="31"/>
        <v>555.55555555555554</v>
      </c>
      <c r="BG8" s="109">
        <f>'H_Tỷ lệ HH&amp;PS'!CJ44</f>
        <v>912.35859229517871</v>
      </c>
      <c r="BH8" s="448">
        <f t="shared" si="34"/>
        <v>0.83702623146346666</v>
      </c>
      <c r="BI8" s="147">
        <f>'H_Tỷ lệ HH&amp;PS (-PS)'!EG45</f>
        <v>852.41979540602119</v>
      </c>
      <c r="BJ8" s="506">
        <f t="shared" si="7"/>
        <v>0.90242210178035243</v>
      </c>
      <c r="BK8" s="525">
        <f>BG8-BI8</f>
        <v>59.938796889157516</v>
      </c>
      <c r="BL8" s="166">
        <f t="shared" si="9"/>
        <v>6.5696533572805221E-2</v>
      </c>
      <c r="BM8" s="109"/>
      <c r="BN8" s="297" t="str">
        <f>T11</f>
        <v>Vảy FPET201-Out</v>
      </c>
      <c r="BO8" s="545">
        <v>7</v>
      </c>
      <c r="BP8" s="298">
        <f>BC11+BC29</f>
        <v>7066.666666666667</v>
      </c>
      <c r="BQ8" s="298">
        <f>BD11+BD29</f>
        <v>13333.333333333334</v>
      </c>
      <c r="BR8" s="299">
        <f t="shared" si="1"/>
        <v>0.13333333333333333</v>
      </c>
      <c r="BS8" s="299">
        <f t="shared" si="3"/>
        <v>0.13333333333333333</v>
      </c>
      <c r="BT8" s="298">
        <f t="shared" si="10"/>
        <v>588.88888888888891</v>
      </c>
      <c r="BU8" s="298">
        <f t="shared" si="10"/>
        <v>1111.1111111111111</v>
      </c>
      <c r="BV8" s="297"/>
      <c r="BW8" s="504"/>
      <c r="BX8" s="297"/>
      <c r="BY8" s="726">
        <f t="shared" si="11"/>
        <v>3.9928974823571411E-2</v>
      </c>
      <c r="BZ8" s="504">
        <f>[9]Chart!$AV$10/1000</f>
        <v>660</v>
      </c>
      <c r="CA8" s="504">
        <f t="shared" si="12"/>
        <v>165</v>
      </c>
      <c r="CB8" s="199">
        <f t="shared" si="13"/>
        <v>190</v>
      </c>
      <c r="CC8" s="526">
        <f t="shared" si="14"/>
        <v>0.18226821942305427</v>
      </c>
      <c r="CD8" s="297">
        <f>CD2</f>
        <v>140</v>
      </c>
      <c r="CE8" s="297">
        <f>CE7</f>
        <v>50</v>
      </c>
      <c r="CF8" s="298">
        <f t="shared" si="15"/>
        <v>1042.4197954060212</v>
      </c>
      <c r="CG8" s="504">
        <f t="shared" si="16"/>
        <v>29444.444444444445</v>
      </c>
      <c r="CH8" s="298">
        <f t="shared" si="4"/>
        <v>780277777.77777779</v>
      </c>
      <c r="CJ8" s="298">
        <v>957.61638694600788</v>
      </c>
      <c r="CK8" s="298">
        <f t="shared" si="35"/>
        <v>1042.4197954060212</v>
      </c>
      <c r="CL8" s="298">
        <f t="shared" si="17"/>
        <v>84.803408460013316</v>
      </c>
      <c r="CM8" s="297"/>
      <c r="CN8" s="504">
        <f>CN4-130-CD2/2-127</f>
        <v>1053</v>
      </c>
      <c r="CO8" s="298">
        <f t="shared" si="18"/>
        <v>10.580204593978806</v>
      </c>
      <c r="CP8" s="296">
        <f t="shared" si="5"/>
        <v>1.0047677677092883E-2</v>
      </c>
      <c r="CQ8" s="298">
        <v>957.61638694600788</v>
      </c>
      <c r="CR8" s="298">
        <v>997.56536441220032</v>
      </c>
      <c r="CS8" s="298">
        <f t="shared" si="19"/>
        <v>39.948977466192446</v>
      </c>
      <c r="CT8" s="297"/>
      <c r="CV8" s="787">
        <f t="shared" si="20"/>
        <v>5.7531058493807033E-2</v>
      </c>
      <c r="CW8" s="526">
        <f t="shared" si="21"/>
        <v>0.19048452478060665</v>
      </c>
      <c r="CX8" s="297" t="s">
        <v>373</v>
      </c>
      <c r="CY8" s="545">
        <v>7</v>
      </c>
      <c r="CZ8" s="298">
        <v>957.61638694600788</v>
      </c>
      <c r="DA8" s="298">
        <v>997.56536441220032</v>
      </c>
      <c r="DB8" s="298">
        <v>1032.3585922951788</v>
      </c>
      <c r="DC8" s="298">
        <v>1067.7948973596795</v>
      </c>
      <c r="DD8" s="298">
        <f t="shared" si="6"/>
        <v>35.43630506450063</v>
      </c>
      <c r="DF8" s="297" t="s">
        <v>373</v>
      </c>
      <c r="DG8" s="545">
        <v>7</v>
      </c>
      <c r="DH8" s="298">
        <v>957.61638694600788</v>
      </c>
      <c r="DI8" s="298">
        <v>1032.3585922951788</v>
      </c>
      <c r="DJ8" s="298">
        <f t="shared" si="22"/>
        <v>1025.3585922951788</v>
      </c>
      <c r="DK8" s="297"/>
      <c r="DL8" s="504">
        <f>CN8</f>
        <v>1053</v>
      </c>
      <c r="DM8" s="298">
        <f>DL8-DI8</f>
        <v>20.641407704821177</v>
      </c>
      <c r="DN8" s="296">
        <f t="shared" si="24"/>
        <v>1.9602476452821632E-2</v>
      </c>
    </row>
    <row r="9" spans="2:118" x14ac:dyDescent="0.35">
      <c r="S9">
        <v>5</v>
      </c>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36"/>
        <v>1</v>
      </c>
      <c r="AH9" s="122"/>
      <c r="AI9" s="167">
        <f>V9+X9+Z9+AB9+AD9+AF9</f>
        <v>19112.177744792491</v>
      </c>
      <c r="AJ9" s="130">
        <f>$AJ$4*AK9</f>
        <v>28885000</v>
      </c>
      <c r="AK9" s="130">
        <f>AK7-70</f>
        <v>1090</v>
      </c>
      <c r="AL9">
        <v>5</v>
      </c>
      <c r="AM9" s="69">
        <f>U9</f>
        <v>0.55000000000000004</v>
      </c>
      <c r="AN9" s="69">
        <f>W9</f>
        <v>0.3</v>
      </c>
      <c r="AO9" s="110">
        <f>Y9</f>
        <v>0.15</v>
      </c>
      <c r="AP9" s="110">
        <f>AA9</f>
        <v>0</v>
      </c>
      <c r="AQ9" s="110">
        <f>AC9</f>
        <v>0</v>
      </c>
      <c r="AR9" s="110">
        <f>AE9</f>
        <v>0</v>
      </c>
      <c r="AS9" s="69">
        <f>SUM(AM9:AR9)</f>
        <v>1</v>
      </c>
      <c r="AU9" s="110">
        <f>AM9/AM$2</f>
        <v>0.11702127659574471</v>
      </c>
      <c r="AV9" s="110">
        <f t="shared" si="29"/>
        <v>3.8461538461538457E-2</v>
      </c>
      <c r="AW9" s="110">
        <f t="shared" si="29"/>
        <v>0.37499999999999994</v>
      </c>
      <c r="AX9" s="110">
        <f t="shared" si="29"/>
        <v>0</v>
      </c>
      <c r="AY9" s="110">
        <f t="shared" si="29"/>
        <v>0</v>
      </c>
      <c r="AZ9" s="110">
        <f t="shared" si="29"/>
        <v>0</v>
      </c>
      <c r="BA9" s="110">
        <f t="shared" si="29"/>
        <v>6.6666666666666666E-2</v>
      </c>
      <c r="BC9" s="109">
        <f t="shared" si="33"/>
        <v>3533.3333333333335</v>
      </c>
      <c r="BD9" s="109">
        <f t="shared" si="30"/>
        <v>6666.666666666667</v>
      </c>
      <c r="BE9" s="109">
        <f t="shared" si="31"/>
        <v>294.44444444444446</v>
      </c>
      <c r="BF9" s="109">
        <f t="shared" si="31"/>
        <v>555.55555555555554</v>
      </c>
      <c r="BG9" s="109">
        <v>800</v>
      </c>
      <c r="BH9" s="448">
        <f t="shared" si="34"/>
        <v>0.73394495412844041</v>
      </c>
      <c r="BI9" s="147">
        <f>'H_Tỷ lệ HH&amp;PS (-PS)'!AQ69</f>
        <v>886.59604535253879</v>
      </c>
      <c r="BJ9" s="506">
        <f t="shared" si="7"/>
        <v>0.93860310493621746</v>
      </c>
      <c r="BK9" s="525">
        <f>BG9-BI9</f>
        <v>-86.596045352538795</v>
      </c>
      <c r="BL9" s="166">
        <f t="shared" si="9"/>
        <v>-0.1082450566906735</v>
      </c>
      <c r="BM9" s="109"/>
      <c r="BN9" t="str">
        <f>T33</f>
        <v>Dây Đai</v>
      </c>
      <c r="BO9" s="65">
        <v>8</v>
      </c>
      <c r="BP9" s="130">
        <f>BC33</f>
        <v>3533.3333333333335</v>
      </c>
      <c r="BQ9" s="130">
        <f>BD33</f>
        <v>6666.666666666667</v>
      </c>
      <c r="BR9" s="110">
        <f t="shared" si="1"/>
        <v>6.6666666666666666E-2</v>
      </c>
      <c r="BS9" s="110">
        <f t="shared" si="3"/>
        <v>6.6666666666666666E-2</v>
      </c>
      <c r="BT9" s="130">
        <f t="shared" si="10"/>
        <v>294.44444444444446</v>
      </c>
      <c r="BU9" s="130">
        <f t="shared" si="10"/>
        <v>555.55555555555554</v>
      </c>
      <c r="BW9" s="109"/>
      <c r="BY9" s="153">
        <f t="shared" si="11"/>
        <v>9.4135583068904703E-3</v>
      </c>
      <c r="BZ9" s="109">
        <f>[9]Chart!$AV$11/1000</f>
        <v>155.6</v>
      </c>
      <c r="CA9" s="109">
        <f t="shared" si="12"/>
        <v>38.9</v>
      </c>
      <c r="CB9" s="199">
        <f t="shared" si="13"/>
        <v>190</v>
      </c>
      <c r="CC9" s="526">
        <f t="shared" si="14"/>
        <v>0.17648216415079176</v>
      </c>
      <c r="CD9">
        <f>CD2</f>
        <v>140</v>
      </c>
      <c r="CE9">
        <v>50</v>
      </c>
      <c r="CF9" s="130">
        <f t="shared" si="15"/>
        <v>1076.5960453525388</v>
      </c>
      <c r="CG9" s="109">
        <f t="shared" si="16"/>
        <v>14722.222222222223</v>
      </c>
      <c r="CH9" s="130">
        <f t="shared" si="4"/>
        <v>390138888.8888889</v>
      </c>
      <c r="CJ9" s="290">
        <v>893.61542527672191</v>
      </c>
      <c r="CK9" s="290">
        <f t="shared" si="35"/>
        <v>1076.5960453525388</v>
      </c>
      <c r="CL9" s="290">
        <f t="shared" si="17"/>
        <v>182.98062007581689</v>
      </c>
      <c r="CM9" s="284"/>
      <c r="CN9" s="291">
        <f>CN4-130</f>
        <v>1250</v>
      </c>
      <c r="CO9" s="290">
        <f t="shared" si="18"/>
        <v>173.40395464746121</v>
      </c>
      <c r="CP9" s="296">
        <f t="shared" si="5"/>
        <v>0.13872316371796897</v>
      </c>
      <c r="CQ9" s="290">
        <v>893.61542527672191</v>
      </c>
      <c r="CR9" s="290">
        <v>922.98159948823559</v>
      </c>
      <c r="CS9" s="290">
        <f t="shared" si="19"/>
        <v>29.36617421151368</v>
      </c>
      <c r="CT9" s="284"/>
      <c r="CV9" s="787">
        <f t="shared" si="20"/>
        <v>0.17872316371796895</v>
      </c>
      <c r="CW9" s="526">
        <f t="shared" si="21"/>
        <v>0.29072316371796897</v>
      </c>
      <c r="CX9" t="s">
        <v>381</v>
      </c>
      <c r="CY9" s="65">
        <v>8</v>
      </c>
      <c r="CZ9" s="290">
        <v>893.61542527672191</v>
      </c>
      <c r="DA9" s="290">
        <v>922.98159948823559</v>
      </c>
      <c r="DB9" s="290">
        <v>1076.5960453525388</v>
      </c>
      <c r="DC9" s="290">
        <v>1108.912595402122</v>
      </c>
      <c r="DD9" s="290">
        <f t="shared" si="6"/>
        <v>32.316550049583157</v>
      </c>
      <c r="DF9" t="s">
        <v>381</v>
      </c>
      <c r="DG9" s="65">
        <v>8</v>
      </c>
      <c r="DH9" s="290">
        <v>893.61542527672191</v>
      </c>
      <c r="DI9" s="290">
        <v>1076.5960453525388</v>
      </c>
      <c r="DJ9" s="290">
        <f t="shared" si="22"/>
        <v>1068.5960453525388</v>
      </c>
      <c r="DK9" s="284"/>
      <c r="DL9" s="291">
        <f>DL4-130</f>
        <v>1250</v>
      </c>
      <c r="DM9" s="290">
        <f t="shared" si="32"/>
        <v>173.40395464746121</v>
      </c>
      <c r="DN9" s="296">
        <f t="shared" si="24"/>
        <v>0.13872316371796897</v>
      </c>
    </row>
    <row r="10" spans="2:118" x14ac:dyDescent="0.35">
      <c r="S10">
        <v>6</v>
      </c>
      <c r="T10" s="117" t="s">
        <v>371</v>
      </c>
      <c r="U10" s="118">
        <v>0.95</v>
      </c>
      <c r="V10" s="134">
        <f>U10*$U$3</f>
        <v>18075.918532090229</v>
      </c>
      <c r="W10" s="261"/>
      <c r="X10" s="263">
        <f>W10*$W$3</f>
        <v>0</v>
      </c>
      <c r="Y10" s="117"/>
      <c r="Z10" s="134">
        <f>Y10*$Y$3</f>
        <v>0</v>
      </c>
      <c r="AA10" s="261">
        <v>0.05</v>
      </c>
      <c r="AB10" s="262">
        <f>AA10*$AA$3</f>
        <v>777.76432381947461</v>
      </c>
      <c r="AC10" s="117"/>
      <c r="AD10" s="117">
        <f>AC10*$AC$3</f>
        <v>0</v>
      </c>
      <c r="AE10" s="117"/>
      <c r="AF10" s="117">
        <f>AE10*$AE$3</f>
        <v>0</v>
      </c>
      <c r="AG10" s="122">
        <f t="shared" si="36"/>
        <v>1</v>
      </c>
      <c r="AH10" s="122"/>
      <c r="AI10" s="167">
        <f>V10+X10+Z10+AB10+AD10+AF10</f>
        <v>18853.682855909705</v>
      </c>
      <c r="AJ10" s="130">
        <f>$AJ$4*AK10</f>
        <v>19080000</v>
      </c>
      <c r="AK10" s="130">
        <v>720</v>
      </c>
      <c r="AL10">
        <v>6</v>
      </c>
      <c r="AM10" s="69">
        <f>U10</f>
        <v>0.95</v>
      </c>
      <c r="AN10" s="69">
        <f>W10</f>
        <v>0</v>
      </c>
      <c r="AO10" s="110">
        <f>Y10</f>
        <v>0</v>
      </c>
      <c r="AP10" s="110">
        <f>AA10</f>
        <v>0.05</v>
      </c>
      <c r="AQ10" s="110">
        <f>AC10</f>
        <v>0</v>
      </c>
      <c r="AR10" s="110">
        <f>AE10</f>
        <v>0</v>
      </c>
      <c r="AS10" s="69">
        <f>SUM(AM10:AR10)</f>
        <v>1</v>
      </c>
      <c r="AU10" s="110">
        <f>AM10/AM$2</f>
        <v>0.2021276595744681</v>
      </c>
      <c r="AV10" s="110">
        <f t="shared" si="29"/>
        <v>0</v>
      </c>
      <c r="AW10" s="110">
        <f t="shared" si="29"/>
        <v>0</v>
      </c>
      <c r="AX10" s="110">
        <f t="shared" si="29"/>
        <v>0.05</v>
      </c>
      <c r="AY10" s="110">
        <f t="shared" si="29"/>
        <v>0</v>
      </c>
      <c r="AZ10" s="110">
        <f t="shared" si="29"/>
        <v>0</v>
      </c>
      <c r="BA10" s="110">
        <f t="shared" si="29"/>
        <v>6.6666666666666666E-2</v>
      </c>
      <c r="BC10" s="109">
        <f t="shared" si="33"/>
        <v>3533.3333333333335</v>
      </c>
      <c r="BD10" s="109">
        <f t="shared" si="30"/>
        <v>6666.666666666667</v>
      </c>
      <c r="BE10" s="109">
        <f t="shared" si="31"/>
        <v>294.44444444444446</v>
      </c>
      <c r="BF10" s="109">
        <f t="shared" si="31"/>
        <v>555.55555555555554</v>
      </c>
      <c r="BG10" s="109"/>
      <c r="BH10" s="109"/>
      <c r="BI10" s="109"/>
      <c r="BJ10" s="109"/>
      <c r="BK10" s="527">
        <f>AVERAGE(BK2:BK9)</f>
        <v>153.69240209396602</v>
      </c>
      <c r="BL10" s="528">
        <f>AVERAGE(BL2:BL9)</f>
        <v>0.12945946462449323</v>
      </c>
      <c r="BM10" s="109"/>
      <c r="BT10" s="205">
        <f>SUM(BT2:BT9)</f>
        <v>4416.6666666666661</v>
      </c>
      <c r="BU10" s="205">
        <f>SUM(BU2:BU9)</f>
        <v>8333.3333333333339</v>
      </c>
      <c r="BW10" s="205">
        <f>SUM(BW2:BW9)</f>
        <v>18460.262000000002</v>
      </c>
      <c r="BX10" s="205">
        <f>SUM(BX2:BX9)</f>
        <v>6153.4206666666669</v>
      </c>
      <c r="BY10" s="724">
        <f t="shared" si="11"/>
        <v>1</v>
      </c>
      <c r="BZ10" s="205">
        <f t="shared" ref="BZ10:CA10" si="37">SUM(BZ2:BZ9)</f>
        <v>16529.349999999999</v>
      </c>
      <c r="CA10" s="205">
        <f t="shared" si="37"/>
        <v>4132.3374999999996</v>
      </c>
      <c r="CB10" s="205"/>
      <c r="CC10" s="548">
        <f>AVERAGE(CC2:CC9)</f>
        <v>0.17645296534901089</v>
      </c>
      <c r="CD10" s="553">
        <f>CE10/CF10</f>
        <v>5.2187846283943684E-2</v>
      </c>
      <c r="CE10" s="524">
        <f>AVERAGE(CE2:CE9)</f>
        <v>58.75</v>
      </c>
      <c r="CF10" s="524">
        <f>AVERAGE(CF2:CF9)</f>
        <v>1125.7410332733975</v>
      </c>
      <c r="CG10" s="524">
        <f>SUM(CG2:CG9)</f>
        <v>247333.33333333331</v>
      </c>
      <c r="CH10" s="524">
        <f t="shared" si="4"/>
        <v>6554333333.333333</v>
      </c>
      <c r="CV10" s="786">
        <f>AVERAGE(CV2:CV9)</f>
        <v>0.17186071344856527</v>
      </c>
      <c r="CW10" s="548">
        <f>AVERAGE(CW2:CW9)</f>
        <v>0.28083594420315167</v>
      </c>
    </row>
    <row r="11" spans="2:118" x14ac:dyDescent="0.35">
      <c r="S11">
        <v>7</v>
      </c>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36"/>
        <v>1</v>
      </c>
      <c r="AH11" s="122"/>
      <c r="AI11" s="167">
        <f>V11+X11+Z11+AB11+AD11+AF11</f>
        <v>18504.154010131388</v>
      </c>
      <c r="AJ11" s="130">
        <f>$AJ$4*AK11</f>
        <v>20140000</v>
      </c>
      <c r="AK11" s="130">
        <v>760</v>
      </c>
      <c r="AL11">
        <v>7</v>
      </c>
      <c r="AM11" s="69">
        <f>U11</f>
        <v>0.65</v>
      </c>
      <c r="AN11" s="69">
        <f>W11</f>
        <v>0.15</v>
      </c>
      <c r="AO11" s="110">
        <f>Y11</f>
        <v>0</v>
      </c>
      <c r="AP11" s="110">
        <f>AA11</f>
        <v>0.2</v>
      </c>
      <c r="AQ11" s="110">
        <f>AC11</f>
        <v>0</v>
      </c>
      <c r="AR11" s="110">
        <f>AE11</f>
        <v>0</v>
      </c>
      <c r="AS11" s="69">
        <f>SUM(AM11:AR11)</f>
        <v>1</v>
      </c>
      <c r="AU11" s="110">
        <f>AM11/AM$2</f>
        <v>0.13829787234042556</v>
      </c>
      <c r="AV11" s="110">
        <f t="shared" si="29"/>
        <v>1.9230769230769228E-2</v>
      </c>
      <c r="AW11" s="110">
        <f t="shared" si="29"/>
        <v>0</v>
      </c>
      <c r="AX11" s="110">
        <f t="shared" si="29"/>
        <v>0.2</v>
      </c>
      <c r="AY11" s="110">
        <f t="shared" si="29"/>
        <v>0</v>
      </c>
      <c r="AZ11" s="110">
        <f t="shared" si="29"/>
        <v>0</v>
      </c>
      <c r="BA11" s="110">
        <f t="shared" si="29"/>
        <v>6.6666666666666666E-2</v>
      </c>
      <c r="BC11" s="109">
        <f t="shared" si="33"/>
        <v>3533.3333333333335</v>
      </c>
      <c r="BD11" s="109">
        <f t="shared" si="30"/>
        <v>6666.666666666667</v>
      </c>
      <c r="BE11" s="109">
        <f t="shared" si="31"/>
        <v>294.44444444444446</v>
      </c>
      <c r="BF11" s="109">
        <f t="shared" si="31"/>
        <v>555.55555555555554</v>
      </c>
      <c r="BG11" s="109"/>
      <c r="BH11" s="109"/>
      <c r="BI11" s="793">
        <f>+SUMPRODUCT(BR2:BR9,BI2:BI9)</f>
        <v>931.82581993719043</v>
      </c>
      <c r="BJ11" s="109"/>
      <c r="BK11" s="109"/>
      <c r="BL11" s="109"/>
      <c r="BM11" s="109"/>
      <c r="CC11" s="526">
        <f>+SUMPRODUCT(BR2:BR9,CC2:CC9)</f>
        <v>0.17381770845441272</v>
      </c>
      <c r="CD11" s="153">
        <f>CE11/CF11</f>
        <v>4.9653057245239059E-2</v>
      </c>
      <c r="CE11" s="109">
        <f>SUMPRODUCT(BR2:BR9,CE2:CE9)</f>
        <v>56</v>
      </c>
      <c r="CF11" s="109">
        <f>+SUMPRODUCT(BR2:BR9,CF2:CF9)</f>
        <v>1127.8258199371905</v>
      </c>
      <c r="CW11" s="526">
        <f>+SUMPRODUCT(BR2:BR9,CW2:CW9)</f>
        <v>0.2782341113481907</v>
      </c>
    </row>
    <row r="12" spans="2:118" x14ac:dyDescent="0.35">
      <c r="AI12" s="121">
        <v>20601</v>
      </c>
      <c r="BO12" s="549" t="s">
        <v>711</v>
      </c>
    </row>
    <row r="13" spans="2:118" hidden="1" x14ac:dyDescent="0.35">
      <c r="AI13" s="196">
        <f>AI12-AI11</f>
        <v>2096.8459898686124</v>
      </c>
      <c r="BN13" t="s">
        <v>706</v>
      </c>
      <c r="BO13" s="65">
        <v>100</v>
      </c>
    </row>
    <row r="14" spans="2:118" x14ac:dyDescent="0.35">
      <c r="T14" s="119" t="s">
        <v>387</v>
      </c>
      <c r="W14" s="116" t="s">
        <v>48</v>
      </c>
      <c r="AG14" s="126">
        <v>0.53</v>
      </c>
      <c r="AH14" s="126"/>
      <c r="AM14" s="188">
        <f t="shared" ref="AM14:AS14" si="38">SUM(AM15:AM18)</f>
        <v>0</v>
      </c>
      <c r="AN14" s="188">
        <f t="shared" si="38"/>
        <v>4</v>
      </c>
      <c r="AO14" s="188">
        <f t="shared" si="38"/>
        <v>0</v>
      </c>
      <c r="AP14" s="188">
        <f t="shared" si="38"/>
        <v>0</v>
      </c>
      <c r="AQ14" s="188">
        <f t="shared" si="38"/>
        <v>0</v>
      </c>
      <c r="AR14" s="188">
        <f t="shared" si="38"/>
        <v>0</v>
      </c>
      <c r="AS14" s="188">
        <f t="shared" si="38"/>
        <v>4</v>
      </c>
      <c r="AU14" s="188">
        <f t="shared" ref="AU14:BA18" si="39">AM14/AM$2</f>
        <v>0</v>
      </c>
      <c r="AV14" s="188">
        <f t="shared" si="39"/>
        <v>0.51282051282051277</v>
      </c>
      <c r="AW14" s="188">
        <f t="shared" si="39"/>
        <v>0</v>
      </c>
      <c r="AX14" s="188">
        <f t="shared" si="39"/>
        <v>0</v>
      </c>
      <c r="AY14" s="188">
        <f t="shared" si="39"/>
        <v>0</v>
      </c>
      <c r="AZ14" s="188">
        <f t="shared" si="39"/>
        <v>0</v>
      </c>
      <c r="BA14" s="188">
        <f t="shared" si="39"/>
        <v>0.26666666666666666</v>
      </c>
      <c r="BC14" s="275">
        <f>$BC$1*BA14</f>
        <v>14133.333333333334</v>
      </c>
      <c r="BD14" s="275">
        <f>$BD$1*BA14</f>
        <v>26666.666666666668</v>
      </c>
      <c r="BE14" s="196">
        <f t="shared" ref="BE14:BF18" si="40">BC14/12</f>
        <v>1177.7777777777778</v>
      </c>
      <c r="BF14" s="196">
        <f t="shared" si="40"/>
        <v>2222.2222222222222</v>
      </c>
      <c r="BG14" s="275"/>
      <c r="BH14" s="275"/>
      <c r="BI14" s="275"/>
      <c r="BJ14" s="275"/>
      <c r="BK14" s="275"/>
      <c r="BL14" s="275"/>
      <c r="BM14" s="275"/>
      <c r="BN14" t="s">
        <v>707</v>
      </c>
      <c r="BO14" s="65">
        <v>90</v>
      </c>
    </row>
    <row r="15" spans="2:118" x14ac:dyDescent="0.35">
      <c r="S15">
        <v>3</v>
      </c>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G18" si="41">U15+W15+Y15+AA15+AC15+AE15</f>
        <v>1</v>
      </c>
      <c r="AH15" s="122"/>
      <c r="AI15" s="167">
        <f>V15+X15+Z15+AB15+AD15+AF15</f>
        <v>20169.086549138014</v>
      </c>
      <c r="AJ15" s="130">
        <f>$AJ$4*AK15</f>
        <v>30740000</v>
      </c>
      <c r="AK15" s="130">
        <f>AK7</f>
        <v>1160</v>
      </c>
      <c r="AL15">
        <v>3</v>
      </c>
      <c r="AM15" s="69">
        <f>U15</f>
        <v>0</v>
      </c>
      <c r="AN15" s="69">
        <f>W15</f>
        <v>1</v>
      </c>
      <c r="AO15" s="110">
        <f>Y15</f>
        <v>0</v>
      </c>
      <c r="AP15" s="110">
        <f>AA15</f>
        <v>0</v>
      </c>
      <c r="AQ15" s="110">
        <f>AC15</f>
        <v>0</v>
      </c>
      <c r="AR15" s="110">
        <f>AE15</f>
        <v>0</v>
      </c>
      <c r="AS15" s="69">
        <f>SUM(AM15:AR15)</f>
        <v>1</v>
      </c>
      <c r="AU15" s="110">
        <f t="shared" si="39"/>
        <v>0</v>
      </c>
      <c r="AV15" s="110">
        <f t="shared" si="39"/>
        <v>0.12820512820512819</v>
      </c>
      <c r="AW15" s="110">
        <f t="shared" si="39"/>
        <v>0</v>
      </c>
      <c r="AX15" s="110">
        <f t="shared" si="39"/>
        <v>0</v>
      </c>
      <c r="AY15" s="110">
        <f t="shared" si="39"/>
        <v>0</v>
      </c>
      <c r="AZ15" s="110">
        <f t="shared" si="39"/>
        <v>0</v>
      </c>
      <c r="BA15" s="110">
        <f t="shared" si="39"/>
        <v>6.6666666666666666E-2</v>
      </c>
      <c r="BC15" s="109">
        <f>$BC$1*BA15</f>
        <v>3533.3333333333335</v>
      </c>
      <c r="BD15" s="109">
        <f>$BD$1*BA15</f>
        <v>6666.666666666667</v>
      </c>
      <c r="BE15" s="291">
        <f t="shared" si="40"/>
        <v>294.44444444444446</v>
      </c>
      <c r="BF15" s="291">
        <f t="shared" si="40"/>
        <v>555.55555555555554</v>
      </c>
      <c r="BG15" s="109"/>
      <c r="BH15" s="109"/>
      <c r="BI15" s="109"/>
      <c r="BJ15" s="109"/>
      <c r="BK15" s="109"/>
      <c r="BL15" s="109"/>
      <c r="BM15" s="109"/>
      <c r="BN15" t="s">
        <v>708</v>
      </c>
      <c r="BO15" s="65">
        <v>80</v>
      </c>
    </row>
    <row r="16" spans="2:118" x14ac:dyDescent="0.35">
      <c r="S16">
        <v>2</v>
      </c>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41"/>
        <v>1</v>
      </c>
      <c r="AH16" s="122"/>
      <c r="AI16" s="167">
        <f>V16+X16+Z16+AB16+AD16+AF16</f>
        <v>20169.086549138014</v>
      </c>
      <c r="AJ16" s="130">
        <f>$AJ$4*AK16</f>
        <v>31535000</v>
      </c>
      <c r="AK16" s="130">
        <f>AK7+30</f>
        <v>1190</v>
      </c>
      <c r="AL16">
        <v>2</v>
      </c>
      <c r="AM16" s="69">
        <f>U16</f>
        <v>0</v>
      </c>
      <c r="AN16" s="69">
        <f>W16</f>
        <v>1</v>
      </c>
      <c r="AO16" s="110">
        <f>Y16</f>
        <v>0</v>
      </c>
      <c r="AP16" s="110">
        <f>AA16</f>
        <v>0</v>
      </c>
      <c r="AQ16" s="110">
        <f>AC16</f>
        <v>0</v>
      </c>
      <c r="AR16" s="110">
        <f>AE16</f>
        <v>0</v>
      </c>
      <c r="AS16" s="69">
        <f>SUM(AM16:AR16)</f>
        <v>1</v>
      </c>
      <c r="AU16" s="110">
        <f t="shared" si="39"/>
        <v>0</v>
      </c>
      <c r="AV16" s="110">
        <f t="shared" si="39"/>
        <v>0.12820512820512819</v>
      </c>
      <c r="AW16" s="110">
        <f t="shared" si="39"/>
        <v>0</v>
      </c>
      <c r="AX16" s="110">
        <f t="shared" si="39"/>
        <v>0</v>
      </c>
      <c r="AY16" s="110">
        <f t="shared" si="39"/>
        <v>0</v>
      </c>
      <c r="AZ16" s="110">
        <f t="shared" si="39"/>
        <v>0</v>
      </c>
      <c r="BA16" s="110">
        <f t="shared" si="39"/>
        <v>6.6666666666666666E-2</v>
      </c>
      <c r="BC16" s="109">
        <f>$BC$1*BA16</f>
        <v>3533.3333333333335</v>
      </c>
      <c r="BD16" s="109">
        <f>$BD$1*BA16</f>
        <v>6666.666666666667</v>
      </c>
      <c r="BE16" s="109">
        <f t="shared" si="40"/>
        <v>294.44444444444446</v>
      </c>
      <c r="BF16" s="109">
        <f t="shared" si="40"/>
        <v>555.55555555555554</v>
      </c>
      <c r="BG16" s="109"/>
      <c r="BH16" s="109"/>
      <c r="BI16" s="109"/>
      <c r="BJ16" s="109"/>
      <c r="BK16" s="109"/>
      <c r="BL16" s="109"/>
      <c r="BM16" s="109"/>
      <c r="BN16" t="s">
        <v>709</v>
      </c>
      <c r="BO16" s="65">
        <v>70</v>
      </c>
    </row>
    <row r="17" spans="19:102" x14ac:dyDescent="0.35">
      <c r="S17">
        <v>1</v>
      </c>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41"/>
        <v>1</v>
      </c>
      <c r="AH17" s="122"/>
      <c r="AI17" s="167">
        <f>V17+X17+Z17+AB17+AD17+AF17</f>
        <v>20169.086549138014</v>
      </c>
      <c r="AJ17" s="130">
        <f>$AJ$4*AK17</f>
        <v>33125000</v>
      </c>
      <c r="AK17" s="130">
        <f>AK7+90</f>
        <v>1250</v>
      </c>
      <c r="AL17">
        <v>1</v>
      </c>
      <c r="AM17" s="69">
        <f>U17</f>
        <v>0</v>
      </c>
      <c r="AN17" s="69">
        <f>W17</f>
        <v>1</v>
      </c>
      <c r="AO17" s="110">
        <f>Y17</f>
        <v>0</v>
      </c>
      <c r="AP17" s="110">
        <f>AA17</f>
        <v>0</v>
      </c>
      <c r="AQ17" s="110">
        <f>AC17</f>
        <v>0</v>
      </c>
      <c r="AR17" s="110">
        <f>AE17</f>
        <v>0</v>
      </c>
      <c r="AS17" s="69">
        <f>SUM(AM17:AR17)</f>
        <v>1</v>
      </c>
      <c r="AU17" s="110">
        <f t="shared" si="39"/>
        <v>0</v>
      </c>
      <c r="AV17" s="110">
        <f t="shared" si="39"/>
        <v>0.12820512820512819</v>
      </c>
      <c r="AW17" s="110">
        <f t="shared" si="39"/>
        <v>0</v>
      </c>
      <c r="AX17" s="110">
        <f t="shared" si="39"/>
        <v>0</v>
      </c>
      <c r="AY17" s="110">
        <f t="shared" si="39"/>
        <v>0</v>
      </c>
      <c r="AZ17" s="110">
        <f t="shared" si="39"/>
        <v>0</v>
      </c>
      <c r="BA17" s="110">
        <f t="shared" si="39"/>
        <v>6.6666666666666666E-2</v>
      </c>
      <c r="BC17" s="199">
        <f>$BC$1*BA17</f>
        <v>3533.3333333333335</v>
      </c>
      <c r="BD17" s="199">
        <f>$BD$1*BA17</f>
        <v>6666.666666666667</v>
      </c>
      <c r="BE17" s="199">
        <f t="shared" si="40"/>
        <v>294.44444444444446</v>
      </c>
      <c r="BF17" s="199">
        <f t="shared" si="40"/>
        <v>555.55555555555554</v>
      </c>
      <c r="BG17" s="199"/>
      <c r="BH17" s="199"/>
      <c r="BI17" s="199">
        <f>1012-882</f>
        <v>130</v>
      </c>
      <c r="BJ17" s="199"/>
      <c r="BK17" s="199"/>
      <c r="BL17" s="199"/>
      <c r="BM17" s="199"/>
      <c r="BN17" t="s">
        <v>710</v>
      </c>
      <c r="BO17" s="65">
        <v>50</v>
      </c>
    </row>
    <row r="18" spans="19:102" x14ac:dyDescent="0.35">
      <c r="S18">
        <v>4</v>
      </c>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41"/>
        <v>1</v>
      </c>
      <c r="AH18" s="122"/>
      <c r="AI18" s="167">
        <f>V18+X18+Z18+AB18+AD18+AF18</f>
        <v>20169.086549138014</v>
      </c>
      <c r="AJ18" s="130">
        <f>$AJ$4*AK18</f>
        <v>29945000</v>
      </c>
      <c r="AK18" s="130">
        <f>AK7-30</f>
        <v>1130</v>
      </c>
      <c r="AL18">
        <v>4</v>
      </c>
      <c r="AM18" s="69">
        <f>U18</f>
        <v>0</v>
      </c>
      <c r="AN18" s="69">
        <f>W18</f>
        <v>1</v>
      </c>
      <c r="AO18" s="110">
        <f>Y18</f>
        <v>0</v>
      </c>
      <c r="AP18" s="110">
        <f>AA18</f>
        <v>0</v>
      </c>
      <c r="AQ18" s="110">
        <f>AC18</f>
        <v>0</v>
      </c>
      <c r="AR18" s="110">
        <f>AE18</f>
        <v>0</v>
      </c>
      <c r="AS18" s="69">
        <f>SUM(AM18:AR18)</f>
        <v>1</v>
      </c>
      <c r="AU18" s="110">
        <f t="shared" si="39"/>
        <v>0</v>
      </c>
      <c r="AV18" s="110">
        <f t="shared" si="39"/>
        <v>0.12820512820512819</v>
      </c>
      <c r="AW18" s="110">
        <f t="shared" si="39"/>
        <v>0</v>
      </c>
      <c r="AX18" s="110">
        <f t="shared" si="39"/>
        <v>0</v>
      </c>
      <c r="AY18" s="110">
        <f t="shared" si="39"/>
        <v>0</v>
      </c>
      <c r="AZ18" s="110">
        <f t="shared" si="39"/>
        <v>0</v>
      </c>
      <c r="BA18" s="110">
        <f t="shared" si="39"/>
        <v>6.6666666666666666E-2</v>
      </c>
      <c r="BC18" s="109">
        <f>$BC$1*BA18</f>
        <v>3533.3333333333335</v>
      </c>
      <c r="BD18" s="109">
        <f>$BD$1*BA18</f>
        <v>6666.666666666667</v>
      </c>
      <c r="BE18" s="109">
        <f t="shared" si="40"/>
        <v>294.44444444444446</v>
      </c>
      <c r="BF18" s="109">
        <f t="shared" si="40"/>
        <v>555.55555555555554</v>
      </c>
      <c r="BG18" s="109"/>
      <c r="BH18" s="109"/>
      <c r="BI18" s="109"/>
      <c r="BJ18" s="109"/>
      <c r="BK18" s="109"/>
      <c r="BL18" s="109"/>
      <c r="BM18" s="109"/>
    </row>
    <row r="19" spans="19:102" hidden="1" outlineLevel="1" x14ac:dyDescent="0.35">
      <c r="BC19" s="109"/>
      <c r="BD19" s="109"/>
      <c r="BE19" s="109"/>
      <c r="BF19" s="109"/>
      <c r="BG19" s="109"/>
      <c r="BH19" s="109"/>
      <c r="BI19" s="147">
        <f>'H_Tỷ lệ HH&amp;PS'!CC39</f>
        <v>968.66818397975226</v>
      </c>
      <c r="BJ19" s="109"/>
      <c r="BK19" s="109"/>
      <c r="BL19" s="109"/>
      <c r="BM19" s="109"/>
      <c r="BN19" t="str">
        <f>'H_Tỷ lệ HH&amp;PS'!BU39</f>
        <v>Hạt WSS03NC</v>
      </c>
      <c r="CC19" s="526">
        <f t="shared" ref="CC19:CC22" si="42">(CE19+CD19)/CF19</f>
        <v>0.16398137329308099</v>
      </c>
      <c r="CD19">
        <f>CD2</f>
        <v>140</v>
      </c>
      <c r="CE19">
        <f>CE9</f>
        <v>50</v>
      </c>
      <c r="CF19" s="130">
        <f t="shared" ref="CF19:CF22" si="43">BI19+CD19+CE19</f>
        <v>1158.6681839797523</v>
      </c>
      <c r="CN19" s="130">
        <f>CN4-130</f>
        <v>1250</v>
      </c>
      <c r="CW19" s="526">
        <f t="shared" ref="CW19:CW22" si="44">(CN19-BI19)/CN19</f>
        <v>0.22506545281619819</v>
      </c>
      <c r="CX19" s="526"/>
    </row>
    <row r="20" spans="19:102" hidden="1" outlineLevel="1" x14ac:dyDescent="0.35">
      <c r="BI20" s="147">
        <f>'H_Tỷ lệ HH&amp;PS'!CC40</f>
        <v>972.88892791204978</v>
      </c>
      <c r="BN20" t="str">
        <f>'H_Tỷ lệ HH&amp;PS'!BU40</f>
        <v>Hạt WSS04NC</v>
      </c>
      <c r="CC20" s="526">
        <f t="shared" si="42"/>
        <v>0.16338619746009814</v>
      </c>
      <c r="CD20">
        <f t="shared" ref="CD20:CD25" si="45">CD3</f>
        <v>140</v>
      </c>
      <c r="CE20">
        <f>CE19</f>
        <v>50</v>
      </c>
      <c r="CF20" s="130">
        <f t="shared" si="43"/>
        <v>1162.8889279120499</v>
      </c>
      <c r="CN20" s="130">
        <f>CN4-170</f>
        <v>1210</v>
      </c>
      <c r="CW20" s="526">
        <f t="shared" si="44"/>
        <v>0.19595956370904977</v>
      </c>
      <c r="CX20" s="526"/>
    </row>
    <row r="21" spans="19:102" hidden="1" outlineLevel="1" x14ac:dyDescent="0.35">
      <c r="BI21" s="147">
        <f>'H_Tỷ lệ HH&amp;PS'!CC41</f>
        <v>1020.2442243302686</v>
      </c>
      <c r="BM21" t="str">
        <f>'H_Tỷ lệ HH&amp;PS'!BS41</f>
        <v>Hyosung</v>
      </c>
      <c r="BN21" t="str">
        <f>'H_Tỷ lệ HH&amp;PS'!BU41</f>
        <v>Hạt WSS04SB</v>
      </c>
      <c r="CC21" s="526">
        <f t="shared" si="42"/>
        <v>0.15699310616842085</v>
      </c>
      <c r="CD21">
        <f t="shared" si="45"/>
        <v>140</v>
      </c>
      <c r="CE21">
        <f t="shared" ref="CE21:CE22" si="46">CE20</f>
        <v>50</v>
      </c>
      <c r="CF21" s="130">
        <f t="shared" si="43"/>
        <v>1210.2442243302685</v>
      </c>
      <c r="CN21" s="130">
        <f>CN4-130</f>
        <v>1250</v>
      </c>
      <c r="CW21" s="526">
        <f t="shared" si="44"/>
        <v>0.18380462053578511</v>
      </c>
      <c r="CX21" s="526"/>
    </row>
    <row r="22" spans="19:102" hidden="1" outlineLevel="1" x14ac:dyDescent="0.35">
      <c r="BI22" s="147">
        <f>'H_Tỷ lệ HH&amp;PS'!CC42</f>
        <v>973.10889064373032</v>
      </c>
      <c r="BN22" t="str">
        <f>'H_Tỷ lệ HH&amp;PS'!BU42</f>
        <v>Hạt WSS05SB (sợi ngắn)</v>
      </c>
      <c r="CC22" s="526">
        <f t="shared" si="42"/>
        <v>0.16335529848356953</v>
      </c>
      <c r="CD22">
        <f t="shared" si="45"/>
        <v>140</v>
      </c>
      <c r="CE22">
        <f t="shared" si="46"/>
        <v>50</v>
      </c>
      <c r="CF22" s="130">
        <f t="shared" si="43"/>
        <v>1163.1088906437303</v>
      </c>
      <c r="CN22" s="130">
        <f>CN4-170</f>
        <v>1210</v>
      </c>
      <c r="CW22" s="526">
        <f t="shared" si="44"/>
        <v>0.1957777763274956</v>
      </c>
      <c r="CX22" s="526"/>
    </row>
    <row r="23" spans="19:102" ht="13" customHeight="1" collapsed="1" x14ac:dyDescent="0.35"/>
    <row r="24" spans="19:102" x14ac:dyDescent="0.35">
      <c r="T24" s="119" t="s">
        <v>388</v>
      </c>
      <c r="AG24" s="126">
        <v>0.05</v>
      </c>
      <c r="AH24" s="126"/>
      <c r="AM24" s="188">
        <f>SUM(AM25:AM29)</f>
        <v>2.15</v>
      </c>
      <c r="AN24" s="188">
        <f t="shared" ref="AN24:AS24" si="47">SUM(AN25:AN29)</f>
        <v>1.75</v>
      </c>
      <c r="AO24" s="188">
        <f t="shared" si="47"/>
        <v>0.25</v>
      </c>
      <c r="AP24" s="188">
        <f t="shared" si="47"/>
        <v>0.75</v>
      </c>
      <c r="AQ24" s="188">
        <f t="shared" si="47"/>
        <v>0.1</v>
      </c>
      <c r="AR24" s="188">
        <f t="shared" si="47"/>
        <v>0</v>
      </c>
      <c r="AS24" s="188">
        <f t="shared" si="47"/>
        <v>5</v>
      </c>
      <c r="AU24" s="188">
        <f t="shared" ref="AU24:BA29" si="48">AM24/AM$2</f>
        <v>0.45744680851063835</v>
      </c>
      <c r="AV24" s="188">
        <f t="shared" si="48"/>
        <v>0.22435897435897434</v>
      </c>
      <c r="AW24" s="188">
        <f t="shared" si="48"/>
        <v>0.625</v>
      </c>
      <c r="AX24" s="188">
        <f t="shared" si="48"/>
        <v>0.75</v>
      </c>
      <c r="AY24" s="188">
        <f t="shared" si="48"/>
        <v>1</v>
      </c>
      <c r="AZ24" s="188">
        <f t="shared" si="48"/>
        <v>0</v>
      </c>
      <c r="BA24" s="188">
        <f t="shared" si="48"/>
        <v>0.33333333333333331</v>
      </c>
      <c r="BC24" s="275">
        <f t="shared" ref="BC24:BC29" si="49">$BC$1*BA24</f>
        <v>17666.666666666664</v>
      </c>
      <c r="BD24" s="275">
        <f t="shared" ref="BD24:BD29" si="50">$BD$1*BA24</f>
        <v>33333.333333333328</v>
      </c>
      <c r="BE24" s="196">
        <f t="shared" ref="BE24:BF29" si="51">BC24/12</f>
        <v>1472.2222222222219</v>
      </c>
      <c r="BF24" s="196">
        <f t="shared" si="51"/>
        <v>2777.7777777777774</v>
      </c>
      <c r="BG24" s="275"/>
      <c r="BH24" s="275"/>
      <c r="BI24" s="147">
        <f>'H_Tỷ lệ HH&amp;PS'!CC49</f>
        <v>0</v>
      </c>
      <c r="BJ24" s="275"/>
      <c r="BK24" s="275"/>
      <c r="BL24" s="275"/>
      <c r="BM24" s="275"/>
      <c r="BN24" s="280" t="str">
        <f>'H_Tỷ lệ HH&amp;PS'!BU49</f>
        <v>Hạt WSS03SB</v>
      </c>
      <c r="CC24" s="526">
        <f t="shared" ref="CC24:CC25" si="52">(CE24+CD24)/CF24</f>
        <v>1</v>
      </c>
      <c r="CD24">
        <f t="shared" si="45"/>
        <v>140</v>
      </c>
      <c r="CE24">
        <f>CE22</f>
        <v>50</v>
      </c>
      <c r="CF24" s="130">
        <f t="shared" ref="CF24:CF25" si="53">BI24+CD24+CE24</f>
        <v>190</v>
      </c>
      <c r="CN24" s="130">
        <f>CN4-130</f>
        <v>1250</v>
      </c>
      <c r="CW24" s="526">
        <f t="shared" ref="CW24:CW25" si="54">(CN24-BI24)/CN24</f>
        <v>1</v>
      </c>
      <c r="CX24" s="526"/>
    </row>
    <row r="25" spans="19:102" x14ac:dyDescent="0.35">
      <c r="S25">
        <v>3</v>
      </c>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G29" si="55">U25+W25+Y25+AA25+AC25+AE25</f>
        <v>1</v>
      </c>
      <c r="AH25" s="122"/>
      <c r="AI25" s="167">
        <f>V25+X25+Z25+AB25+AD25+AF25</f>
        <v>19883.142103626953</v>
      </c>
      <c r="AJ25" s="130">
        <f>$AJ$4*AK25</f>
        <v>30740000</v>
      </c>
      <c r="AK25" s="130">
        <f>AK7</f>
        <v>1160</v>
      </c>
      <c r="AL25">
        <v>3</v>
      </c>
      <c r="AM25" s="69">
        <f>U25</f>
        <v>0</v>
      </c>
      <c r="AN25" s="69">
        <f>W25</f>
        <v>0.9</v>
      </c>
      <c r="AO25" s="110">
        <f>Y25</f>
        <v>0.1</v>
      </c>
      <c r="AP25" s="110">
        <f>AA25</f>
        <v>0</v>
      </c>
      <c r="AQ25" s="110">
        <f>AC25</f>
        <v>0</v>
      </c>
      <c r="AR25" s="110">
        <f>AE25</f>
        <v>0</v>
      </c>
      <c r="AS25" s="69">
        <f>SUM(AM25:AR25)</f>
        <v>1</v>
      </c>
      <c r="AU25" s="110">
        <f t="shared" si="48"/>
        <v>0</v>
      </c>
      <c r="AV25" s="110">
        <f t="shared" si="48"/>
        <v>0.11538461538461538</v>
      </c>
      <c r="AW25" s="110">
        <f t="shared" si="48"/>
        <v>0.25</v>
      </c>
      <c r="AX25" s="110">
        <f t="shared" si="48"/>
        <v>0</v>
      </c>
      <c r="AY25" s="110">
        <f t="shared" si="48"/>
        <v>0</v>
      </c>
      <c r="AZ25" s="110">
        <f t="shared" si="48"/>
        <v>0</v>
      </c>
      <c r="BA25" s="110">
        <f t="shared" si="48"/>
        <v>6.6666666666666666E-2</v>
      </c>
      <c r="BC25" s="109">
        <f t="shared" si="49"/>
        <v>3533.3333333333335</v>
      </c>
      <c r="BD25" s="109">
        <f t="shared" si="50"/>
        <v>6666.666666666667</v>
      </c>
      <c r="BE25" s="291">
        <f t="shared" si="51"/>
        <v>294.44444444444446</v>
      </c>
      <c r="BF25" s="291">
        <f t="shared" si="51"/>
        <v>555.55555555555554</v>
      </c>
      <c r="BG25" s="109"/>
      <c r="BH25" s="109"/>
      <c r="BI25" s="147">
        <f>'H_Tỷ lệ HH&amp;PS'!CC50</f>
        <v>0</v>
      </c>
      <c r="BJ25" s="109"/>
      <c r="BK25" s="109"/>
      <c r="BL25" s="109"/>
      <c r="BM25" s="109"/>
      <c r="BN25" s="280" t="str">
        <f>'H_Tỷ lệ HH&amp;PS'!BU50</f>
        <v>Hạt WSS04SB</v>
      </c>
      <c r="CC25" s="526">
        <f t="shared" si="52"/>
        <v>1</v>
      </c>
      <c r="CD25">
        <f t="shared" si="45"/>
        <v>140</v>
      </c>
      <c r="CE25">
        <f t="shared" ref="CE25" si="56">CE24</f>
        <v>50</v>
      </c>
      <c r="CF25" s="130">
        <f t="shared" si="53"/>
        <v>190</v>
      </c>
      <c r="CN25" s="130">
        <f>CN4-170</f>
        <v>1210</v>
      </c>
      <c r="CW25" s="526">
        <f t="shared" si="54"/>
        <v>1</v>
      </c>
      <c r="CX25" s="526"/>
    </row>
    <row r="26" spans="19:102" x14ac:dyDescent="0.35">
      <c r="S26">
        <v>5</v>
      </c>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55"/>
        <v>1</v>
      </c>
      <c r="AH26" s="122"/>
      <c r="AI26" s="167">
        <f>V26+X26+Z26+AB26+AD26+AF26</f>
        <v>19112.177744792491</v>
      </c>
      <c r="AJ26" s="130">
        <f>$AJ$4*AK26</f>
        <v>28885000</v>
      </c>
      <c r="AK26" s="130">
        <f>AK7-70</f>
        <v>1090</v>
      </c>
      <c r="AL26">
        <v>5</v>
      </c>
      <c r="AM26" s="69">
        <f>U26</f>
        <v>0.55000000000000004</v>
      </c>
      <c r="AN26" s="69">
        <f>W26</f>
        <v>0.3</v>
      </c>
      <c r="AO26" s="110">
        <f>Y26</f>
        <v>0.15</v>
      </c>
      <c r="AP26" s="110">
        <f>AA26</f>
        <v>0</v>
      </c>
      <c r="AQ26" s="110">
        <f>AC26</f>
        <v>0</v>
      </c>
      <c r="AR26" s="110">
        <f>AE26</f>
        <v>0</v>
      </c>
      <c r="AS26" s="69">
        <f>SUM(AM26:AR26)</f>
        <v>1</v>
      </c>
      <c r="AU26" s="110">
        <f t="shared" si="48"/>
        <v>0.11702127659574471</v>
      </c>
      <c r="AV26" s="110">
        <f t="shared" si="48"/>
        <v>3.8461538461538457E-2</v>
      </c>
      <c r="AW26" s="110">
        <f t="shared" si="48"/>
        <v>0.37499999999999994</v>
      </c>
      <c r="AX26" s="110">
        <f t="shared" si="48"/>
        <v>0</v>
      </c>
      <c r="AY26" s="110">
        <f t="shared" si="48"/>
        <v>0</v>
      </c>
      <c r="AZ26" s="110">
        <f t="shared" si="48"/>
        <v>0</v>
      </c>
      <c r="BA26" s="110">
        <f t="shared" si="48"/>
        <v>6.6666666666666666E-2</v>
      </c>
      <c r="BC26" s="109">
        <f t="shared" si="49"/>
        <v>3533.3333333333335</v>
      </c>
      <c r="BD26" s="109">
        <f t="shared" si="50"/>
        <v>6666.666666666667</v>
      </c>
      <c r="BE26" s="109">
        <f t="shared" si="51"/>
        <v>294.44444444444446</v>
      </c>
      <c r="BF26" s="109">
        <f t="shared" si="51"/>
        <v>555.55555555555554</v>
      </c>
      <c r="BG26" s="109"/>
      <c r="BH26" s="109"/>
      <c r="BI26" s="109"/>
      <c r="BJ26" s="109"/>
      <c r="BK26" s="109"/>
      <c r="BL26" s="109"/>
      <c r="BM26" s="109"/>
    </row>
    <row r="27" spans="19:102" x14ac:dyDescent="0.35">
      <c r="S27">
        <v>3</v>
      </c>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55"/>
        <v>1</v>
      </c>
      <c r="AH27" s="122"/>
      <c r="AI27" s="167">
        <f>V27+X27+Z27+AB27+AD27+AF27</f>
        <v>17279.402879005062</v>
      </c>
      <c r="AJ27" s="130">
        <f>$AJ$4*AK27</f>
        <v>30740000</v>
      </c>
      <c r="AK27" s="130">
        <f>AK7</f>
        <v>1160</v>
      </c>
      <c r="AL27">
        <v>3</v>
      </c>
      <c r="AM27" s="69">
        <f>U27</f>
        <v>0</v>
      </c>
      <c r="AN27" s="69">
        <f>W27</f>
        <v>0.4</v>
      </c>
      <c r="AO27" s="110">
        <f>Y27</f>
        <v>0</v>
      </c>
      <c r="AP27" s="110">
        <f>AA27</f>
        <v>0.5</v>
      </c>
      <c r="AQ27" s="110">
        <f>AC27</f>
        <v>0.1</v>
      </c>
      <c r="AR27" s="110">
        <f>AE27</f>
        <v>0</v>
      </c>
      <c r="AS27" s="69">
        <f>SUM(AM27:AR27)</f>
        <v>1</v>
      </c>
      <c r="AU27" s="110">
        <f t="shared" si="48"/>
        <v>0</v>
      </c>
      <c r="AV27" s="110">
        <f t="shared" si="48"/>
        <v>5.128205128205128E-2</v>
      </c>
      <c r="AW27" s="110">
        <f t="shared" si="48"/>
        <v>0</v>
      </c>
      <c r="AX27" s="110">
        <f t="shared" si="48"/>
        <v>0.5</v>
      </c>
      <c r="AY27" s="110">
        <f t="shared" si="48"/>
        <v>1</v>
      </c>
      <c r="AZ27" s="110">
        <f t="shared" si="48"/>
        <v>0</v>
      </c>
      <c r="BA27" s="110">
        <f t="shared" si="48"/>
        <v>6.6666666666666666E-2</v>
      </c>
      <c r="BC27" s="109">
        <f t="shared" si="49"/>
        <v>3533.3333333333335</v>
      </c>
      <c r="BD27" s="109">
        <f t="shared" si="50"/>
        <v>6666.666666666667</v>
      </c>
      <c r="BE27" s="109">
        <f t="shared" si="51"/>
        <v>294.44444444444446</v>
      </c>
      <c r="BF27" s="109">
        <f t="shared" si="51"/>
        <v>555.55555555555554</v>
      </c>
      <c r="BG27" s="109"/>
      <c r="BH27" s="109"/>
      <c r="BI27" s="109"/>
      <c r="BJ27" s="109"/>
      <c r="BK27" s="109"/>
      <c r="BL27" s="109"/>
      <c r="BM27" s="109"/>
    </row>
    <row r="28" spans="19:102" x14ac:dyDescent="0.35">
      <c r="S28">
        <v>6</v>
      </c>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55"/>
        <v>1</v>
      </c>
      <c r="AH28" s="122"/>
      <c r="AI28" s="167">
        <f>V28+X28+Z28+AB28+AD28+AF28</f>
        <v>18853.682855909705</v>
      </c>
      <c r="AJ28" s="130">
        <f>$AJ$4*AK28</f>
        <v>19080000</v>
      </c>
      <c r="AK28" s="130">
        <f>AK10</f>
        <v>720</v>
      </c>
      <c r="AL28">
        <v>6</v>
      </c>
      <c r="AM28" s="69">
        <f>U28</f>
        <v>0.95</v>
      </c>
      <c r="AN28" s="69">
        <f>W28</f>
        <v>0</v>
      </c>
      <c r="AO28" s="110">
        <f>Y28</f>
        <v>0</v>
      </c>
      <c r="AP28" s="110">
        <f>AA28</f>
        <v>0.05</v>
      </c>
      <c r="AQ28" s="110">
        <f>AC28</f>
        <v>0</v>
      </c>
      <c r="AR28" s="110">
        <f>AE28</f>
        <v>0</v>
      </c>
      <c r="AS28" s="69">
        <f>SUM(AM28:AR28)</f>
        <v>1</v>
      </c>
      <c r="AU28" s="110">
        <f t="shared" si="48"/>
        <v>0.2021276595744681</v>
      </c>
      <c r="AV28" s="110">
        <f t="shared" si="48"/>
        <v>0</v>
      </c>
      <c r="AW28" s="110">
        <f t="shared" si="48"/>
        <v>0</v>
      </c>
      <c r="AX28" s="110">
        <f t="shared" si="48"/>
        <v>0.05</v>
      </c>
      <c r="AY28" s="110">
        <f t="shared" si="48"/>
        <v>0</v>
      </c>
      <c r="AZ28" s="110">
        <f t="shared" si="48"/>
        <v>0</v>
      </c>
      <c r="BA28" s="110">
        <f t="shared" si="48"/>
        <v>6.6666666666666666E-2</v>
      </c>
      <c r="BC28" s="109">
        <f t="shared" si="49"/>
        <v>3533.3333333333335</v>
      </c>
      <c r="BD28" s="109">
        <f t="shared" si="50"/>
        <v>6666.666666666667</v>
      </c>
      <c r="BE28" s="109">
        <f t="shared" si="51"/>
        <v>294.44444444444446</v>
      </c>
      <c r="BF28" s="109">
        <f t="shared" si="51"/>
        <v>555.55555555555554</v>
      </c>
      <c r="BG28" s="109"/>
      <c r="BH28" s="109"/>
      <c r="BI28" s="109"/>
      <c r="BJ28" s="109"/>
      <c r="BK28" s="109"/>
      <c r="BL28" s="109"/>
      <c r="BM28" s="109"/>
    </row>
    <row r="29" spans="19:102" x14ac:dyDescent="0.35">
      <c r="S29">
        <v>7</v>
      </c>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55"/>
        <v>1</v>
      </c>
      <c r="AH29" s="122"/>
      <c r="AI29" s="167">
        <f>V29+X29+Z29+AB29+AD29+AF29</f>
        <v>18504.154010131388</v>
      </c>
      <c r="AJ29" s="130">
        <f>$AJ$4*AK29</f>
        <v>20140000</v>
      </c>
      <c r="AK29" s="130">
        <v>760</v>
      </c>
      <c r="AL29">
        <v>7</v>
      </c>
      <c r="AM29" s="69">
        <f>U29</f>
        <v>0.65</v>
      </c>
      <c r="AN29" s="69">
        <f>W29</f>
        <v>0.15</v>
      </c>
      <c r="AO29" s="110">
        <f>Y29</f>
        <v>0</v>
      </c>
      <c r="AP29" s="110">
        <f>AA29</f>
        <v>0.2</v>
      </c>
      <c r="AQ29" s="110">
        <f>AC29</f>
        <v>0</v>
      </c>
      <c r="AR29" s="110">
        <f>AE29</f>
        <v>0</v>
      </c>
      <c r="AS29" s="69">
        <f>SUM(AM29:AR29)</f>
        <v>1</v>
      </c>
      <c r="AU29" s="110">
        <f t="shared" si="48"/>
        <v>0.13829787234042556</v>
      </c>
      <c r="AV29" s="110">
        <f t="shared" si="48"/>
        <v>1.9230769230769228E-2</v>
      </c>
      <c r="AW29" s="110">
        <f t="shared" si="48"/>
        <v>0</v>
      </c>
      <c r="AX29" s="110">
        <f t="shared" si="48"/>
        <v>0.2</v>
      </c>
      <c r="AY29" s="110">
        <f t="shared" si="48"/>
        <v>0</v>
      </c>
      <c r="AZ29" s="110">
        <f t="shared" si="48"/>
        <v>0</v>
      </c>
      <c r="BA29" s="110">
        <f t="shared" si="48"/>
        <v>6.6666666666666666E-2</v>
      </c>
      <c r="BC29" s="109">
        <f t="shared" si="49"/>
        <v>3533.3333333333335</v>
      </c>
      <c r="BD29" s="109">
        <f t="shared" si="50"/>
        <v>6666.666666666667</v>
      </c>
      <c r="BE29" s="109">
        <f t="shared" si="51"/>
        <v>294.44444444444446</v>
      </c>
      <c r="BF29" s="109">
        <f t="shared" si="51"/>
        <v>555.55555555555554</v>
      </c>
      <c r="BG29" s="109"/>
      <c r="BH29" s="109"/>
      <c r="BI29" s="109"/>
      <c r="BJ29" s="109"/>
      <c r="BK29" s="109"/>
      <c r="BL29" s="109"/>
      <c r="BM29" s="109"/>
    </row>
    <row r="30" spans="19:102" ht="6.5" customHeight="1" x14ac:dyDescent="0.35"/>
    <row r="31" spans="19:102" ht="7" customHeight="1" x14ac:dyDescent="0.35"/>
    <row r="32" spans="19:102" x14ac:dyDescent="0.35">
      <c r="T32" s="119" t="s">
        <v>389</v>
      </c>
      <c r="AG32" s="126">
        <v>0.02</v>
      </c>
      <c r="AH32" s="126"/>
    </row>
    <row r="33" spans="19:65" x14ac:dyDescent="0.35">
      <c r="S33">
        <v>8</v>
      </c>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22"/>
      <c r="AI33" s="167">
        <f>V33+X33+Z33+AB33+AD33+AF33</f>
        <v>17195.059200132389</v>
      </c>
      <c r="AJ33" s="130">
        <f>$AJ$4*AK33</f>
        <v>21200000</v>
      </c>
      <c r="AK33">
        <v>800</v>
      </c>
      <c r="AL33">
        <v>8</v>
      </c>
      <c r="AM33" s="188">
        <f>U33</f>
        <v>0</v>
      </c>
      <c r="AN33" s="188">
        <f>W33</f>
        <v>0</v>
      </c>
      <c r="AO33" s="188">
        <f>Y33</f>
        <v>0</v>
      </c>
      <c r="AP33" s="188">
        <f>AA33</f>
        <v>0</v>
      </c>
      <c r="AQ33" s="188">
        <f>AC33</f>
        <v>0</v>
      </c>
      <c r="AR33" s="188">
        <f>AE33</f>
        <v>1</v>
      </c>
      <c r="AS33" s="188">
        <f>SUM(AM33:AR33)</f>
        <v>1</v>
      </c>
      <c r="AU33" s="188">
        <f t="shared" ref="AU33:BA33" si="57">AM33/AM$2</f>
        <v>0</v>
      </c>
      <c r="AV33" s="188">
        <f t="shared" si="57"/>
        <v>0</v>
      </c>
      <c r="AW33" s="188">
        <f t="shared" si="57"/>
        <v>0</v>
      </c>
      <c r="AX33" s="188">
        <f t="shared" si="57"/>
        <v>0</v>
      </c>
      <c r="AY33" s="188">
        <f t="shared" si="57"/>
        <v>0</v>
      </c>
      <c r="AZ33" s="188">
        <f t="shared" si="57"/>
        <v>1</v>
      </c>
      <c r="BA33" s="188">
        <f t="shared" si="57"/>
        <v>6.6666666666666666E-2</v>
      </c>
      <c r="BC33" s="275">
        <f>$BC$1*BA33</f>
        <v>3533.3333333333335</v>
      </c>
      <c r="BD33" s="275">
        <f>$BD$1*BA33</f>
        <v>6666.666666666667</v>
      </c>
      <c r="BE33" s="196">
        <f>BC33/12</f>
        <v>294.44444444444446</v>
      </c>
      <c r="BF33" s="196">
        <f>BD33/12</f>
        <v>555.55555555555554</v>
      </c>
      <c r="BG33" s="275"/>
      <c r="BH33" s="275"/>
      <c r="BI33" s="275"/>
      <c r="BJ33" s="275"/>
      <c r="BK33" s="275"/>
      <c r="BL33" s="275"/>
      <c r="BM33" s="275"/>
    </row>
    <row r="34" spans="19:65" x14ac:dyDescent="0.35">
      <c r="AU34" s="110"/>
      <c r="AV34" s="110"/>
      <c r="AW34" s="110"/>
      <c r="AX34" s="110"/>
      <c r="AY34" s="110"/>
      <c r="AZ34" s="110"/>
      <c r="BA34" s="110"/>
    </row>
    <row r="35" spans="19:65" x14ac:dyDescent="0.35">
      <c r="AE35" s="109">
        <f>'Giá mua Chai-Vảy'!O40</f>
        <v>12550</v>
      </c>
      <c r="AI35" s="133"/>
      <c r="AJ35" s="133"/>
      <c r="AK35" s="133"/>
      <c r="AL35" s="133"/>
      <c r="AM35" s="121"/>
      <c r="AN35" s="121"/>
      <c r="AO35" s="121"/>
      <c r="AP35" s="133"/>
      <c r="AU35" s="110"/>
      <c r="AV35" s="110"/>
      <c r="AW35" s="110"/>
      <c r="AX35" s="110"/>
      <c r="AY35" s="110"/>
      <c r="AZ35" s="110"/>
      <c r="BA35" s="110"/>
    </row>
    <row r="36" spans="19:65" x14ac:dyDescent="0.35">
      <c r="T36" s="119" t="s">
        <v>446</v>
      </c>
      <c r="AG36" s="126">
        <v>0.01</v>
      </c>
      <c r="AH36" s="126"/>
      <c r="AL36" s="133"/>
      <c r="AM36" s="121"/>
      <c r="AN36" s="121"/>
      <c r="AO36" s="121"/>
      <c r="AP36" s="133"/>
    </row>
    <row r="37" spans="19:65"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22"/>
      <c r="AI37" s="177">
        <f>V37+X37+Z37+AB37+AD37+AF37</f>
        <v>12550</v>
      </c>
      <c r="AJ37" s="130">
        <f>$AJ$4*AK37</f>
        <v>19500000</v>
      </c>
      <c r="AK37" s="194">
        <f>19500000/26500</f>
        <v>735.84905660377353</v>
      </c>
      <c r="AL37" s="175"/>
      <c r="AM37" s="208"/>
      <c r="AN37" s="208"/>
      <c r="AO37" s="208"/>
      <c r="AP37" s="209"/>
      <c r="AQ37" s="110">
        <f>$AQ$4*AR37/1000</f>
        <v>0.35333333333333339</v>
      </c>
      <c r="AR37" s="188">
        <f>AE37</f>
        <v>1</v>
      </c>
      <c r="AS37" s="188">
        <f>SUM(AM37:AR37)</f>
        <v>1.3533333333333335</v>
      </c>
      <c r="AU37" s="188"/>
      <c r="AV37" s="188"/>
      <c r="AW37" s="188"/>
      <c r="AX37" s="188"/>
      <c r="AY37" s="188"/>
      <c r="AZ37" s="188"/>
      <c r="BA37" s="188"/>
      <c r="BC37" s="276">
        <f>$BC$1*AG36</f>
        <v>530</v>
      </c>
      <c r="BD37" s="276">
        <f>$BD$1*AG36</f>
        <v>1000</v>
      </c>
      <c r="BE37" s="276"/>
      <c r="BF37" s="276"/>
      <c r="BG37" s="276"/>
      <c r="BH37" s="276"/>
      <c r="BI37" s="276"/>
      <c r="BJ37" s="276"/>
      <c r="BK37" s="276"/>
      <c r="BL37" s="276"/>
      <c r="BM37" s="276"/>
    </row>
    <row r="38" spans="19:65" x14ac:dyDescent="0.35">
      <c r="AU38" s="110"/>
      <c r="AV38" s="110"/>
      <c r="AW38" s="110"/>
      <c r="AX38" s="110"/>
      <c r="AY38" s="110"/>
      <c r="AZ38" s="110"/>
      <c r="BA38" s="110"/>
    </row>
    <row r="39" spans="19:65" x14ac:dyDescent="0.35">
      <c r="AU39" s="110"/>
      <c r="AV39" s="110"/>
      <c r="AW39" s="110"/>
      <c r="AX39" s="110"/>
      <c r="AY39" s="110"/>
      <c r="AZ39" s="110"/>
      <c r="BA39" s="110"/>
    </row>
  </sheetData>
  <mergeCells count="1">
    <mergeCell ref="AL1:AL5"/>
  </mergeCells>
  <hyperlinks>
    <hyperlink ref="AA11" r:id="rId1" display="20@" xr:uid="{BAE19B94-9441-4A06-8DCA-8E3FCDAEB942}"/>
  </hyperlinks>
  <pageMargins left="0.17" right="0.18" top="0.31" bottom="0.23" header="0.18" footer="0.05"/>
  <pageSetup paperSize="9" orientation="landscape" r:id="rId2"/>
  <drawing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DEAD-C462-4E75-8752-52644E4CB25F}">
  <sheetPr>
    <tabColor rgb="FFFF0000"/>
  </sheetPr>
  <dimension ref="B1:AP37"/>
  <sheetViews>
    <sheetView topLeftCell="D1" zoomScale="85" zoomScaleNormal="85" workbookViewId="0">
      <pane xSplit="17" topLeftCell="U1" activePane="topRight" state="frozen"/>
      <selection activeCell="S1" sqref="S1"/>
      <selection pane="topRight" activeCell="AE1" sqref="AE1"/>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21.90625" style="121" bestFit="1" customWidth="1"/>
    <col min="34" max="34" width="10.1796875" style="121" bestFit="1" customWidth="1"/>
    <col min="35" max="35" width="11.81640625" bestFit="1" customWidth="1"/>
    <col min="36" max="36" width="7" bestFit="1" customWidth="1"/>
  </cols>
  <sheetData>
    <row r="1" spans="2:38" ht="15.5" x14ac:dyDescent="0.35">
      <c r="B1" s="113" t="s">
        <v>364</v>
      </c>
      <c r="T1" s="121" t="s">
        <v>447</v>
      </c>
      <c r="U1" s="109">
        <f>'Giá mua Chai-Vảy (Giá giảm)'!E18</f>
        <v>14800</v>
      </c>
      <c r="W1" s="132">
        <f>'Giá mua Chai-Vảy (Giá giảm)'!E14</f>
        <v>16300</v>
      </c>
      <c r="X1" s="132">
        <f>W3-W1-X3</f>
        <v>-847.55675534306283</v>
      </c>
      <c r="Y1" s="109">
        <f>'Giá mua Chai-Vảy (Giá giảm)'!E15</f>
        <v>14800</v>
      </c>
      <c r="AA1" s="109">
        <f>'Giá mua Chai-Vảy (Giá giảm)'!E17</f>
        <v>13300</v>
      </c>
      <c r="AB1" s="132">
        <f>'[5]18. Vảy B5'!$I$10</f>
        <v>411.68039840493083</v>
      </c>
      <c r="AC1" s="168">
        <f>'[5]16.1 Rửa vảy B7'!$I$9</f>
        <v>7971.0144927536239</v>
      </c>
      <c r="AD1" s="171">
        <f>'[5]16.1 Rửa vảy B7'!$I$10</f>
        <v>84.555434657824762</v>
      </c>
      <c r="AE1" s="109">
        <f>'Giá mua Chai-Vảy (Giá giảm)'!E16</f>
        <v>13300</v>
      </c>
    </row>
    <row r="2" spans="2:38" ht="15.5" x14ac:dyDescent="0.35">
      <c r="B2" s="114" t="s">
        <v>365</v>
      </c>
      <c r="T2" s="162" t="s">
        <v>634</v>
      </c>
      <c r="U2" s="157">
        <f>'Hảo_R&amp;D'!AK2</f>
        <v>0.77783045852077959</v>
      </c>
      <c r="W2" s="283">
        <f>'Hảo_R&amp;D'!AM2</f>
        <v>0.8081674874213195</v>
      </c>
      <c r="X2" s="132">
        <f>'[5]12. 100% vảy-&gt;hạt WSS01-iSS01'!$I$10</f>
        <v>1636.9775154230633</v>
      </c>
      <c r="Y2" s="157">
        <f>'Hảo_R&amp;D'!AO2</f>
        <v>0.85501479000000002</v>
      </c>
      <c r="AA2" s="157">
        <f>'Hảo_R&amp;D'!AQ2</f>
        <v>0.85501479000000002</v>
      </c>
      <c r="AE2" s="157">
        <f>'Hảo_R&amp;D'!AU2</f>
        <v>0.773478</v>
      </c>
    </row>
    <row r="3" spans="2:38" ht="29" x14ac:dyDescent="0.35">
      <c r="T3" s="162" t="s">
        <v>448</v>
      </c>
      <c r="U3" s="169">
        <f>U1/U2</f>
        <v>19027.282665358136</v>
      </c>
      <c r="W3" s="131">
        <f>W1/W2</f>
        <v>20169.086549138014</v>
      </c>
      <c r="X3" s="170">
        <f>'[5]10. 100% chai-&gt;hạt WSS01-iSS01'!$I$21+'[5]10. 100% chai-&gt;hạt WSS01-iSS01'!$I$37</f>
        <v>4716.6433044810765</v>
      </c>
      <c r="Y3" s="169">
        <f>Y1/Y2</f>
        <v>17309.642094027404</v>
      </c>
      <c r="AA3" s="169">
        <f>AA1/AA2</f>
        <v>15555.28647638949</v>
      </c>
      <c r="AB3" s="132"/>
      <c r="AC3" s="169">
        <f>'[5]16.1 Rửa vảy B7'!$I$48</f>
        <v>14341.250211551116</v>
      </c>
      <c r="AD3" s="109"/>
      <c r="AE3" s="169">
        <f>AE1/AE2</f>
        <v>17195.059200132389</v>
      </c>
      <c r="AG3" s="121" t="s">
        <v>636</v>
      </c>
      <c r="AI3" t="s">
        <v>391</v>
      </c>
      <c r="AJ3" t="s">
        <v>393</v>
      </c>
      <c r="AL3" s="133" t="s">
        <v>449</v>
      </c>
    </row>
    <row r="4" spans="2:38" x14ac:dyDescent="0.35">
      <c r="T4" s="120" t="s">
        <v>366</v>
      </c>
      <c r="U4" s="115" t="s">
        <v>367</v>
      </c>
      <c r="W4" s="115" t="s">
        <v>374</v>
      </c>
      <c r="Y4" s="115" t="s">
        <v>375</v>
      </c>
      <c r="AA4" s="115" t="s">
        <v>382</v>
      </c>
      <c r="AC4" s="115" t="s">
        <v>384</v>
      </c>
      <c r="AE4" s="115" t="s">
        <v>385</v>
      </c>
      <c r="AG4" s="127" t="s">
        <v>376</v>
      </c>
      <c r="AI4" s="129">
        <v>26500</v>
      </c>
    </row>
    <row r="5" spans="2:38"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t="s">
        <v>372</v>
      </c>
      <c r="AI5" s="123" t="s">
        <v>372</v>
      </c>
      <c r="AJ5" t="s">
        <v>392</v>
      </c>
    </row>
    <row r="6" spans="2:38" x14ac:dyDescent="0.35">
      <c r="T6" s="119" t="s">
        <v>390</v>
      </c>
      <c r="AG6" s="128">
        <v>0.3</v>
      </c>
    </row>
    <row r="7" spans="2:38"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U7+W7+Y7+AA7+AC7+AE7</f>
        <v>1</v>
      </c>
      <c r="AH7" s="167">
        <f>V7+X7+Z7+AB7+AD7+AF7</f>
        <v>20054.906160760027</v>
      </c>
      <c r="AI7" s="130">
        <f>$AI$4*AJ7</f>
        <v>30740000</v>
      </c>
      <c r="AJ7" s="109">
        <v>1160</v>
      </c>
      <c r="AL7" s="171">
        <f>AH7/$AI$4*1000</f>
        <v>756.78891172679357</v>
      </c>
    </row>
    <row r="8" spans="2:38"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ref="AG8:AH11" si="0">U8+W8+Y8+AA8+AC8+AE8</f>
        <v>1</v>
      </c>
      <c r="AH8" s="167">
        <f t="shared" si="0"/>
        <v>19826.54538400405</v>
      </c>
      <c r="AI8" s="130">
        <f>$AI$4*AJ8</f>
        <v>31535000</v>
      </c>
      <c r="AJ8" s="130">
        <f>AJ7+30</f>
        <v>1190</v>
      </c>
      <c r="AL8" s="171">
        <f>AH8/$AI$4*1000</f>
        <v>748.17152392468108</v>
      </c>
    </row>
    <row r="9" spans="2:38"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0"/>
        <v>1</v>
      </c>
      <c r="AH9" s="167">
        <f t="shared" si="0"/>
        <v>19112.177744792491</v>
      </c>
      <c r="AI9" s="130">
        <f>$AI$4*AJ9</f>
        <v>28885000</v>
      </c>
      <c r="AJ9" s="130">
        <f>AJ7-70</f>
        <v>1090</v>
      </c>
      <c r="AL9" s="171">
        <f>AH9/$AI$4*1000</f>
        <v>721.2142545204714</v>
      </c>
    </row>
    <row r="10" spans="2:38"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67">
        <f t="shared" si="0"/>
        <v>18853.682855909705</v>
      </c>
      <c r="AI10" s="130">
        <f>$AI$4*AJ10</f>
        <v>19080000</v>
      </c>
      <c r="AJ10" s="130">
        <v>720</v>
      </c>
      <c r="AL10" s="171">
        <f>AH10/$AI$4*1000</f>
        <v>711.45973041168702</v>
      </c>
    </row>
    <row r="11" spans="2:38"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0"/>
        <v>1</v>
      </c>
      <c r="AH11" s="167">
        <f t="shared" si="0"/>
        <v>18504.154010131388</v>
      </c>
      <c r="AI11" s="130">
        <f>$AI$4*AJ11</f>
        <v>16032500</v>
      </c>
      <c r="AJ11" s="183">
        <v>605</v>
      </c>
      <c r="AL11" s="184">
        <f>AH11/$AI$4*1000</f>
        <v>698.26996264646743</v>
      </c>
    </row>
    <row r="14" spans="2:38" x14ac:dyDescent="0.35">
      <c r="T14" s="119" t="s">
        <v>387</v>
      </c>
      <c r="W14" s="116" t="s">
        <v>48</v>
      </c>
      <c r="AG14" s="126">
        <v>0.53</v>
      </c>
    </row>
    <row r="15" spans="2:38"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1">U15+W15+Y15+AA15+AC15+AE15</f>
        <v>1</v>
      </c>
      <c r="AH15" s="167">
        <f t="shared" si="1"/>
        <v>20169.086549138014</v>
      </c>
      <c r="AI15" s="130">
        <f>$AI$4*AJ15</f>
        <v>30740000</v>
      </c>
      <c r="AJ15" s="130">
        <f>AJ7</f>
        <v>1160</v>
      </c>
      <c r="AL15" s="171">
        <f>AH15/$AI$4*1000</f>
        <v>761.09760562784959</v>
      </c>
    </row>
    <row r="16" spans="2:38"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1"/>
        <v>1</v>
      </c>
      <c r="AH16" s="167">
        <f t="shared" si="1"/>
        <v>20169.086549138014</v>
      </c>
      <c r="AI16" s="130">
        <f>$AI$4*AJ16</f>
        <v>31535000</v>
      </c>
      <c r="AJ16" s="130">
        <f>AJ7+30</f>
        <v>1190</v>
      </c>
      <c r="AL16" s="171">
        <f>AH16/$AI$4*1000</f>
        <v>761.09760562784959</v>
      </c>
    </row>
    <row r="17" spans="20:38"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1"/>
        <v>1</v>
      </c>
      <c r="AH17" s="167">
        <f t="shared" si="1"/>
        <v>20169.086549138014</v>
      </c>
      <c r="AI17" s="130">
        <f>$AI$4*AJ17</f>
        <v>33125000</v>
      </c>
      <c r="AJ17" s="130">
        <f>AJ7+90</f>
        <v>1250</v>
      </c>
      <c r="AL17" s="171">
        <f>AH17/$AI$4*1000</f>
        <v>761.09760562784959</v>
      </c>
    </row>
    <row r="18" spans="20:38"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1"/>
        <v>1</v>
      </c>
      <c r="AH18" s="167">
        <f t="shared" si="1"/>
        <v>20169.086549138014</v>
      </c>
      <c r="AI18" s="130">
        <f>$AI$4*AJ18</f>
        <v>29945000</v>
      </c>
      <c r="AJ18" s="130">
        <f>AJ7-30</f>
        <v>1130</v>
      </c>
      <c r="AL18" s="171">
        <f>AH18/$AI$4*1000</f>
        <v>761.09760562784959</v>
      </c>
    </row>
    <row r="24" spans="20:38" x14ac:dyDescent="0.35">
      <c r="T24" s="119" t="s">
        <v>388</v>
      </c>
      <c r="AG24" s="126">
        <v>0.05</v>
      </c>
    </row>
    <row r="25" spans="20:38"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2">U25+W25+Y25+AA25+AC25+AE25</f>
        <v>1</v>
      </c>
      <c r="AH25" s="167">
        <f t="shared" si="2"/>
        <v>19883.142103626953</v>
      </c>
      <c r="AI25" s="130">
        <f>$AI$4*AJ25</f>
        <v>30740000</v>
      </c>
      <c r="AJ25" s="130">
        <f>AJ7</f>
        <v>1160</v>
      </c>
      <c r="AL25" s="171">
        <f>AH25/$AI$4*1000</f>
        <v>750.30724919346994</v>
      </c>
    </row>
    <row r="26" spans="20:38" x14ac:dyDescent="0.35">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2"/>
        <v>1</v>
      </c>
      <c r="AH26" s="167">
        <f t="shared" si="2"/>
        <v>19112.177744792491</v>
      </c>
      <c r="AI26" s="130">
        <f>$AI$4*AJ26</f>
        <v>28885000</v>
      </c>
      <c r="AJ26" s="130">
        <f>AJ7-70</f>
        <v>1090</v>
      </c>
      <c r="AL26" s="171">
        <f>AH26/$AI$4*1000</f>
        <v>721.2142545204714</v>
      </c>
    </row>
    <row r="27" spans="20:38"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2"/>
        <v>1</v>
      </c>
      <c r="AH27" s="167">
        <f t="shared" si="2"/>
        <v>17279.402879005062</v>
      </c>
      <c r="AI27" s="130">
        <f>$AI$4*AJ27</f>
        <v>30740000</v>
      </c>
      <c r="AJ27" s="130">
        <f>AJ7</f>
        <v>1160</v>
      </c>
      <c r="AL27" s="171">
        <f>AH27/$AI$4*1000</f>
        <v>652.05293883037973</v>
      </c>
    </row>
    <row r="28" spans="20:38" x14ac:dyDescent="0.35">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2"/>
        <v>1</v>
      </c>
      <c r="AH28" s="167">
        <f t="shared" si="2"/>
        <v>18853.682855909705</v>
      </c>
      <c r="AI28" s="130">
        <f>$AI$4*AJ28</f>
        <v>19080000</v>
      </c>
      <c r="AJ28" s="130">
        <f>AJ10</f>
        <v>720</v>
      </c>
      <c r="AL28" s="171">
        <f>AH28/$AI$4*1000</f>
        <v>711.45973041168702</v>
      </c>
    </row>
    <row r="29" spans="20:38"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2"/>
        <v>1</v>
      </c>
      <c r="AH29" s="167">
        <f t="shared" si="2"/>
        <v>18504.154010131388</v>
      </c>
      <c r="AI29" s="130">
        <f>$AI$4*AJ29</f>
        <v>16032500</v>
      </c>
      <c r="AJ29" s="183">
        <v>605</v>
      </c>
      <c r="AL29" s="184">
        <f>AH29/$AI$4*1000</f>
        <v>698.26996264646743</v>
      </c>
    </row>
    <row r="32" spans="20:38" x14ac:dyDescent="0.35">
      <c r="T32" s="119" t="s">
        <v>389</v>
      </c>
      <c r="AG32" s="126">
        <v>0.02</v>
      </c>
    </row>
    <row r="33" spans="20:42"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67">
        <f>V33+X33+Z33+AB33+AD33+AF33</f>
        <v>17195.059200132389</v>
      </c>
      <c r="AI33" s="130">
        <f>$AI$4*AJ33</f>
        <v>19000500</v>
      </c>
      <c r="AJ33">
        <v>717</v>
      </c>
      <c r="AL33" s="171">
        <f>AH33/$AI$4*1000</f>
        <v>648.8701584955619</v>
      </c>
    </row>
    <row r="35" spans="20:42" x14ac:dyDescent="0.35">
      <c r="AE35" s="109">
        <f>'Giá mua Chai-Vảy'!O40</f>
        <v>12550</v>
      </c>
      <c r="AH35" s="133"/>
      <c r="AI35" s="133"/>
      <c r="AJ35" s="133"/>
      <c r="AK35" s="133"/>
      <c r="AL35" s="121"/>
      <c r="AM35" s="121"/>
      <c r="AN35" s="121"/>
      <c r="AO35" s="133"/>
    </row>
    <row r="36" spans="20:42" x14ac:dyDescent="0.35">
      <c r="T36" s="119" t="s">
        <v>446</v>
      </c>
      <c r="AG36" s="126">
        <v>0.01</v>
      </c>
      <c r="AK36" s="133"/>
      <c r="AL36" s="121"/>
      <c r="AM36" s="121"/>
      <c r="AN36" s="121"/>
      <c r="AO36" s="133"/>
    </row>
    <row r="37" spans="20:42"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30">
        <f>$AI$4*AJ37</f>
        <v>19500000</v>
      </c>
      <c r="AJ37" s="194">
        <f>19500000/26500</f>
        <v>735.84905660377353</v>
      </c>
      <c r="AK37" s="175">
        <f>AK$1+$W$2</f>
        <v>0.8081674874213195</v>
      </c>
      <c r="AL37" s="172">
        <f>AL$1+AK37*$AK$2+AJ37*$AJ$2</f>
        <v>0</v>
      </c>
      <c r="AM37" s="172">
        <f>AL37+$AM$1</f>
        <v>0</v>
      </c>
      <c r="AN37" s="172">
        <f>AL37+$AN$1</f>
        <v>0</v>
      </c>
      <c r="AO37" s="175">
        <f>AM37</f>
        <v>0</v>
      </c>
      <c r="AP37" s="130">
        <f>$AP$4*AQ37/1000</f>
        <v>0</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F7C0-CAF6-4529-A5FF-DCBCEB6E9959}">
  <sheetPr>
    <tabColor rgb="FF0000FF"/>
  </sheetPr>
  <dimension ref="B1:BR37"/>
  <sheetViews>
    <sheetView topLeftCell="D1" zoomScale="85" zoomScaleNormal="85" workbookViewId="0">
      <pane xSplit="17" topLeftCell="Z1" activePane="topRight" state="frozen"/>
      <selection activeCell="S1" sqref="S1"/>
      <selection pane="topRight" activeCell="AJ1" sqref="AJ1"/>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1" bestFit="1" customWidth="1"/>
    <col min="34" max="34" width="10.1796875" style="133" bestFit="1" customWidth="1"/>
    <col min="35" max="35" width="9.81640625" style="121" customWidth="1"/>
    <col min="36" max="37" width="10.1796875" style="121" customWidth="1"/>
    <col min="38" max="38" width="10.1796875" style="133" customWidth="1"/>
    <col min="39" max="39" width="11.81640625" bestFit="1" customWidth="1"/>
    <col min="40" max="40" width="8.08984375" bestFit="1" customWidth="1"/>
    <col min="41" max="41" width="9.1796875" bestFit="1" customWidth="1"/>
    <col min="44" max="44" width="9.1796875" bestFit="1" customWidth="1"/>
    <col min="45" max="45" width="11" bestFit="1" customWidth="1"/>
    <col min="46" max="46" width="11.6328125" bestFit="1" customWidth="1"/>
    <col min="51" max="51" width="9.1796875" bestFit="1" customWidth="1"/>
    <col min="52" max="52" width="13.26953125" bestFit="1" customWidth="1"/>
  </cols>
  <sheetData>
    <row r="1" spans="2:44" ht="15.5" x14ac:dyDescent="0.35">
      <c r="B1" s="113" t="s">
        <v>364</v>
      </c>
      <c r="T1" s="121" t="s">
        <v>447</v>
      </c>
      <c r="U1" s="109">
        <f>'Hảo_R&amp;D'!AK1</f>
        <v>14800</v>
      </c>
      <c r="W1" s="132">
        <f>'Hảo_R&amp;D'!AM1</f>
        <v>16300</v>
      </c>
      <c r="X1" s="132">
        <f>W3-W1-X3</f>
        <v>-847.55675534306283</v>
      </c>
      <c r="Y1" s="109">
        <f>'Hảo_R&amp;D'!AO1</f>
        <v>14800</v>
      </c>
      <c r="AA1" s="109">
        <f>'Hảo_R&amp;D'!AQ1</f>
        <v>13300</v>
      </c>
      <c r="AB1" s="132"/>
      <c r="AC1" s="168">
        <f>'Hảo_R&amp;D'!AS1</f>
        <v>7971.0144927536239</v>
      </c>
      <c r="AD1" s="171">
        <f>'[5]16.1 Rửa vảy B7'!$I$10</f>
        <v>84.555434657824762</v>
      </c>
      <c r="AE1" s="109">
        <f>'Hảo_R&amp;D'!AU1</f>
        <v>13300</v>
      </c>
      <c r="AI1" s="176">
        <f>'H_Tỷ lệ HH&amp;PS'!BY6</f>
        <v>2000.939404729972</v>
      </c>
      <c r="AJ1" s="176">
        <f>'H_Tỷ lệ HH&amp;PS'!BZ6</f>
        <v>1376.0623421472308</v>
      </c>
      <c r="AK1" s="176">
        <f>AJ1/8*10</f>
        <v>1720.0779276840385</v>
      </c>
    </row>
    <row r="2" spans="2:44" ht="15.5" x14ac:dyDescent="0.35">
      <c r="B2" s="114" t="s">
        <v>365</v>
      </c>
      <c r="T2" s="162" t="s">
        <v>634</v>
      </c>
      <c r="U2" s="157">
        <f>'Hảo_R&amp;D'!AK2</f>
        <v>0.77783045852077959</v>
      </c>
      <c r="W2" s="283">
        <f>'Hảo_R&amp;D'!AM2</f>
        <v>0.8081674874213195</v>
      </c>
      <c r="X2" s="132">
        <f>'[5]12. 100% vảy-&gt;hạt WSS01-iSS01'!$I$10</f>
        <v>1636.9775154230633</v>
      </c>
      <c r="Y2" s="157">
        <f>'Hảo_R&amp;D'!AO2</f>
        <v>0.85501479000000002</v>
      </c>
      <c r="AA2" s="157">
        <f>'Hảo_R&amp;D'!AQ2</f>
        <v>0.85501479000000002</v>
      </c>
      <c r="AE2" s="157">
        <f>'Hảo_R&amp;D'!AU2</f>
        <v>0.773478</v>
      </c>
    </row>
    <row r="3" spans="2:44" ht="43.5" x14ac:dyDescent="0.35">
      <c r="T3" s="162" t="s">
        <v>448</v>
      </c>
      <c r="U3" s="169">
        <f>U1/U2</f>
        <v>19027.282665358136</v>
      </c>
      <c r="W3" s="131">
        <f>W1/W2</f>
        <v>20169.086549138014</v>
      </c>
      <c r="X3" s="170">
        <f>'[5]10. 100% chai-&gt;hạt WSS01-iSS01'!$I$21+'[5]10. 100% chai-&gt;hạt WSS01-iSS01'!$I$37</f>
        <v>4716.6433044810765</v>
      </c>
      <c r="Y3" s="169">
        <f>Y1/Y2</f>
        <v>17309.642094027404</v>
      </c>
      <c r="AA3" s="169">
        <f>AA1/AA2</f>
        <v>15555.28647638949</v>
      </c>
      <c r="AB3" s="132"/>
      <c r="AC3" s="169">
        <f>'[5]16.1 Rửa vảy B7'!$I$48</f>
        <v>14341.250211551116</v>
      </c>
      <c r="AD3" s="109"/>
      <c r="AE3" s="169">
        <f>AE1/AE2</f>
        <v>17195.059200132389</v>
      </c>
      <c r="AG3" s="937" t="s">
        <v>449</v>
      </c>
      <c r="AH3" s="937"/>
      <c r="AI3" s="173" t="s">
        <v>450</v>
      </c>
      <c r="AJ3" s="173" t="s">
        <v>451</v>
      </c>
      <c r="AK3" s="173" t="s">
        <v>452</v>
      </c>
      <c r="AL3" s="162" t="s">
        <v>453</v>
      </c>
      <c r="AM3" s="2" t="s">
        <v>391</v>
      </c>
      <c r="AN3" t="s">
        <v>393</v>
      </c>
      <c r="AO3" t="s">
        <v>454</v>
      </c>
      <c r="AP3" t="s">
        <v>455</v>
      </c>
      <c r="AQ3" t="s">
        <v>465</v>
      </c>
      <c r="AR3" t="s">
        <v>462</v>
      </c>
    </row>
    <row r="4" spans="2:44" x14ac:dyDescent="0.35">
      <c r="T4" s="120" t="s">
        <v>366</v>
      </c>
      <c r="U4" s="115" t="s">
        <v>367</v>
      </c>
      <c r="W4" s="115" t="s">
        <v>374</v>
      </c>
      <c r="Y4" s="115" t="s">
        <v>375</v>
      </c>
      <c r="AA4" s="115" t="s">
        <v>382</v>
      </c>
      <c r="AC4" s="115" t="s">
        <v>384</v>
      </c>
      <c r="AE4" s="115" t="s">
        <v>385</v>
      </c>
      <c r="AG4" s="127" t="s">
        <v>376</v>
      </c>
      <c r="AM4" s="129">
        <v>26500</v>
      </c>
    </row>
    <row r="5" spans="2:44"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23"/>
      <c r="AJ5" s="123"/>
      <c r="AK5" s="123"/>
      <c r="AL5" s="174"/>
      <c r="AM5" s="123" t="s">
        <v>372</v>
      </c>
      <c r="AN5" t="s">
        <v>392</v>
      </c>
    </row>
    <row r="6" spans="2:44" x14ac:dyDescent="0.35">
      <c r="T6" s="119" t="s">
        <v>390</v>
      </c>
      <c r="AG6" s="128">
        <v>0.3</v>
      </c>
    </row>
    <row r="7" spans="2:44"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U7+W7+Y7+AA7+AC7+AE7</f>
        <v>1</v>
      </c>
      <c r="AH7" s="177">
        <f>V7+X7+Z7+AB7+AD7+AF7</f>
        <v>20054.906160760027</v>
      </c>
      <c r="AI7" s="172">
        <f>$AI$1+AH7</f>
        <v>22055.845565489999</v>
      </c>
      <c r="AJ7" s="172">
        <f>AI7+$AJ$1</f>
        <v>23431.907907637229</v>
      </c>
      <c r="AK7" s="172">
        <f>AI7+$AK$1</f>
        <v>23775.923493174036</v>
      </c>
      <c r="AL7" s="175">
        <f>AJ7</f>
        <v>23431.907907637229</v>
      </c>
      <c r="AM7" s="130">
        <f>$AM$4*AN7/1000</f>
        <v>30740</v>
      </c>
      <c r="AN7" s="109">
        <v>1160</v>
      </c>
      <c r="AO7" s="130">
        <f>AM7-AL7</f>
        <v>7308.0920923627709</v>
      </c>
      <c r="AP7" s="153">
        <f>AO7/AM7</f>
        <v>0.23773884490444927</v>
      </c>
      <c r="AR7" s="109">
        <f>AH7/$AM$4*1000</f>
        <v>756.78891172679357</v>
      </c>
    </row>
    <row r="8" spans="2:44"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ref="AG8:AH11" si="0">U8+W8+Y8+AA8+AC8+AE8</f>
        <v>1</v>
      </c>
      <c r="AH8" s="177">
        <f t="shared" si="0"/>
        <v>19826.54538400405</v>
      </c>
      <c r="AI8" s="172">
        <f>$AI$1+AH8</f>
        <v>21827.484788734022</v>
      </c>
      <c r="AJ8" s="172">
        <f>AI8+$AJ$1</f>
        <v>23203.547130881252</v>
      </c>
      <c r="AK8" s="172">
        <f>AI8+$AK$1</f>
        <v>23547.562716418062</v>
      </c>
      <c r="AL8" s="175">
        <f>AJ8</f>
        <v>23203.547130881252</v>
      </c>
      <c r="AM8" s="130">
        <f>$AM$4*AN8/1000</f>
        <v>31535</v>
      </c>
      <c r="AN8" s="130">
        <f>AN7+30</f>
        <v>1190</v>
      </c>
      <c r="AO8" s="130">
        <f>AM8-AL8</f>
        <v>8331.4528691187479</v>
      </c>
      <c r="AP8" s="153">
        <f>AO8/AM8</f>
        <v>0.26419701503468362</v>
      </c>
      <c r="AR8" s="109">
        <f>AH8/$AM$4*1000</f>
        <v>748.17152392468108</v>
      </c>
    </row>
    <row r="9" spans="2:44"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0"/>
        <v>1</v>
      </c>
      <c r="AH9" s="177">
        <f t="shared" si="0"/>
        <v>19112.177744792491</v>
      </c>
      <c r="AI9" s="172">
        <f>$AI$1+AH9</f>
        <v>21113.117149522463</v>
      </c>
      <c r="AJ9" s="172">
        <f>AI9+$AJ$1</f>
        <v>22489.179491669693</v>
      </c>
      <c r="AK9" s="172">
        <f>AI9+$AK$1</f>
        <v>22833.195077206503</v>
      </c>
      <c r="AL9" s="175">
        <f>AJ9</f>
        <v>22489.179491669693</v>
      </c>
      <c r="AM9" s="130">
        <f>$AM$4*AN9/1000</f>
        <v>28885</v>
      </c>
      <c r="AN9" s="130">
        <f>AN7-70</f>
        <v>1090</v>
      </c>
      <c r="AO9" s="130">
        <f>AM9-AL9</f>
        <v>6395.8205083303073</v>
      </c>
      <c r="AP9" s="153">
        <f>AO9/AM9</f>
        <v>0.22142359384906724</v>
      </c>
      <c r="AR9" s="109">
        <f>AH9/$AM$4*1000</f>
        <v>721.2142545204714</v>
      </c>
    </row>
    <row r="10" spans="2:44"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77">
        <f t="shared" si="0"/>
        <v>18853.682855909705</v>
      </c>
      <c r="AI10" s="172">
        <f>$AI$1+AH10</f>
        <v>20854.622260639677</v>
      </c>
      <c r="AJ10" s="172">
        <f>AI10+$AJ$1</f>
        <v>22230.684602786907</v>
      </c>
      <c r="AK10" s="172">
        <f>AI10+$AK$1</f>
        <v>22574.700188323717</v>
      </c>
      <c r="AL10" s="175">
        <f>AJ10</f>
        <v>22230.684602786907</v>
      </c>
      <c r="AM10" s="130">
        <f>$AM$4*AN10/1000</f>
        <v>19080</v>
      </c>
      <c r="AN10" s="130">
        <v>720</v>
      </c>
      <c r="AO10" s="130">
        <f>AM10-AL10</f>
        <v>-3150.6846027869069</v>
      </c>
      <c r="AP10" s="153">
        <f>AO10/AM10</f>
        <v>-0.16513022027185045</v>
      </c>
      <c r="AR10" s="109">
        <f>AH10/$AM$4*1000</f>
        <v>711.45973041168702</v>
      </c>
    </row>
    <row r="11" spans="2:44"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0"/>
        <v>1</v>
      </c>
      <c r="AH11" s="177">
        <f t="shared" si="0"/>
        <v>18504.154010131388</v>
      </c>
      <c r="AI11" s="172">
        <f>$AI$1+AH11</f>
        <v>20505.09341486136</v>
      </c>
      <c r="AJ11" s="172">
        <f>AI11+$AJ$1</f>
        <v>21881.15575700859</v>
      </c>
      <c r="AK11" s="172">
        <f>AI11+$AK$1</f>
        <v>22225.1713425454</v>
      </c>
      <c r="AL11" s="175">
        <f>AJ11</f>
        <v>21881.15575700859</v>
      </c>
      <c r="AM11" s="130">
        <f>$AM$4*AN11/1000</f>
        <v>25970</v>
      </c>
      <c r="AN11" s="179">
        <v>980</v>
      </c>
      <c r="AO11" s="130">
        <f>AM11-AL11</f>
        <v>4088.8442429914103</v>
      </c>
      <c r="AP11" s="153">
        <f>AO11/AM11</f>
        <v>0.15744490731580324</v>
      </c>
      <c r="AR11" s="109">
        <f>AH11/$AM$4*1000</f>
        <v>698.26996264646743</v>
      </c>
    </row>
    <row r="14" spans="2:44" x14ac:dyDescent="0.35">
      <c r="T14" s="119" t="s">
        <v>387</v>
      </c>
      <c r="W14" s="116" t="s">
        <v>48</v>
      </c>
      <c r="AG14" s="126">
        <v>0.53</v>
      </c>
    </row>
    <row r="15" spans="2:44"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1">U15+W15+Y15+AA15+AC15+AE15</f>
        <v>1</v>
      </c>
      <c r="AH15" s="177">
        <f t="shared" si="1"/>
        <v>20169.086549138014</v>
      </c>
      <c r="AI15" s="172">
        <f>$AI$1+AH15</f>
        <v>22170.025953867986</v>
      </c>
      <c r="AJ15" s="172">
        <f>AI15+$AJ$1</f>
        <v>23546.088296015216</v>
      </c>
      <c r="AK15" s="172">
        <f>AI15+$AK$1</f>
        <v>23890.103881552022</v>
      </c>
      <c r="AL15" s="175">
        <f>AJ15</f>
        <v>23546.088296015216</v>
      </c>
      <c r="AM15" s="130">
        <f>$AM$4*AN15/1000</f>
        <v>30740</v>
      </c>
      <c r="AN15" s="130">
        <f>AN7</f>
        <v>1160</v>
      </c>
      <c r="AO15" s="130">
        <f>AM15-AL15</f>
        <v>7193.9117039847843</v>
      </c>
      <c r="AP15" s="153">
        <f>AO15/AM15</f>
        <v>0.23402445361043539</v>
      </c>
      <c r="AR15" s="109">
        <f>AH15/$AM$4*1000</f>
        <v>761.09760562784959</v>
      </c>
    </row>
    <row r="16" spans="2:44"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1"/>
        <v>1</v>
      </c>
      <c r="AH16" s="177">
        <f t="shared" si="1"/>
        <v>20169.086549138014</v>
      </c>
      <c r="AI16" s="172">
        <f>$AI$1+AH16</f>
        <v>22170.025953867986</v>
      </c>
      <c r="AJ16" s="172">
        <f>AI16+$AJ$1</f>
        <v>23546.088296015216</v>
      </c>
      <c r="AK16" s="172">
        <f>AI16+$AK$1</f>
        <v>23890.103881552022</v>
      </c>
      <c r="AL16" s="175">
        <f>AJ16</f>
        <v>23546.088296015216</v>
      </c>
      <c r="AM16" s="130">
        <f>$AM$4*AN16/1000</f>
        <v>31535</v>
      </c>
      <c r="AN16" s="130">
        <f>AN7+30</f>
        <v>1190</v>
      </c>
      <c r="AO16" s="130">
        <f>AM16-AL16</f>
        <v>7988.9117039847843</v>
      </c>
      <c r="AP16" s="153">
        <f>AO16/AM16</f>
        <v>0.25333476150260931</v>
      </c>
      <c r="AR16" s="109">
        <f>AH16/$AM$4*1000</f>
        <v>761.09760562784959</v>
      </c>
    </row>
    <row r="17" spans="20:52"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1"/>
        <v>1</v>
      </c>
      <c r="AH17" s="177">
        <f t="shared" si="1"/>
        <v>20169.086549138014</v>
      </c>
      <c r="AI17" s="172">
        <f>$AI$1+AH17</f>
        <v>22170.025953867986</v>
      </c>
      <c r="AJ17" s="172">
        <f>AI17+$AJ$1</f>
        <v>23546.088296015216</v>
      </c>
      <c r="AK17" s="172">
        <f>AI17+$AK$1</f>
        <v>23890.103881552022</v>
      </c>
      <c r="AL17" s="175">
        <f>AJ17</f>
        <v>23546.088296015216</v>
      </c>
      <c r="AM17" s="130">
        <f>$AM$4*AN17/1000</f>
        <v>33125</v>
      </c>
      <c r="AN17" s="130">
        <f>AN7+90</f>
        <v>1250</v>
      </c>
      <c r="AO17" s="130">
        <f>AM17-AL17</f>
        <v>9578.9117039847843</v>
      </c>
      <c r="AP17" s="153">
        <f>AO17/AM17</f>
        <v>0.28917469295048404</v>
      </c>
      <c r="AR17" s="109">
        <f>AH17/$AM$4*1000</f>
        <v>761.09760562784959</v>
      </c>
    </row>
    <row r="18" spans="20:52"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1"/>
        <v>1</v>
      </c>
      <c r="AH18" s="177">
        <f t="shared" si="1"/>
        <v>20169.086549138014</v>
      </c>
      <c r="AI18" s="172">
        <f>$AI$1+AH18</f>
        <v>22170.025953867986</v>
      </c>
      <c r="AJ18" s="172">
        <f>AI18+$AJ$1</f>
        <v>23546.088296015216</v>
      </c>
      <c r="AK18" s="172">
        <f>AI18+$AK$1</f>
        <v>23890.103881552022</v>
      </c>
      <c r="AL18" s="175">
        <f>AJ18</f>
        <v>23546.088296015216</v>
      </c>
      <c r="AM18" s="130">
        <f>$AM$4*AN18/1000</f>
        <v>29945</v>
      </c>
      <c r="AN18" s="130">
        <f>AN7-30</f>
        <v>1130</v>
      </c>
      <c r="AO18" s="130">
        <f>AM18-AL18</f>
        <v>6398.9117039847843</v>
      </c>
      <c r="AP18" s="153">
        <f>AO18/AM18</f>
        <v>0.21368881963549122</v>
      </c>
      <c r="AR18" s="109">
        <f>AH18/$AM$4*1000</f>
        <v>761.09760562784959</v>
      </c>
    </row>
    <row r="24" spans="20:52" x14ac:dyDescent="0.35">
      <c r="T24" s="119" t="s">
        <v>388</v>
      </c>
      <c r="AG24" s="126">
        <v>0.05</v>
      </c>
    </row>
    <row r="25" spans="20:52"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2">U25+W25+Y25+AA25+AC25+AE25</f>
        <v>1</v>
      </c>
      <c r="AH25" s="177">
        <f t="shared" si="2"/>
        <v>19883.142103626953</v>
      </c>
      <c r="AI25" s="172">
        <f>$AI$1+AH25</f>
        <v>21884.081508356925</v>
      </c>
      <c r="AJ25" s="172">
        <f>AI25+$AJ$1</f>
        <v>23260.143850504155</v>
      </c>
      <c r="AK25" s="172">
        <f>AI25+$AK$1</f>
        <v>23604.159436040965</v>
      </c>
      <c r="AL25" s="175">
        <f>AJ25</f>
        <v>23260.143850504155</v>
      </c>
      <c r="AM25" s="130">
        <f>$AM$4*AN25/1000</f>
        <v>30740</v>
      </c>
      <c r="AN25" s="130">
        <f>AN7</f>
        <v>1160</v>
      </c>
      <c r="AO25" s="130">
        <f>AM25-AL25</f>
        <v>7479.8561494958449</v>
      </c>
      <c r="AP25" s="153">
        <f>AO25/AM25</f>
        <v>0.24332648501938337</v>
      </c>
      <c r="AR25" s="109">
        <f>AH25/$AM$4*1000</f>
        <v>750.30724919346994</v>
      </c>
    </row>
    <row r="26" spans="20:52" x14ac:dyDescent="0.35">
      <c r="T26" s="180"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2"/>
        <v>1</v>
      </c>
      <c r="AH26" s="177">
        <f t="shared" si="2"/>
        <v>19112.177744792491</v>
      </c>
      <c r="AI26" s="172">
        <f>$AI$1+AH26</f>
        <v>21113.117149522463</v>
      </c>
      <c r="AJ26" s="172">
        <f>AI26+$AJ$1</f>
        <v>22489.179491669693</v>
      </c>
      <c r="AK26" s="172">
        <f>AI26+$AK$1</f>
        <v>22833.195077206503</v>
      </c>
      <c r="AL26" s="175">
        <f>AJ26</f>
        <v>22489.179491669693</v>
      </c>
      <c r="AM26" s="130">
        <f>$AM$4*AN26/1000</f>
        <v>28885</v>
      </c>
      <c r="AN26" s="130">
        <f>AN7-70</f>
        <v>1090</v>
      </c>
      <c r="AO26" s="130">
        <f>AM26-AL26</f>
        <v>6395.8205083303073</v>
      </c>
      <c r="AP26" s="153">
        <f>AO26/AM26</f>
        <v>0.22142359384906724</v>
      </c>
      <c r="AR26" s="109">
        <f>AH26/$AM$4*1000</f>
        <v>721.2142545204714</v>
      </c>
      <c r="AT26" s="182">
        <v>1074</v>
      </c>
      <c r="AU26" t="s">
        <v>456</v>
      </c>
      <c r="AV26" t="s">
        <v>457</v>
      </c>
      <c r="AW26" t="s">
        <v>458</v>
      </c>
      <c r="AY26" t="s">
        <v>463</v>
      </c>
      <c r="AZ26" t="s">
        <v>464</v>
      </c>
    </row>
    <row r="27" spans="20:52"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2"/>
        <v>1</v>
      </c>
      <c r="AH27" s="177">
        <f t="shared" si="2"/>
        <v>17279.402879005062</v>
      </c>
      <c r="AI27" s="172">
        <f>$AI$1+AH27</f>
        <v>19280.342283735034</v>
      </c>
      <c r="AJ27" s="172">
        <f>AI27+$AJ$1</f>
        <v>20656.404625882264</v>
      </c>
      <c r="AK27" s="172">
        <f>AI27+$AK$1</f>
        <v>21000.42021141907</v>
      </c>
      <c r="AL27" s="175">
        <f>AJ27</f>
        <v>20656.404625882264</v>
      </c>
      <c r="AM27" s="130">
        <f>$AM$4*AN27/1000</f>
        <v>30740</v>
      </c>
      <c r="AN27" s="130">
        <f>AN7</f>
        <v>1160</v>
      </c>
      <c r="AO27" s="130">
        <f>AM27-AL27</f>
        <v>10083.595374117736</v>
      </c>
      <c r="AP27" s="153">
        <f>AO27/AM27</f>
        <v>0.32802847671170254</v>
      </c>
      <c r="AR27" s="109">
        <f>AH27/$AM$4*1000</f>
        <v>652.05293883037973</v>
      </c>
    </row>
    <row r="28" spans="20:52"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2"/>
        <v>1</v>
      </c>
      <c r="AH28" s="177">
        <f t="shared" si="2"/>
        <v>18853.682855909705</v>
      </c>
      <c r="AI28" s="172">
        <f>$AI$1+AH28</f>
        <v>20854.622260639677</v>
      </c>
      <c r="AJ28" s="172">
        <f>AI28+$AJ$1</f>
        <v>22230.684602786907</v>
      </c>
      <c r="AK28" s="172">
        <f>AI28+$AK$1</f>
        <v>22574.700188323717</v>
      </c>
      <c r="AL28" s="175">
        <f>AJ28</f>
        <v>22230.684602786907</v>
      </c>
      <c r="AM28" s="130">
        <f>$AM$4*AN28/1000</f>
        <v>19080</v>
      </c>
      <c r="AN28" s="130">
        <f>AN10</f>
        <v>720</v>
      </c>
      <c r="AO28" s="130">
        <f>AM28-AL28</f>
        <v>-3150.6846027869069</v>
      </c>
      <c r="AP28" s="153">
        <f>AO28/AM28</f>
        <v>-0.16513022027185045</v>
      </c>
      <c r="AR28" s="109">
        <f>AH28/$AM$4*1000</f>
        <v>711.45973041168702</v>
      </c>
      <c r="AU28" s="179" t="s">
        <v>460</v>
      </c>
      <c r="AV28" t="s">
        <v>459</v>
      </c>
      <c r="AW28" s="181" t="s">
        <v>461</v>
      </c>
    </row>
    <row r="29" spans="20:52"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2"/>
        <v>1</v>
      </c>
      <c r="AH29" s="177">
        <f t="shared" si="2"/>
        <v>18504.154010131388</v>
      </c>
      <c r="AI29" s="172">
        <f>$AI$1+AH29</f>
        <v>20505.09341486136</v>
      </c>
      <c r="AJ29" s="172">
        <f>AI29+$AJ$1</f>
        <v>21881.15575700859</v>
      </c>
      <c r="AK29" s="172">
        <f>AI29+$AK$1</f>
        <v>22225.1713425454</v>
      </c>
      <c r="AL29" s="175">
        <f>AJ29</f>
        <v>21881.15575700859</v>
      </c>
      <c r="AM29" s="130">
        <f>$AM$4*AN29/1000</f>
        <v>19080</v>
      </c>
      <c r="AN29" s="179">
        <v>720</v>
      </c>
      <c r="AO29" s="130">
        <f>AM29-AL29</f>
        <v>-2801.1557570085897</v>
      </c>
      <c r="AP29" s="153">
        <f>AO29/AM29</f>
        <v>-0.14681109837571224</v>
      </c>
      <c r="AR29" s="109">
        <f>AH29/$AM$4*1000</f>
        <v>698.26996264646743</v>
      </c>
      <c r="AS29" s="130">
        <f>AN29-AR29</f>
        <v>21.730037353532566</v>
      </c>
      <c r="AT29" s="185">
        <f>AS29/AN29</f>
        <v>3.0180607435461897E-2</v>
      </c>
    </row>
    <row r="32" spans="20:52" x14ac:dyDescent="0.35">
      <c r="T32" s="119" t="s">
        <v>389</v>
      </c>
      <c r="AG32" s="126">
        <v>0.02</v>
      </c>
    </row>
    <row r="33" spans="20: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2">
        <f>$AI$1+AH33</f>
        <v>19195.998604862361</v>
      </c>
      <c r="AJ33" s="172">
        <f>AI33+$AJ$1</f>
        <v>20572.060947009591</v>
      </c>
      <c r="AK33" s="172">
        <f>AI33+$AK$1</f>
        <v>20916.076532546402</v>
      </c>
      <c r="AL33" s="175">
        <f>AJ33</f>
        <v>20572.060947009591</v>
      </c>
      <c r="AM33" s="130">
        <f>$AM$4*AN33/1000</f>
        <v>19000.5</v>
      </c>
      <c r="AN33">
        <v>717</v>
      </c>
      <c r="AO33" s="130">
        <f>AM33-AL33</f>
        <v>-1571.5609470095915</v>
      </c>
      <c r="AP33" s="153">
        <f>AO33/AM33</f>
        <v>-8.2711557433203936E-2</v>
      </c>
    </row>
    <row r="35" spans="20:70" x14ac:dyDescent="0.35">
      <c r="AE35" s="109">
        <f>'Giá mua Chai-Vảy'!O40</f>
        <v>12550</v>
      </c>
      <c r="AI35" s="176">
        <v>3427.9526141097858</v>
      </c>
      <c r="AJ35" s="133"/>
      <c r="AK35" s="133"/>
      <c r="AL35" s="121"/>
      <c r="AM35" s="121"/>
      <c r="AN35" s="121"/>
      <c r="AO35" s="133"/>
    </row>
    <row r="36" spans="20:70" x14ac:dyDescent="0.35">
      <c r="T36" s="119" t="s">
        <v>446</v>
      </c>
      <c r="AG36" s="126">
        <v>0.01</v>
      </c>
      <c r="AH36" s="121"/>
      <c r="AI36"/>
      <c r="AJ36"/>
      <c r="AK36" s="133"/>
      <c r="AL36" s="121"/>
      <c r="AM36" s="121"/>
      <c r="AN36" s="121"/>
      <c r="AO36" s="133"/>
    </row>
    <row r="37" spans="20: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AI$35+AH37</f>
        <v>15977.952614109785</v>
      </c>
      <c r="AJ37" s="194">
        <f>AJ$35+AI37</f>
        <v>15977.952614109785</v>
      </c>
      <c r="AK37" s="175">
        <f>AK$35+AI37</f>
        <v>15977.952614109785</v>
      </c>
      <c r="AL37" s="172">
        <f>AL$35+AK37</f>
        <v>15977.952614109785</v>
      </c>
      <c r="AM37" s="172">
        <f>$AM$4*AN37/1000</f>
        <v>18550</v>
      </c>
      <c r="AN37" s="172">
        <v>700</v>
      </c>
      <c r="AO37" s="175">
        <f>AM37-AL37</f>
        <v>2572.0473858902151</v>
      </c>
      <c r="AP37" s="110">
        <f>AO37/AM37</f>
        <v>0.13865484560055069</v>
      </c>
      <c r="AQ37" s="130">
        <v>717</v>
      </c>
      <c r="AR37" s="130">
        <f>AP37-AO37</f>
        <v>-2571.9087310446143</v>
      </c>
      <c r="AS37" s="153">
        <f>AR37/AP37</f>
        <v>-18548.999999999996</v>
      </c>
      <c r="AX37" s="147" t="e">
        <f t="shared" ref="AX37:BF37" si="3">AH37/$AP$4*1000</f>
        <v>#DIV/0!</v>
      </c>
      <c r="AY37" s="198" t="e">
        <f>AI37/$AP$4*1000</f>
        <v>#DIV/0!</v>
      </c>
      <c r="AZ37" s="198" t="e">
        <f t="shared" si="3"/>
        <v>#DIV/0!</v>
      </c>
      <c r="BA37" s="198" t="e">
        <f t="shared" si="3"/>
        <v>#DIV/0!</v>
      </c>
      <c r="BB37" s="199" t="e">
        <f>AL37/$AP$4*1000</f>
        <v>#DIV/0!</v>
      </c>
      <c r="BC37" s="199" t="e">
        <f t="shared" si="3"/>
        <v>#DIV/0!</v>
      </c>
      <c r="BD37" s="199" t="e">
        <f t="shared" si="3"/>
        <v>#DIV/0!</v>
      </c>
      <c r="BE37" s="147" t="e">
        <f t="shared" si="3"/>
        <v>#DIV/0!</v>
      </c>
      <c r="BF37" s="200" t="e">
        <f t="shared" si="3"/>
        <v>#DIV/0!</v>
      </c>
      <c r="BG37" s="201" t="e">
        <f>BF37-BE37</f>
        <v>#DIV/0!</v>
      </c>
      <c r="BH37" s="202" t="e">
        <f>BG37/BE37</f>
        <v>#DIV/0!</v>
      </c>
      <c r="BJ37" s="109">
        <f>'Hảo_R&amp;D (Hạt) (full stage)-Chai'!BE37</f>
        <v>631.27894410716067</v>
      </c>
      <c r="BK37" s="109">
        <f>'Hảo_R&amp;D (Hạt) (full stage)-MN'!BE37</f>
        <v>948.07054234680652</v>
      </c>
      <c r="BL37" s="109" t="e">
        <f>BE37</f>
        <v>#DIV/0!</v>
      </c>
      <c r="BM37" s="130">
        <f>BJ37-BK37</f>
        <v>-316.79159823964585</v>
      </c>
      <c r="BO37" s="109">
        <f>'Hảo_R&amp;D (Hạt) (full stage)-Chai'!AO37</f>
        <v>16728.892018839757</v>
      </c>
      <c r="BP37" s="109">
        <f>'Hảo_R&amp;D (Hạt) (full stage)-MN'!AO37</f>
        <v>25123.869372190373</v>
      </c>
      <c r="BQ37" s="109">
        <f>AO37</f>
        <v>2572.0473858902151</v>
      </c>
      <c r="BR37" s="130">
        <f>BO37-BP37</f>
        <v>-8394.9773533506159</v>
      </c>
    </row>
  </sheetData>
  <mergeCells count="1">
    <mergeCell ref="AG3:AH3"/>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E2A0-EA9F-4CD7-BC02-8F4216A8AF44}">
  <sheetPr>
    <tabColor rgb="FFFF0000"/>
  </sheetPr>
  <dimension ref="B1:BR49"/>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V4" sqref="V4"/>
    </sheetView>
  </sheetViews>
  <sheetFormatPr defaultRowHeight="14.5" outlineLevelCol="1" x14ac:dyDescent="0.35"/>
  <cols>
    <col min="1" max="1" width="3.36328125" customWidth="1"/>
    <col min="4" max="18" width="8.7265625" hidden="1" customWidth="1" outlineLevel="1"/>
    <col min="19" max="19" width="9.7265625" bestFit="1" customWidth="1"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1" bestFit="1" customWidth="1"/>
    <col min="34" max="34" width="10.1796875" style="133" bestFit="1" customWidth="1"/>
    <col min="35" max="37" width="10.1796875" style="133" customWidth="1"/>
    <col min="38" max="40" width="10.1796875" style="121" customWidth="1"/>
    <col min="41" max="41" width="10.1796875" style="133" customWidth="1"/>
    <col min="42" max="42" width="11.81640625" bestFit="1" customWidth="1"/>
    <col min="43" max="43" width="7" bestFit="1" customWidth="1"/>
    <col min="47" max="47" width="9.1796875" bestFit="1" customWidth="1"/>
    <col min="48" max="48" width="5.90625" customWidth="1"/>
    <col min="49" max="49" width="5.54296875" customWidth="1"/>
    <col min="50" max="52" width="8.81640625" bestFit="1" customWidth="1"/>
    <col min="53" max="53" width="10.7265625" customWidth="1"/>
    <col min="54" max="54" width="9.26953125" bestFit="1" customWidth="1"/>
    <col min="55" max="55" width="10.36328125" customWidth="1"/>
    <col min="56" max="56" width="9.7265625" bestFit="1" customWidth="1"/>
    <col min="57" max="57" width="8.81640625" bestFit="1" customWidth="1"/>
    <col min="58" max="58" width="9.7265625" bestFit="1" customWidth="1"/>
  </cols>
  <sheetData>
    <row r="1" spans="2:60" ht="15.5" x14ac:dyDescent="0.35">
      <c r="B1" s="113" t="s">
        <v>364</v>
      </c>
      <c r="T1" s="121" t="s">
        <v>447</v>
      </c>
      <c r="U1" s="109">
        <f>'Hảo_R&amp;D'!AK1</f>
        <v>14800</v>
      </c>
      <c r="V1" s="109">
        <v>18300</v>
      </c>
      <c r="W1" s="132">
        <f>'Hảo_R&amp;D'!AM1</f>
        <v>16300</v>
      </c>
      <c r="X1" s="132">
        <f>W3-W1-X3</f>
        <v>-847.55675534306283</v>
      </c>
      <c r="Y1" s="109">
        <f>'Hảo_R&amp;D'!AO1</f>
        <v>14800</v>
      </c>
      <c r="AA1" s="109">
        <f>'Hảo_R&amp;D'!AQ1</f>
        <v>13300</v>
      </c>
      <c r="AB1" s="132"/>
      <c r="AC1" s="168">
        <f>'Hảo_R&amp;D'!AS1</f>
        <v>7971.0144927536239</v>
      </c>
      <c r="AD1" s="171">
        <f>'[5]16.1 Rửa vảy B7'!$I$10</f>
        <v>84.555434657824762</v>
      </c>
      <c r="AE1" s="109">
        <f>'Hảo_R&amp;D'!AU1</f>
        <v>13300</v>
      </c>
      <c r="AI1" s="193">
        <f>'H_Tỷ lệ HH&amp;PS'!BW6</f>
        <v>1864.9499828812825</v>
      </c>
      <c r="AJ1" s="170">
        <f>'H_Tỷ lệ HH&amp;PS'!BX6</f>
        <v>1273.8558498087386</v>
      </c>
      <c r="AK1" s="170">
        <f>'[5]12. 100% vảy-&gt;hạt WSS01-iSS01'!$I$10</f>
        <v>1636.9775154230633</v>
      </c>
      <c r="AL1" s="176">
        <f>'H_Tỷ lệ HH&amp;PS'!BY6</f>
        <v>2000.939404729972</v>
      </c>
      <c r="AM1" s="176">
        <f>'H_Tỷ lệ HH&amp;PS'!BZ6</f>
        <v>1376.0623421472308</v>
      </c>
      <c r="AN1" s="176">
        <f>'Hảo_R&amp;D (Hạt)'!AK1</f>
        <v>1720.0779276840385</v>
      </c>
      <c r="AO1" s="195">
        <f>AM1/8</f>
        <v>172.00779276840385</v>
      </c>
      <c r="AP1" s="109">
        <f>AN1/10</f>
        <v>172.00779276840385</v>
      </c>
    </row>
    <row r="2" spans="2:60" ht="15.5" x14ac:dyDescent="0.35">
      <c r="B2" s="114" t="s">
        <v>365</v>
      </c>
      <c r="T2" s="162" t="s">
        <v>634</v>
      </c>
      <c r="U2" s="157">
        <f>'Hảo_R&amp;D'!AK2</f>
        <v>0.77783045852077959</v>
      </c>
      <c r="V2" s="396">
        <v>0.91</v>
      </c>
      <c r="W2" s="283">
        <f>'Hảo_R&amp;D'!AM2</f>
        <v>0.8081674874213195</v>
      </c>
      <c r="X2" s="132">
        <f>'[5]12. 100% vảy-&gt;hạt WSS01-iSS01'!$I$10</f>
        <v>1636.9775154230633</v>
      </c>
      <c r="Y2" s="157">
        <f>'Hảo_R&amp;D'!AO2</f>
        <v>0.85501479000000002</v>
      </c>
      <c r="AA2" s="157">
        <f>'Hảo_R&amp;D'!AQ2</f>
        <v>0.85501479000000002</v>
      </c>
      <c r="AE2" s="157">
        <f>'Hảo_R&amp;D'!AU2</f>
        <v>0.773478</v>
      </c>
      <c r="AG2" s="120" t="s">
        <v>470</v>
      </c>
      <c r="AJ2" s="204">
        <v>1</v>
      </c>
      <c r="AK2" s="258"/>
      <c r="AL2" s="196">
        <f>AL1*1000/$AP$4</f>
        <v>75.507147348300833</v>
      </c>
      <c r="AM2" s="196">
        <f>AM1*1000/$AP$4</f>
        <v>51.926880835744562</v>
      </c>
      <c r="AN2" s="196">
        <f>AN1*1000/$AP$4</f>
        <v>64.908601044680694</v>
      </c>
    </row>
    <row r="3" spans="2:60" ht="43.5" x14ac:dyDescent="0.35">
      <c r="T3" s="162" t="s">
        <v>448</v>
      </c>
      <c r="U3" s="169">
        <f>U1/U2</f>
        <v>19027.282665358136</v>
      </c>
      <c r="V3" s="397">
        <f>V1/V2</f>
        <v>20109.890109890108</v>
      </c>
      <c r="W3" s="131">
        <f>W1/W2</f>
        <v>20169.086549138014</v>
      </c>
      <c r="X3" s="170">
        <f>'[5]10. 100% chai-&gt;hạt WSS01-iSS01'!$I$21+'[5]10. 100% chai-&gt;hạt WSS01-iSS01'!$I$37</f>
        <v>4716.6433044810765</v>
      </c>
      <c r="Y3" s="169">
        <f>Y1/Y2</f>
        <v>17309.642094027404</v>
      </c>
      <c r="Z3" s="132"/>
      <c r="AA3" s="169">
        <f>AA1/AA2</f>
        <v>15555.28647638949</v>
      </c>
      <c r="AB3" s="132"/>
      <c r="AC3" s="169">
        <f>'[5]16.1 Rửa vảy B7'!$I$48</f>
        <v>14341.250211551116</v>
      </c>
      <c r="AD3" s="109"/>
      <c r="AE3" s="169">
        <f>AE1/AE2</f>
        <v>17195.059200132389</v>
      </c>
      <c r="AG3" s="937" t="s">
        <v>471</v>
      </c>
      <c r="AH3" s="937"/>
      <c r="AI3" s="190" t="s">
        <v>467</v>
      </c>
      <c r="AJ3" s="260" t="s">
        <v>514</v>
      </c>
      <c r="AK3" s="190" t="s">
        <v>469</v>
      </c>
      <c r="AL3" s="173" t="s">
        <v>450</v>
      </c>
      <c r="AM3" s="173" t="s">
        <v>451</v>
      </c>
      <c r="AN3" s="173" t="s">
        <v>452</v>
      </c>
      <c r="AO3" s="162" t="s">
        <v>453</v>
      </c>
      <c r="AP3" s="2" t="s">
        <v>391</v>
      </c>
      <c r="AQ3" t="s">
        <v>393</v>
      </c>
      <c r="AR3" t="s">
        <v>454</v>
      </c>
      <c r="AS3" t="s">
        <v>455</v>
      </c>
      <c r="AT3" t="s">
        <v>465</v>
      </c>
      <c r="AU3" s="399" t="s">
        <v>462</v>
      </c>
      <c r="AW3" s="937" t="s">
        <v>631</v>
      </c>
      <c r="AX3" s="937"/>
      <c r="AY3" s="190" t="s">
        <v>467</v>
      </c>
      <c r="AZ3" s="190" t="s">
        <v>468</v>
      </c>
      <c r="BA3" s="190" t="s">
        <v>469</v>
      </c>
      <c r="BB3" s="173" t="s">
        <v>450</v>
      </c>
      <c r="BC3" s="173" t="s">
        <v>451</v>
      </c>
      <c r="BD3" s="173" t="s">
        <v>452</v>
      </c>
      <c r="BE3" s="162" t="s">
        <v>453</v>
      </c>
      <c r="BF3" s="2" t="s">
        <v>391</v>
      </c>
      <c r="BG3" s="203" t="s">
        <v>454</v>
      </c>
      <c r="BH3" s="3" t="s">
        <v>455</v>
      </c>
    </row>
    <row r="4" spans="2:60" x14ac:dyDescent="0.35">
      <c r="T4" s="120" t="s">
        <v>366</v>
      </c>
      <c r="U4" s="115" t="s">
        <v>367</v>
      </c>
      <c r="W4" s="115" t="s">
        <v>374</v>
      </c>
      <c r="Y4" s="115" t="s">
        <v>375</v>
      </c>
      <c r="AA4" s="115" t="s">
        <v>382</v>
      </c>
      <c r="AC4" s="115" t="s">
        <v>384</v>
      </c>
      <c r="AE4" s="115" t="s">
        <v>385</v>
      </c>
      <c r="AG4" s="127" t="s">
        <v>376</v>
      </c>
      <c r="AI4" s="191"/>
      <c r="AJ4" s="191"/>
      <c r="AK4" s="191"/>
      <c r="AP4" s="129">
        <v>26500</v>
      </c>
      <c r="BG4" s="3"/>
      <c r="BH4" s="3"/>
    </row>
    <row r="5" spans="2:60"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92" t="s">
        <v>372</v>
      </c>
      <c r="AJ5" s="192" t="s">
        <v>372</v>
      </c>
      <c r="AK5" s="192" t="s">
        <v>372</v>
      </c>
      <c r="AL5" s="123" t="s">
        <v>372</v>
      </c>
      <c r="AM5" s="123" t="s">
        <v>372</v>
      </c>
      <c r="AN5" s="123" t="s">
        <v>372</v>
      </c>
      <c r="AO5" s="174" t="s">
        <v>372</v>
      </c>
      <c r="AP5" s="123" t="s">
        <v>372</v>
      </c>
      <c r="AQ5" t="s">
        <v>392</v>
      </c>
      <c r="BG5" s="3"/>
      <c r="BH5" s="3"/>
    </row>
    <row r="6" spans="2:60" x14ac:dyDescent="0.35">
      <c r="T6" s="119" t="s">
        <v>390</v>
      </c>
      <c r="AG6" s="128">
        <v>0.3</v>
      </c>
      <c r="AK6" s="205"/>
      <c r="BG6" s="3"/>
      <c r="BH6" s="3"/>
    </row>
    <row r="7" spans="2:60"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 t="shared" ref="AG7:AH11" si="0">U7+W7+Y7+AA7+AC7+AE7</f>
        <v>1</v>
      </c>
      <c r="AH7" s="177">
        <f t="shared" si="0"/>
        <v>20054.906160760027</v>
      </c>
      <c r="AI7" s="175">
        <f>AI$1+AH7</f>
        <v>21919.856143641311</v>
      </c>
      <c r="AJ7" s="194">
        <f>AJ$1+AI7</f>
        <v>23193.711993450052</v>
      </c>
      <c r="AK7" s="175">
        <f>AK$1+$V$3</f>
        <v>21746.867625313171</v>
      </c>
      <c r="AL7" s="172">
        <f>AL$1+AJ7</f>
        <v>25194.651398180024</v>
      </c>
      <c r="AM7" s="172">
        <f>AL7+$AM$1</f>
        <v>26570.713740327254</v>
      </c>
      <c r="AN7" s="172">
        <f>AL7+$AN$1</f>
        <v>26914.729325864064</v>
      </c>
      <c r="AO7" s="175">
        <f>AM7</f>
        <v>26570.713740327254</v>
      </c>
      <c r="AP7" s="130">
        <f>$AP$4*AQ7/1000</f>
        <v>30740</v>
      </c>
      <c r="AQ7" s="109">
        <v>1160</v>
      </c>
      <c r="AR7" s="130">
        <f>AP7-AO7</f>
        <v>4169.2862596727464</v>
      </c>
      <c r="AS7" s="153">
        <f>AR7/AP7</f>
        <v>0.1356306525592956</v>
      </c>
      <c r="AU7" s="109">
        <f>AH7/$AP$4*1.1*1000</f>
        <v>832.46780289947299</v>
      </c>
      <c r="AX7" s="147">
        <f>AH7/$AP$4*1000</f>
        <v>756.78891172679357</v>
      </c>
      <c r="AY7" s="198">
        <f t="shared" ref="AY7:BF7" si="1">AI7/$AP$4*1000</f>
        <v>827.16438277891734</v>
      </c>
      <c r="AZ7" s="198">
        <f t="shared" si="1"/>
        <v>875.23441484717182</v>
      </c>
      <c r="BA7" s="198">
        <f t="shared" si="1"/>
        <v>820.63651416276116</v>
      </c>
      <c r="BB7" s="199">
        <f t="shared" si="1"/>
        <v>950.74156219547251</v>
      </c>
      <c r="BC7" s="199">
        <f t="shared" si="1"/>
        <v>1002.6684430312172</v>
      </c>
      <c r="BD7" s="199">
        <f t="shared" si="1"/>
        <v>1015.6501632401533</v>
      </c>
      <c r="BE7" s="147">
        <f t="shared" si="1"/>
        <v>1002.6684430312172</v>
      </c>
      <c r="BF7" s="200">
        <f t="shared" si="1"/>
        <v>1160</v>
      </c>
      <c r="BG7" s="201">
        <f>BF7-BE7</f>
        <v>157.33155696878282</v>
      </c>
      <c r="BH7" s="202">
        <f>BG7/BE7</f>
        <v>0.15691284398374591</v>
      </c>
    </row>
    <row r="8" spans="2:60"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si="0"/>
        <v>1</v>
      </c>
      <c r="AH8" s="177">
        <f t="shared" si="0"/>
        <v>19826.54538400405</v>
      </c>
      <c r="AI8" s="175">
        <f t="shared" ref="AI8:AJ11" si="2">AI$1+AH8</f>
        <v>21691.495366885334</v>
      </c>
      <c r="AJ8" s="194">
        <f t="shared" si="2"/>
        <v>22965.351216694071</v>
      </c>
      <c r="AK8" s="175">
        <f t="shared" ref="AK8:AK11" si="3">AK$1+$V$3</f>
        <v>21746.867625313171</v>
      </c>
      <c r="AL8" s="172">
        <f>AL$1+AJ8</f>
        <v>24966.290621424043</v>
      </c>
      <c r="AM8" s="172">
        <f>AL8+$AM$1</f>
        <v>26342.352963571273</v>
      </c>
      <c r="AN8" s="172">
        <f>AL8+$AN$1</f>
        <v>26686.368549108083</v>
      </c>
      <c r="AO8" s="175">
        <f>AM8</f>
        <v>26342.352963571273</v>
      </c>
      <c r="AP8" s="130">
        <f>$AP$4*AQ8/1000</f>
        <v>31535</v>
      </c>
      <c r="AQ8" s="130">
        <f>AQ7+30</f>
        <v>1190</v>
      </c>
      <c r="AR8" s="130">
        <f>AP8-AO8</f>
        <v>5192.647036428727</v>
      </c>
      <c r="AS8" s="153">
        <f>AR8/AP8</f>
        <v>0.16466297879907174</v>
      </c>
      <c r="AU8" s="109">
        <f t="shared" ref="AU8:AU11" si="4">AH8/$AP$4*1.1*1000</f>
        <v>822.98867631714938</v>
      </c>
      <c r="AX8" s="147">
        <f>AH8/$AP$4*1000</f>
        <v>748.17152392468108</v>
      </c>
      <c r="AY8" s="198">
        <f t="shared" ref="AY8:BF11" si="5">AI8/$AP$4*1000</f>
        <v>818.54699497680508</v>
      </c>
      <c r="AZ8" s="198">
        <f t="shared" si="5"/>
        <v>866.61702704505933</v>
      </c>
      <c r="BA8" s="198">
        <f t="shared" si="5"/>
        <v>820.63651416276116</v>
      </c>
      <c r="BB8" s="199">
        <f t="shared" si="5"/>
        <v>942.12417439336014</v>
      </c>
      <c r="BC8" s="199">
        <f t="shared" si="5"/>
        <v>994.05105522910469</v>
      </c>
      <c r="BD8" s="199">
        <f t="shared" si="5"/>
        <v>1007.0327754380409</v>
      </c>
      <c r="BE8" s="147">
        <f t="shared" si="5"/>
        <v>994.05105522910469</v>
      </c>
      <c r="BF8" s="200">
        <f t="shared" si="5"/>
        <v>1190</v>
      </c>
      <c r="BG8" s="201">
        <f>BF8-BE8</f>
        <v>195.94894477089531</v>
      </c>
      <c r="BH8" s="202">
        <f>BG8/BE8</f>
        <v>0.1971216103439816</v>
      </c>
    </row>
    <row r="9" spans="2:60"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0"/>
        <v>1</v>
      </c>
      <c r="AH9" s="177">
        <f t="shared" si="0"/>
        <v>19112.177744792491</v>
      </c>
      <c r="AI9" s="175">
        <f t="shared" si="2"/>
        <v>20977.127727673775</v>
      </c>
      <c r="AJ9" s="194">
        <f t="shared" si="2"/>
        <v>22250.983577482511</v>
      </c>
      <c r="AK9" s="175">
        <f t="shared" si="3"/>
        <v>21746.867625313171</v>
      </c>
      <c r="AL9" s="172">
        <f>AL$1+AJ9</f>
        <v>24251.922982212483</v>
      </c>
      <c r="AM9" s="172">
        <f>AL9+$AM$1</f>
        <v>25627.985324359714</v>
      </c>
      <c r="AN9" s="172">
        <f>AL9+$AN$1</f>
        <v>25972.000909896524</v>
      </c>
      <c r="AO9" s="175">
        <f>AM9</f>
        <v>25627.985324359714</v>
      </c>
      <c r="AP9" s="130">
        <f>$AP$4*AQ9/1000</f>
        <v>28885</v>
      </c>
      <c r="AQ9" s="130">
        <f>AQ7-70</f>
        <v>1090</v>
      </c>
      <c r="AR9" s="130">
        <f>AP9-AO9</f>
        <v>3257.0146756402864</v>
      </c>
      <c r="AS9" s="153">
        <f>AR9/AP9</f>
        <v>0.11275799465605978</v>
      </c>
      <c r="AU9" s="109">
        <f t="shared" si="4"/>
        <v>793.33567997251862</v>
      </c>
      <c r="AX9" s="147">
        <f>AH9/$AP$4*1000</f>
        <v>721.2142545204714</v>
      </c>
      <c r="AY9" s="198">
        <f t="shared" si="5"/>
        <v>791.58972557259517</v>
      </c>
      <c r="AZ9" s="198">
        <f t="shared" si="5"/>
        <v>839.65975764084942</v>
      </c>
      <c r="BA9" s="198">
        <f t="shared" si="5"/>
        <v>820.63651416276116</v>
      </c>
      <c r="BB9" s="199">
        <f t="shared" si="5"/>
        <v>915.16690498915034</v>
      </c>
      <c r="BC9" s="199">
        <f t="shared" si="5"/>
        <v>967.09378582489478</v>
      </c>
      <c r="BD9" s="199">
        <f t="shared" si="5"/>
        <v>980.07550603383106</v>
      </c>
      <c r="BE9" s="147">
        <f t="shared" si="5"/>
        <v>967.09378582489478</v>
      </c>
      <c r="BF9" s="200">
        <f t="shared" si="5"/>
        <v>1090</v>
      </c>
      <c r="BG9" s="201">
        <f>BF9-BE9</f>
        <v>122.90621417510522</v>
      </c>
      <c r="BH9" s="202">
        <f>BG9/BE9</f>
        <v>0.12708820589749817</v>
      </c>
    </row>
    <row r="10" spans="2:60"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77">
        <f t="shared" si="0"/>
        <v>18853.682855909705</v>
      </c>
      <c r="AI10" s="175">
        <f t="shared" si="2"/>
        <v>20718.632838790989</v>
      </c>
      <c r="AJ10" s="194">
        <f t="shared" si="2"/>
        <v>21992.488688599726</v>
      </c>
      <c r="AK10" s="175">
        <f t="shared" si="3"/>
        <v>21746.867625313171</v>
      </c>
      <c r="AL10" s="322">
        <f>AL$1+AJ10</f>
        <v>23993.428093329698</v>
      </c>
      <c r="AM10" s="172">
        <f>AL10+$AM$1</f>
        <v>25369.490435476928</v>
      </c>
      <c r="AN10" s="172">
        <f>AL10+$AN$1</f>
        <v>25713.506021013738</v>
      </c>
      <c r="AO10" s="323">
        <f>AL10</f>
        <v>23993.428093329698</v>
      </c>
      <c r="AP10" s="130">
        <f>$AP$4*AQ10/1000</f>
        <v>19080</v>
      </c>
      <c r="AQ10" s="130">
        <v>720</v>
      </c>
      <c r="AR10" s="183">
        <f>AP10-AO10</f>
        <v>-4913.4280933296977</v>
      </c>
      <c r="AS10" s="157">
        <f>AR10/AP10</f>
        <v>-0.25751719566717496</v>
      </c>
      <c r="AU10" s="109">
        <f t="shared" si="4"/>
        <v>782.60570345285578</v>
      </c>
      <c r="AX10" s="147">
        <f>AH10/$AP$4*1000</f>
        <v>711.45973041168702</v>
      </c>
      <c r="AY10" s="198">
        <f t="shared" si="5"/>
        <v>781.8352014638109</v>
      </c>
      <c r="AZ10" s="198">
        <f t="shared" si="5"/>
        <v>829.90523353206515</v>
      </c>
      <c r="BA10" s="198">
        <f t="shared" si="5"/>
        <v>820.63651416276116</v>
      </c>
      <c r="BB10" s="199">
        <f t="shared" si="5"/>
        <v>905.41238088036596</v>
      </c>
      <c r="BC10" s="199">
        <f t="shared" si="5"/>
        <v>957.33926171611051</v>
      </c>
      <c r="BD10" s="199">
        <f t="shared" si="5"/>
        <v>970.32098192504668</v>
      </c>
      <c r="BE10" s="147">
        <f t="shared" si="5"/>
        <v>905.41238088036596</v>
      </c>
      <c r="BF10" s="200">
        <f t="shared" si="5"/>
        <v>720</v>
      </c>
      <c r="BG10" s="201">
        <f>BF10-BE10</f>
        <v>-185.41238088036596</v>
      </c>
      <c r="BH10" s="202">
        <f>BG10/BE10</f>
        <v>-0.20478224596407954</v>
      </c>
    </row>
    <row r="11" spans="2:60"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0"/>
        <v>1</v>
      </c>
      <c r="AH11" s="177">
        <f t="shared" si="0"/>
        <v>18504.154010131388</v>
      </c>
      <c r="AI11" s="175">
        <f t="shared" si="2"/>
        <v>20369.103993012672</v>
      </c>
      <c r="AJ11" s="264">
        <f t="shared" si="2"/>
        <v>21642.959842821409</v>
      </c>
      <c r="AK11" s="175">
        <f t="shared" si="3"/>
        <v>21746.867625313171</v>
      </c>
      <c r="AL11" s="172">
        <f>+AJ11</f>
        <v>21642.959842821409</v>
      </c>
      <c r="AM11" s="172">
        <f>AL11</f>
        <v>21642.959842821409</v>
      </c>
      <c r="AN11" s="172">
        <f>AM11</f>
        <v>21642.959842821409</v>
      </c>
      <c r="AO11" s="175">
        <f>AM11</f>
        <v>21642.959842821409</v>
      </c>
      <c r="AP11" s="130">
        <f>$AP$4*AQ11/1000</f>
        <v>25970</v>
      </c>
      <c r="AQ11" s="267">
        <v>980</v>
      </c>
      <c r="AR11" s="130">
        <f>AP11-AO11</f>
        <v>4327.0401571785915</v>
      </c>
      <c r="AS11" s="153">
        <f>AR11/AP11</f>
        <v>0.16661687166648409</v>
      </c>
      <c r="AU11" s="109">
        <f t="shared" si="4"/>
        <v>768.09695891111426</v>
      </c>
      <c r="AX11" s="147">
        <f>AH11/$AP$4*1000</f>
        <v>698.26996264646743</v>
      </c>
      <c r="AY11" s="198">
        <f t="shared" si="5"/>
        <v>768.64543369859143</v>
      </c>
      <c r="AZ11" s="198">
        <f t="shared" si="5"/>
        <v>816.71546576684557</v>
      </c>
      <c r="BA11" s="198">
        <f t="shared" si="5"/>
        <v>820.63651416276116</v>
      </c>
      <c r="BB11" s="199">
        <f t="shared" si="5"/>
        <v>816.71546576684557</v>
      </c>
      <c r="BC11" s="199">
        <f t="shared" si="5"/>
        <v>816.71546576684557</v>
      </c>
      <c r="BD11" s="199">
        <f t="shared" si="5"/>
        <v>816.71546576684557</v>
      </c>
      <c r="BE11" s="147">
        <f t="shared" si="5"/>
        <v>816.71546576684557</v>
      </c>
      <c r="BF11" s="200">
        <f t="shared" si="5"/>
        <v>980</v>
      </c>
      <c r="BG11" s="201">
        <f>BF11-BE11</f>
        <v>163.28453423315443</v>
      </c>
      <c r="BH11" s="202">
        <f>BG11/BE11</f>
        <v>0.19992829948412977</v>
      </c>
    </row>
    <row r="12" spans="2:60" x14ac:dyDescent="0.35">
      <c r="AJ12" s="195">
        <v>20601</v>
      </c>
    </row>
    <row r="13" spans="2:60" x14ac:dyDescent="0.35">
      <c r="AJ13" s="265">
        <f>AJ12-AJ11</f>
        <v>-1041.9598428214085</v>
      </c>
      <c r="AK13" s="266">
        <f>AJ13/AJ11</f>
        <v>-4.8143130624853439E-2</v>
      </c>
    </row>
    <row r="14" spans="2:60" x14ac:dyDescent="0.35">
      <c r="T14" s="119" t="s">
        <v>387</v>
      </c>
      <c r="W14" s="116" t="s">
        <v>48</v>
      </c>
      <c r="AG14" s="126">
        <v>0.53</v>
      </c>
      <c r="AJ14" s="191"/>
    </row>
    <row r="15" spans="2:60"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6">U15+W15+Y15+AA15+AC15+AE15</f>
        <v>1</v>
      </c>
      <c r="AH15" s="177">
        <f t="shared" si="6"/>
        <v>20169.086549138014</v>
      </c>
      <c r="AI15" s="175">
        <f t="shared" ref="AI15:AJ18" si="7">AI$1+AH15</f>
        <v>22034.036532019298</v>
      </c>
      <c r="AJ15" s="194">
        <f t="shared" si="7"/>
        <v>23307.892381828038</v>
      </c>
      <c r="AK15" s="175">
        <f t="shared" ref="AK15:AK18" si="8">AK$1+$V$3</f>
        <v>21746.867625313171</v>
      </c>
      <c r="AL15" s="172">
        <f>AL$1+AJ15</f>
        <v>25308.83178655801</v>
      </c>
      <c r="AM15" s="172">
        <f>AL15+$AM$1</f>
        <v>26684.89412870524</v>
      </c>
      <c r="AN15" s="172">
        <f>AL15+$AN$1</f>
        <v>27028.909714242051</v>
      </c>
      <c r="AO15" s="175">
        <f>AM15</f>
        <v>26684.89412870524</v>
      </c>
      <c r="AP15" s="130">
        <f>$AP$4*AQ15/1000</f>
        <v>30740</v>
      </c>
      <c r="AQ15" s="130">
        <f>AQ7</f>
        <v>1160</v>
      </c>
      <c r="AR15" s="130">
        <f>AP15-AO15</f>
        <v>4055.1058712947597</v>
      </c>
      <c r="AS15" s="153">
        <f>AR15/AP15</f>
        <v>0.13191626126528172</v>
      </c>
      <c r="AU15" s="109">
        <f t="shared" ref="AU15:AU18" si="9">AH15/$AP$4*1.1*1000</f>
        <v>837.20736619063462</v>
      </c>
      <c r="AX15" s="147">
        <f t="shared" ref="AX15:BF18" si="10">AH15/$AP$4*1000</f>
        <v>761.09760562784959</v>
      </c>
      <c r="AY15" s="198">
        <f t="shared" si="10"/>
        <v>831.47307667997347</v>
      </c>
      <c r="AZ15" s="198">
        <f t="shared" si="10"/>
        <v>879.54310874822784</v>
      </c>
      <c r="BA15" s="198">
        <f t="shared" si="10"/>
        <v>820.63651416276116</v>
      </c>
      <c r="BB15" s="199">
        <f t="shared" si="10"/>
        <v>955.05025609652876</v>
      </c>
      <c r="BC15" s="199">
        <f t="shared" si="10"/>
        <v>1006.9771369322733</v>
      </c>
      <c r="BD15" s="199">
        <f t="shared" si="10"/>
        <v>1019.9588571412095</v>
      </c>
      <c r="BE15" s="147">
        <f t="shared" si="10"/>
        <v>1006.9771369322733</v>
      </c>
      <c r="BF15" s="200">
        <f t="shared" si="10"/>
        <v>1160</v>
      </c>
      <c r="BG15" s="201">
        <f>BF15-BE15</f>
        <v>153.02286306772669</v>
      </c>
      <c r="BH15" s="202">
        <f>BG15/BE15</f>
        <v>0.15196259920449279</v>
      </c>
    </row>
    <row r="16" spans="2:60"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6"/>
        <v>1</v>
      </c>
      <c r="AH16" s="177">
        <f t="shared" si="6"/>
        <v>20169.086549138014</v>
      </c>
      <c r="AI16" s="175">
        <f t="shared" si="7"/>
        <v>22034.036532019298</v>
      </c>
      <c r="AJ16" s="194">
        <f t="shared" si="7"/>
        <v>23307.892381828038</v>
      </c>
      <c r="AK16" s="175">
        <f t="shared" si="8"/>
        <v>21746.867625313171</v>
      </c>
      <c r="AL16" s="172">
        <f>AL$1+AJ16</f>
        <v>25308.83178655801</v>
      </c>
      <c r="AM16" s="172">
        <f>AL16+$AM$1</f>
        <v>26684.89412870524</v>
      </c>
      <c r="AN16" s="172">
        <f>AL16+$AN$1</f>
        <v>27028.909714242051</v>
      </c>
      <c r="AO16" s="175">
        <f>AM16</f>
        <v>26684.89412870524</v>
      </c>
      <c r="AP16" s="130">
        <f>$AP$4*AQ16/1000</f>
        <v>31535</v>
      </c>
      <c r="AQ16" s="130">
        <f>AQ7+30</f>
        <v>1190</v>
      </c>
      <c r="AR16" s="130">
        <f>AP16-AO16</f>
        <v>4850.1058712947597</v>
      </c>
      <c r="AS16" s="153">
        <f>AR16/AP16</f>
        <v>0.15380072526699728</v>
      </c>
      <c r="AU16" s="109">
        <f t="shared" si="9"/>
        <v>837.20736619063462</v>
      </c>
      <c r="AX16" s="147">
        <f t="shared" si="10"/>
        <v>761.09760562784959</v>
      </c>
      <c r="AY16" s="198">
        <f t="shared" si="10"/>
        <v>831.47307667997347</v>
      </c>
      <c r="AZ16" s="198">
        <f t="shared" si="10"/>
        <v>879.54310874822784</v>
      </c>
      <c r="BA16" s="198">
        <f t="shared" si="10"/>
        <v>820.63651416276116</v>
      </c>
      <c r="BB16" s="199">
        <f t="shared" si="10"/>
        <v>955.05025609652876</v>
      </c>
      <c r="BC16" s="199">
        <f t="shared" si="10"/>
        <v>1006.9771369322733</v>
      </c>
      <c r="BD16" s="199">
        <f t="shared" si="10"/>
        <v>1019.9588571412095</v>
      </c>
      <c r="BE16" s="147">
        <f t="shared" si="10"/>
        <v>1006.9771369322733</v>
      </c>
      <c r="BF16" s="200">
        <f t="shared" si="10"/>
        <v>1190</v>
      </c>
      <c r="BG16" s="201">
        <f>BF16-BE16</f>
        <v>183.02286306772669</v>
      </c>
      <c r="BH16" s="202">
        <f>BG16/BE16</f>
        <v>0.18175473539081585</v>
      </c>
    </row>
    <row r="17" spans="20:68"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6"/>
        <v>1</v>
      </c>
      <c r="AH17" s="177">
        <f t="shared" si="6"/>
        <v>20169.086549138014</v>
      </c>
      <c r="AI17" s="175">
        <f t="shared" si="7"/>
        <v>22034.036532019298</v>
      </c>
      <c r="AJ17" s="194">
        <f t="shared" si="7"/>
        <v>23307.892381828038</v>
      </c>
      <c r="AK17" s="175">
        <f t="shared" si="8"/>
        <v>21746.867625313171</v>
      </c>
      <c r="AL17" s="172">
        <f>AL$1+AJ17</f>
        <v>25308.83178655801</v>
      </c>
      <c r="AM17" s="172">
        <f>AL17+$AM$1</f>
        <v>26684.89412870524</v>
      </c>
      <c r="AN17" s="172">
        <f>AL17+$AN$1</f>
        <v>27028.909714242051</v>
      </c>
      <c r="AO17" s="175">
        <f>AM17</f>
        <v>26684.89412870524</v>
      </c>
      <c r="AP17" s="130">
        <f>$AP$4*AQ17/1000</f>
        <v>33125</v>
      </c>
      <c r="AQ17" s="130">
        <f>AQ7+90</f>
        <v>1250</v>
      </c>
      <c r="AR17" s="130">
        <f>AP17-AO17</f>
        <v>6440.1058712947597</v>
      </c>
      <c r="AS17" s="153">
        <f>AR17/AP17</f>
        <v>0.19441829045418144</v>
      </c>
      <c r="AU17" s="109">
        <f t="shared" si="9"/>
        <v>837.20736619063462</v>
      </c>
      <c r="AX17" s="147">
        <f t="shared" si="10"/>
        <v>761.09760562784959</v>
      </c>
      <c r="AY17" s="198">
        <f t="shared" si="10"/>
        <v>831.47307667997347</v>
      </c>
      <c r="AZ17" s="198">
        <f t="shared" si="10"/>
        <v>879.54310874822784</v>
      </c>
      <c r="BA17" s="198">
        <f t="shared" si="10"/>
        <v>820.63651416276116</v>
      </c>
      <c r="BB17" s="199">
        <f t="shared" si="10"/>
        <v>955.05025609652876</v>
      </c>
      <c r="BC17" s="199">
        <f t="shared" si="10"/>
        <v>1006.9771369322733</v>
      </c>
      <c r="BD17" s="199">
        <f t="shared" si="10"/>
        <v>1019.9588571412095</v>
      </c>
      <c r="BE17" s="147">
        <f t="shared" si="10"/>
        <v>1006.9771369322733</v>
      </c>
      <c r="BF17" s="200">
        <f t="shared" si="10"/>
        <v>1250</v>
      </c>
      <c r="BG17" s="201">
        <f>BF17-BE17</f>
        <v>243.02286306772669</v>
      </c>
      <c r="BH17" s="202">
        <f>BG17/BE17</f>
        <v>0.24133900776346204</v>
      </c>
    </row>
    <row r="18" spans="20:68"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6"/>
        <v>1</v>
      </c>
      <c r="AH18" s="177">
        <f t="shared" si="6"/>
        <v>20169.086549138014</v>
      </c>
      <c r="AI18" s="175">
        <f t="shared" si="7"/>
        <v>22034.036532019298</v>
      </c>
      <c r="AJ18" s="194">
        <f t="shared" si="7"/>
        <v>23307.892381828038</v>
      </c>
      <c r="AK18" s="175">
        <f t="shared" si="8"/>
        <v>21746.867625313171</v>
      </c>
      <c r="AL18" s="172">
        <f>AL$1+AJ18</f>
        <v>25308.83178655801</v>
      </c>
      <c r="AM18" s="172">
        <f>AL18+$AM$1</f>
        <v>26684.89412870524</v>
      </c>
      <c r="AN18" s="172">
        <f>AL18+$AN$1</f>
        <v>27028.909714242051</v>
      </c>
      <c r="AO18" s="175">
        <f>AM18</f>
        <v>26684.89412870524</v>
      </c>
      <c r="AP18" s="130">
        <f>$AP$4*AQ18/1000</f>
        <v>29945</v>
      </c>
      <c r="AQ18" s="130">
        <f>AQ7-30</f>
        <v>1130</v>
      </c>
      <c r="AR18" s="130">
        <f>AP18-AO18</f>
        <v>3260.1058712947597</v>
      </c>
      <c r="AS18" s="153">
        <f>AR18/AP18</f>
        <v>0.10886979032542193</v>
      </c>
      <c r="AU18" s="109">
        <f t="shared" si="9"/>
        <v>837.20736619063462</v>
      </c>
      <c r="AX18" s="147">
        <f t="shared" si="10"/>
        <v>761.09760562784959</v>
      </c>
      <c r="AY18" s="198">
        <f t="shared" si="10"/>
        <v>831.47307667997347</v>
      </c>
      <c r="AZ18" s="198">
        <f t="shared" si="10"/>
        <v>879.54310874822784</v>
      </c>
      <c r="BA18" s="198">
        <f t="shared" si="10"/>
        <v>820.63651416276116</v>
      </c>
      <c r="BB18" s="199">
        <f t="shared" si="10"/>
        <v>955.05025609652876</v>
      </c>
      <c r="BC18" s="199">
        <f t="shared" si="10"/>
        <v>1006.9771369322733</v>
      </c>
      <c r="BD18" s="199">
        <f t="shared" si="10"/>
        <v>1019.9588571412095</v>
      </c>
      <c r="BE18" s="147">
        <f t="shared" si="10"/>
        <v>1006.9771369322733</v>
      </c>
      <c r="BF18" s="200">
        <f t="shared" si="10"/>
        <v>1130</v>
      </c>
      <c r="BG18" s="201">
        <f>BF18-BE18</f>
        <v>123.02286306772669</v>
      </c>
      <c r="BH18" s="202">
        <f>BG18/BE18</f>
        <v>0.12217046301816968</v>
      </c>
    </row>
    <row r="19" spans="20:68" x14ac:dyDescent="0.35">
      <c r="AJ19" s="191"/>
    </row>
    <row r="20" spans="20:68" x14ac:dyDescent="0.35">
      <c r="AJ20" s="191"/>
    </row>
    <row r="21" spans="20:68" x14ac:dyDescent="0.35">
      <c r="AJ21" s="191"/>
    </row>
    <row r="22" spans="20:68" x14ac:dyDescent="0.35">
      <c r="AJ22" s="191"/>
    </row>
    <row r="23" spans="20:68" x14ac:dyDescent="0.35">
      <c r="AJ23" s="191"/>
    </row>
    <row r="24" spans="20:68" x14ac:dyDescent="0.35">
      <c r="T24" s="119" t="s">
        <v>388</v>
      </c>
      <c r="AG24" s="126">
        <v>0.05</v>
      </c>
      <c r="AJ24" s="191"/>
      <c r="AK24" s="205"/>
    </row>
    <row r="25" spans="20:68"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11">U25+W25+Y25+AA25+AC25+AE25</f>
        <v>1</v>
      </c>
      <c r="AH25" s="177">
        <f t="shared" si="11"/>
        <v>19883.142103626953</v>
      </c>
      <c r="AI25" s="175">
        <f t="shared" ref="AI25:AJ29" si="12">AI$1+AH25</f>
        <v>21748.092086508237</v>
      </c>
      <c r="AJ25" s="194">
        <f t="shared" si="12"/>
        <v>23021.947936316974</v>
      </c>
      <c r="AK25" s="175">
        <f t="shared" ref="AK25:AK29" si="13">AK$1+$V$3</f>
        <v>21746.867625313171</v>
      </c>
      <c r="AL25" s="172">
        <f>AL$1+AJ25</f>
        <v>25022.887341046946</v>
      </c>
      <c r="AM25" s="172">
        <f>AL25+$AM$1</f>
        <v>26398.949683194176</v>
      </c>
      <c r="AN25" s="172">
        <f>AL25+$AN$1</f>
        <v>26742.965268730986</v>
      </c>
      <c r="AO25" s="175">
        <f>AM25</f>
        <v>26398.949683194176</v>
      </c>
      <c r="AP25" s="130">
        <f>$AP$4*AQ25/1000</f>
        <v>30740</v>
      </c>
      <c r="AQ25" s="130">
        <f>AQ7</f>
        <v>1160</v>
      </c>
      <c r="AR25" s="130">
        <f>AP25-AO25</f>
        <v>4341.050316805824</v>
      </c>
      <c r="AS25" s="153">
        <f>AR25/AP25</f>
        <v>0.14121829267422981</v>
      </c>
      <c r="AU25" s="109">
        <f t="shared" ref="AU25:AU29" si="14">AH25/$AP$4*1.1*1000</f>
        <v>825.33797411281694</v>
      </c>
      <c r="AX25" s="147">
        <f t="shared" ref="AX25:BF29" si="15">AH25/$AP$4*1000</f>
        <v>750.30724919346994</v>
      </c>
      <c r="AY25" s="198">
        <f t="shared" si="15"/>
        <v>820.68272024559383</v>
      </c>
      <c r="AZ25" s="198">
        <f t="shared" si="15"/>
        <v>868.75275231384808</v>
      </c>
      <c r="BA25" s="198">
        <f t="shared" si="15"/>
        <v>820.63651416276116</v>
      </c>
      <c r="BB25" s="199">
        <f t="shared" si="15"/>
        <v>944.25989966214888</v>
      </c>
      <c r="BC25" s="199">
        <f t="shared" si="15"/>
        <v>996.18678049789344</v>
      </c>
      <c r="BD25" s="199">
        <f t="shared" si="15"/>
        <v>1009.1685007068296</v>
      </c>
      <c r="BE25" s="147">
        <f t="shared" si="15"/>
        <v>996.18678049789344</v>
      </c>
      <c r="BF25" s="200">
        <f t="shared" si="15"/>
        <v>1160</v>
      </c>
      <c r="BG25" s="201">
        <f>BF25-BE25</f>
        <v>163.81321950210656</v>
      </c>
      <c r="BH25" s="202">
        <f>BG25/BE25</f>
        <v>0.16444026633261768</v>
      </c>
    </row>
    <row r="26" spans="20:68" x14ac:dyDescent="0.35">
      <c r="T26" s="180"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11"/>
        <v>1</v>
      </c>
      <c r="AH26" s="177">
        <f t="shared" si="11"/>
        <v>19112.177744792491</v>
      </c>
      <c r="AI26" s="175">
        <f t="shared" si="12"/>
        <v>20977.127727673775</v>
      </c>
      <c r="AJ26" s="194">
        <f t="shared" si="12"/>
        <v>22250.983577482511</v>
      </c>
      <c r="AK26" s="175">
        <f t="shared" si="13"/>
        <v>21746.867625313171</v>
      </c>
      <c r="AL26" s="172">
        <f>AL$1+AJ26</f>
        <v>24251.922982212483</v>
      </c>
      <c r="AM26" s="172">
        <f>AL26+$AM$1</f>
        <v>25627.985324359714</v>
      </c>
      <c r="AN26" s="172">
        <f>AL26+$AN$1</f>
        <v>25972.000909896524</v>
      </c>
      <c r="AO26" s="175">
        <f>AM26</f>
        <v>25627.985324359714</v>
      </c>
      <c r="AP26" s="130">
        <f>$AP$4*AQ26/1000</f>
        <v>28885</v>
      </c>
      <c r="AQ26" s="130">
        <f>AQ7-70</f>
        <v>1090</v>
      </c>
      <c r="AR26" s="130">
        <f>AP26-AO26</f>
        <v>3257.0146756402864</v>
      </c>
      <c r="AS26" s="153">
        <f>AR26/AP26</f>
        <v>0.11275799465605978</v>
      </c>
      <c r="AU26" s="109">
        <f t="shared" si="14"/>
        <v>793.33567997251862</v>
      </c>
      <c r="AX26" s="147">
        <f t="shared" si="15"/>
        <v>721.2142545204714</v>
      </c>
      <c r="AY26" s="198">
        <f t="shared" si="15"/>
        <v>791.58972557259517</v>
      </c>
      <c r="AZ26" s="198">
        <f t="shared" si="15"/>
        <v>839.65975764084942</v>
      </c>
      <c r="BA26" s="198">
        <f t="shared" si="15"/>
        <v>820.63651416276116</v>
      </c>
      <c r="BB26" s="199">
        <f t="shared" si="15"/>
        <v>915.16690498915034</v>
      </c>
      <c r="BC26" s="199">
        <f t="shared" si="15"/>
        <v>967.09378582489478</v>
      </c>
      <c r="BD26" s="199">
        <f t="shared" si="15"/>
        <v>980.07550603383106</v>
      </c>
      <c r="BE26" s="147">
        <f t="shared" si="15"/>
        <v>967.09378582489478</v>
      </c>
      <c r="BF26" s="200">
        <f t="shared" si="15"/>
        <v>1090</v>
      </c>
      <c r="BG26" s="201">
        <f>BF26-BE26</f>
        <v>122.90621417510522</v>
      </c>
      <c r="BH26" s="202">
        <f>BG26/BE26</f>
        <v>0.12708820589749817</v>
      </c>
      <c r="BJ26" s="182">
        <v>1074</v>
      </c>
      <c r="BK26" t="s">
        <v>456</v>
      </c>
      <c r="BL26" t="s">
        <v>457</v>
      </c>
      <c r="BM26" t="s">
        <v>458</v>
      </c>
      <c r="BO26" t="s">
        <v>463</v>
      </c>
      <c r="BP26" t="s">
        <v>464</v>
      </c>
    </row>
    <row r="27" spans="20:68"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11"/>
        <v>1</v>
      </c>
      <c r="AH27" s="177">
        <f t="shared" si="11"/>
        <v>17279.402879005062</v>
      </c>
      <c r="AI27" s="175">
        <f t="shared" si="12"/>
        <v>19144.352861886346</v>
      </c>
      <c r="AJ27" s="194">
        <f t="shared" si="12"/>
        <v>20418.208711695086</v>
      </c>
      <c r="AK27" s="175">
        <f t="shared" si="13"/>
        <v>21746.867625313171</v>
      </c>
      <c r="AL27" s="172">
        <f>AL$1+AJ27</f>
        <v>22419.148116425058</v>
      </c>
      <c r="AM27" s="172">
        <f>AL27+$AM$1</f>
        <v>23795.210458572288</v>
      </c>
      <c r="AN27" s="172">
        <f>AL27+$AN$1</f>
        <v>24139.226044109098</v>
      </c>
      <c r="AO27" s="175">
        <f>AM27</f>
        <v>23795.210458572288</v>
      </c>
      <c r="AP27" s="130">
        <f>$AP$4*AQ27/1000</f>
        <v>30740</v>
      </c>
      <c r="AQ27" s="130">
        <f>AQ7</f>
        <v>1160</v>
      </c>
      <c r="AR27" s="130">
        <f>AP27-AO27</f>
        <v>6944.7895414277118</v>
      </c>
      <c r="AS27" s="153">
        <f>AR27/AP27</f>
        <v>0.22592028436654885</v>
      </c>
      <c r="AU27" s="109">
        <f t="shared" si="14"/>
        <v>717.25823271341778</v>
      </c>
      <c r="AX27" s="147">
        <f t="shared" si="15"/>
        <v>652.05293883037973</v>
      </c>
      <c r="AY27" s="198">
        <f t="shared" si="15"/>
        <v>722.42840988250362</v>
      </c>
      <c r="AZ27" s="198">
        <f t="shared" si="15"/>
        <v>770.49844195075798</v>
      </c>
      <c r="BA27" s="198">
        <f t="shared" si="15"/>
        <v>820.63651416276116</v>
      </c>
      <c r="BB27" s="199">
        <f t="shared" si="15"/>
        <v>846.00558929905878</v>
      </c>
      <c r="BC27" s="199">
        <f t="shared" si="15"/>
        <v>897.93247013480334</v>
      </c>
      <c r="BD27" s="199">
        <f t="shared" si="15"/>
        <v>910.91419034373951</v>
      </c>
      <c r="BE27" s="147">
        <f t="shared" si="15"/>
        <v>897.93247013480334</v>
      </c>
      <c r="BF27" s="200">
        <f t="shared" si="15"/>
        <v>1160</v>
      </c>
      <c r="BG27" s="201">
        <f>BF27-BE27</f>
        <v>262.06752986519666</v>
      </c>
      <c r="BH27" s="202">
        <f>BG27/BE27</f>
        <v>0.29185661347768549</v>
      </c>
    </row>
    <row r="28" spans="20:68"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11"/>
        <v>1</v>
      </c>
      <c r="AH28" s="177">
        <f t="shared" si="11"/>
        <v>18853.682855909705</v>
      </c>
      <c r="AI28" s="175">
        <f t="shared" si="12"/>
        <v>20718.632838790989</v>
      </c>
      <c r="AJ28" s="194">
        <f t="shared" si="12"/>
        <v>21992.488688599726</v>
      </c>
      <c r="AK28" s="175">
        <f t="shared" si="13"/>
        <v>21746.867625313171</v>
      </c>
      <c r="AL28" s="322">
        <f>AL$1+AJ28</f>
        <v>23993.428093329698</v>
      </c>
      <c r="AM28" s="172">
        <f>AL28+$AM$1</f>
        <v>25369.490435476928</v>
      </c>
      <c r="AN28" s="172">
        <f>AL28+$AN$1</f>
        <v>25713.506021013738</v>
      </c>
      <c r="AO28" s="323">
        <f>AL28</f>
        <v>23993.428093329698</v>
      </c>
      <c r="AP28" s="130">
        <f>$AP$4*AQ28/1000</f>
        <v>19080</v>
      </c>
      <c r="AQ28" s="130">
        <f>AQ10</f>
        <v>720</v>
      </c>
      <c r="AR28" s="183">
        <f>AP28-AO28</f>
        <v>-4913.4280933296977</v>
      </c>
      <c r="AS28" s="157">
        <f>AR28/AP28</f>
        <v>-0.25751719566717496</v>
      </c>
      <c r="AU28" s="109">
        <f t="shared" si="14"/>
        <v>782.60570345285578</v>
      </c>
      <c r="AX28" s="147">
        <f t="shared" si="15"/>
        <v>711.45973041168702</v>
      </c>
      <c r="AY28" s="198">
        <f t="shared" si="15"/>
        <v>781.8352014638109</v>
      </c>
      <c r="AZ28" s="198">
        <f t="shared" si="15"/>
        <v>829.90523353206515</v>
      </c>
      <c r="BA28" s="198">
        <f t="shared" si="15"/>
        <v>820.63651416276116</v>
      </c>
      <c r="BB28" s="199">
        <f t="shared" si="15"/>
        <v>905.41238088036596</v>
      </c>
      <c r="BC28" s="199">
        <f t="shared" si="15"/>
        <v>957.33926171611051</v>
      </c>
      <c r="BD28" s="199">
        <f t="shared" si="15"/>
        <v>970.32098192504668</v>
      </c>
      <c r="BE28" s="147">
        <f t="shared" si="15"/>
        <v>905.41238088036596</v>
      </c>
      <c r="BF28" s="200">
        <f t="shared" si="15"/>
        <v>720</v>
      </c>
      <c r="BG28" s="201">
        <f>BF28-BE28</f>
        <v>-185.41238088036596</v>
      </c>
      <c r="BH28" s="202">
        <f>BG28/BE28</f>
        <v>-0.20478224596407954</v>
      </c>
      <c r="BK28" s="179" t="s">
        <v>460</v>
      </c>
      <c r="BL28" t="s">
        <v>459</v>
      </c>
      <c r="BM28" s="181" t="s">
        <v>461</v>
      </c>
    </row>
    <row r="29" spans="20:68"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11"/>
        <v>1</v>
      </c>
      <c r="AH29" s="177">
        <f t="shared" si="11"/>
        <v>18504.154010131388</v>
      </c>
      <c r="AI29" s="175">
        <f t="shared" si="12"/>
        <v>20369.103993012672</v>
      </c>
      <c r="AJ29" s="324">
        <f t="shared" si="12"/>
        <v>21642.959842821409</v>
      </c>
      <c r="AK29" s="175">
        <f t="shared" si="13"/>
        <v>21746.867625313171</v>
      </c>
      <c r="AL29" s="172">
        <f>+AJ29</f>
        <v>21642.959842821409</v>
      </c>
      <c r="AM29" s="172">
        <f>AL29</f>
        <v>21642.959842821409</v>
      </c>
      <c r="AN29" s="172">
        <f>AM29</f>
        <v>21642.959842821409</v>
      </c>
      <c r="AO29" s="323">
        <f>AJ29</f>
        <v>21642.959842821409</v>
      </c>
      <c r="AP29" s="130">
        <f>$AP$4*AQ29/1000</f>
        <v>25970</v>
      </c>
      <c r="AQ29" s="267">
        <v>980</v>
      </c>
      <c r="AR29" s="130">
        <f>AP29-AO29</f>
        <v>4327.0401571785915</v>
      </c>
      <c r="AS29" s="153">
        <f>AR29/AP29</f>
        <v>0.16661687166648409</v>
      </c>
      <c r="AU29" s="109">
        <f t="shared" si="14"/>
        <v>768.09695891111426</v>
      </c>
      <c r="AX29" s="147">
        <f t="shared" si="15"/>
        <v>698.26996264646743</v>
      </c>
      <c r="AY29" s="198">
        <f t="shared" si="15"/>
        <v>768.64543369859143</v>
      </c>
      <c r="AZ29" s="198">
        <f t="shared" si="15"/>
        <v>816.71546576684557</v>
      </c>
      <c r="BA29" s="198">
        <f t="shared" si="15"/>
        <v>820.63651416276116</v>
      </c>
      <c r="BB29" s="199">
        <f t="shared" si="15"/>
        <v>816.71546576684557</v>
      </c>
      <c r="BC29" s="199">
        <f t="shared" si="15"/>
        <v>816.71546576684557</v>
      </c>
      <c r="BD29" s="199">
        <f t="shared" si="15"/>
        <v>816.71546576684557</v>
      </c>
      <c r="BE29" s="147">
        <f t="shared" si="15"/>
        <v>816.71546576684557</v>
      </c>
      <c r="BF29" s="200">
        <f t="shared" si="15"/>
        <v>980</v>
      </c>
      <c r="BG29" s="201">
        <f>BF29-BE29</f>
        <v>163.28453423315443</v>
      </c>
      <c r="BH29" s="202">
        <f>BG29/BE29</f>
        <v>0.19992829948412977</v>
      </c>
      <c r="BI29" s="130">
        <f>AQ29-AU29</f>
        <v>211.90304108888574</v>
      </c>
      <c r="BJ29" s="185">
        <f>BI29/AQ29</f>
        <v>0.21622759294784261</v>
      </c>
    </row>
    <row r="30" spans="20:68" x14ac:dyDescent="0.35">
      <c r="AJ30" s="191"/>
    </row>
    <row r="31" spans="20:68" x14ac:dyDescent="0.35">
      <c r="AJ31" s="191"/>
    </row>
    <row r="32" spans="20:68" x14ac:dyDescent="0.35">
      <c r="T32" s="119" t="s">
        <v>389</v>
      </c>
      <c r="AG32" s="126">
        <v>0.02</v>
      </c>
      <c r="AJ32" s="191"/>
    </row>
    <row r="33" spans="19: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5">
        <f>AI$1+AH33</f>
        <v>19060.009183013673</v>
      </c>
      <c r="AJ33" s="194">
        <f>AJ$1+AI33</f>
        <v>20333.86503282241</v>
      </c>
      <c r="AK33" s="175">
        <f t="shared" ref="AK33" si="16">AK$1+$V$3</f>
        <v>21746.867625313171</v>
      </c>
      <c r="AL33" s="322">
        <f>AL$1+AJ33</f>
        <v>22334.804437552382</v>
      </c>
      <c r="AM33" s="172">
        <f>AL33+$AM$1</f>
        <v>23710.866779699612</v>
      </c>
      <c r="AN33" s="172">
        <f>AL33+$AN$1</f>
        <v>24054.882365236423</v>
      </c>
      <c r="AO33" s="323">
        <f>AL33</f>
        <v>22334.804437552382</v>
      </c>
      <c r="AP33" s="130">
        <f>$AP$4*AQ33/1000</f>
        <v>19000.5</v>
      </c>
      <c r="AQ33" s="130">
        <v>717</v>
      </c>
      <c r="AR33" s="183">
        <f>AP33-AO33</f>
        <v>-3334.3044375523823</v>
      </c>
      <c r="AS33" s="157">
        <f>AR33/AP33</f>
        <v>-0.17548508921093561</v>
      </c>
      <c r="AX33" s="147">
        <f t="shared" ref="AX33:BF33" si="17">AH33/$AP$4*1000</f>
        <v>648.8701584955619</v>
      </c>
      <c r="AY33" s="198">
        <f t="shared" si="17"/>
        <v>719.24562954768578</v>
      </c>
      <c r="AZ33" s="198">
        <f t="shared" si="17"/>
        <v>767.31566161594003</v>
      </c>
      <c r="BA33" s="198">
        <f t="shared" si="17"/>
        <v>820.63651416276116</v>
      </c>
      <c r="BB33" s="199">
        <f t="shared" si="17"/>
        <v>842.82280896424083</v>
      </c>
      <c r="BC33" s="199">
        <f t="shared" si="17"/>
        <v>894.74968979998539</v>
      </c>
      <c r="BD33" s="199">
        <f t="shared" si="17"/>
        <v>907.73141000892167</v>
      </c>
      <c r="BE33" s="147">
        <f t="shared" si="17"/>
        <v>842.82280896424083</v>
      </c>
      <c r="BF33" s="200">
        <f t="shared" si="17"/>
        <v>717</v>
      </c>
      <c r="BG33" s="201">
        <f>BF33-BE33</f>
        <v>-125.82280896424083</v>
      </c>
      <c r="BH33" s="202">
        <f>BG33/BE33</f>
        <v>-0.14928738001154312</v>
      </c>
    </row>
    <row r="35" spans="19:70" x14ac:dyDescent="0.35">
      <c r="AE35" s="109">
        <f>'Giá mua Chai-Vảy'!O40</f>
        <v>12550</v>
      </c>
      <c r="AI35" s="133">
        <v>0</v>
      </c>
      <c r="AJ35" s="195">
        <v>2177.9526141097858</v>
      </c>
      <c r="AL35" s="275">
        <v>1250</v>
      </c>
    </row>
    <row r="36" spans="19:70" x14ac:dyDescent="0.35">
      <c r="T36" s="119" t="s">
        <v>446</v>
      </c>
      <c r="AG36" s="126">
        <v>0.01</v>
      </c>
      <c r="AH36" s="121"/>
      <c r="AI36"/>
      <c r="AJ36"/>
    </row>
    <row r="37" spans="19: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AI$35+AH37</f>
        <v>12550</v>
      </c>
      <c r="AJ37" s="194">
        <f>AJ$35+AI37</f>
        <v>14727.952614109785</v>
      </c>
      <c r="AK37" s="175">
        <f t="shared" ref="AK37" si="18">AK$1+$V$3</f>
        <v>21746.867625313171</v>
      </c>
      <c r="AL37" s="322">
        <f>AL$1+AK37*$AK$2+AJ37*$AJ$2</f>
        <v>16728.892018839757</v>
      </c>
      <c r="AM37" s="172">
        <f>AL37+$AM$1</f>
        <v>18104.954360986987</v>
      </c>
      <c r="AN37" s="172">
        <f>AL37+$AN$1</f>
        <v>18448.969946523794</v>
      </c>
      <c r="AO37" s="323">
        <f>AL37</f>
        <v>16728.892018839757</v>
      </c>
      <c r="AP37" s="130">
        <f>$AP$4*AQ37/1000</f>
        <v>19000.5</v>
      </c>
      <c r="AQ37" s="130">
        <v>717</v>
      </c>
      <c r="AR37" s="130">
        <f>AP37-AO37</f>
        <v>2271.6079811602431</v>
      </c>
      <c r="AS37" s="153">
        <f>AR37/AP37</f>
        <v>0.11955516860925992</v>
      </c>
      <c r="AU37" s="109">
        <f t="shared" ref="AU37" si="19">AH37/$AP$4*1.1*1000</f>
        <v>520.94339622641519</v>
      </c>
      <c r="AX37" s="147">
        <f t="shared" ref="AX37:BF37" si="20">AH37/$AP$4*1000</f>
        <v>473.58490566037739</v>
      </c>
      <c r="AY37" s="198">
        <f t="shared" si="20"/>
        <v>473.58490566037739</v>
      </c>
      <c r="AZ37" s="198">
        <f t="shared" si="20"/>
        <v>555.77179675885975</v>
      </c>
      <c r="BA37" s="198">
        <f t="shared" si="20"/>
        <v>820.63651416276116</v>
      </c>
      <c r="BB37" s="199">
        <f t="shared" si="20"/>
        <v>631.27894410716067</v>
      </c>
      <c r="BC37" s="199">
        <f t="shared" si="20"/>
        <v>683.20582494290511</v>
      </c>
      <c r="BD37" s="199">
        <f t="shared" si="20"/>
        <v>696.18754515184128</v>
      </c>
      <c r="BE37" s="147">
        <f t="shared" si="20"/>
        <v>631.27894410716067</v>
      </c>
      <c r="BF37" s="200">
        <f t="shared" si="20"/>
        <v>717</v>
      </c>
      <c r="BG37" s="201">
        <f>BF37-BE37</f>
        <v>85.721055892839331</v>
      </c>
      <c r="BH37" s="202">
        <f>BG37/BE37</f>
        <v>0.13578950588012648</v>
      </c>
      <c r="BJ37" s="109">
        <f>'Hảo_R&amp;D (Hạt) (full stage)-Chai'!BE37</f>
        <v>631.27894410716067</v>
      </c>
      <c r="BK37" s="109">
        <f>'Hảo_R&amp;D (Hạt) (full stage)-MN'!BE37</f>
        <v>948.07054234680652</v>
      </c>
      <c r="BL37" s="109">
        <f>BE37</f>
        <v>631.27894410716067</v>
      </c>
      <c r="BM37" s="130">
        <f>BJ37-BK37</f>
        <v>-316.79159823964585</v>
      </c>
      <c r="BO37" s="109">
        <f>'Hảo_R&amp;D (Hạt) (full stage)-Chai'!AO37</f>
        <v>16728.892018839757</v>
      </c>
      <c r="BP37" s="109">
        <f>'Hảo_R&amp;D (Hạt) (full stage)-MN'!AO37</f>
        <v>25123.869372190373</v>
      </c>
      <c r="BQ37" s="109">
        <f>AO37</f>
        <v>16728.892018839757</v>
      </c>
      <c r="BR37" s="130">
        <f>BO37-BP37</f>
        <v>-8394.9773533506159</v>
      </c>
    </row>
    <row r="41" spans="19:70" x14ac:dyDescent="0.35">
      <c r="T41" s="117" t="s">
        <v>373</v>
      </c>
      <c r="U41" s="118">
        <v>1</v>
      </c>
      <c r="V41" s="134">
        <f>U41*$U$3</f>
        <v>19027.282665358136</v>
      </c>
      <c r="W41" s="118"/>
      <c r="X41" s="134">
        <f>W41*$W$3</f>
        <v>0</v>
      </c>
      <c r="Y41" s="261"/>
      <c r="Z41" s="263">
        <f>Y41*$Y$3</f>
        <v>0</v>
      </c>
      <c r="AA41" s="261"/>
      <c r="AB41" s="263">
        <f>AA41*$AA$3</f>
        <v>0</v>
      </c>
      <c r="AC41" s="117"/>
      <c r="AD41" s="117">
        <f>AC41*$AC$3</f>
        <v>0</v>
      </c>
      <c r="AE41" s="117"/>
      <c r="AF41" s="117">
        <f>AE41*$AE$3</f>
        <v>0</v>
      </c>
      <c r="AG41" s="122">
        <f t="shared" ref="AG41:AH43" si="21">U41+W41+Y41+AA41+AC41+AE41</f>
        <v>1</v>
      </c>
      <c r="AH41" s="177">
        <f t="shared" si="21"/>
        <v>19027.282665358136</v>
      </c>
      <c r="AI41" s="175">
        <f t="shared" ref="AI41:AJ43" si="22">AI$1+AH41</f>
        <v>20892.23264823942</v>
      </c>
      <c r="AJ41" s="264">
        <f t="shared" si="22"/>
        <v>22166.088498048157</v>
      </c>
      <c r="AK41" s="175">
        <f t="shared" ref="AK41:AK43" si="23">AK$1+$V$3</f>
        <v>21746.867625313171</v>
      </c>
      <c r="AL41" s="172">
        <f>+AJ41</f>
        <v>22166.088498048157</v>
      </c>
      <c r="AM41" s="172">
        <f>AL41</f>
        <v>22166.088498048157</v>
      </c>
      <c r="AN41" s="172">
        <f>AM41</f>
        <v>22166.088498048157</v>
      </c>
      <c r="AO41" s="175">
        <f>AM41</f>
        <v>22166.088498048157</v>
      </c>
      <c r="AP41" s="130">
        <f>$AP$4*AQ41/1000</f>
        <v>25970</v>
      </c>
      <c r="AQ41" s="267">
        <v>980</v>
      </c>
      <c r="AR41" s="130">
        <f>AP41-AO41</f>
        <v>3803.9115019518431</v>
      </c>
      <c r="AS41" s="153">
        <f>AR41/AP41</f>
        <v>0.14647329618605479</v>
      </c>
      <c r="AU41" s="109">
        <f>AH41/$AP$4*1.1*1000</f>
        <v>789.81173327901706</v>
      </c>
      <c r="AX41" s="147">
        <f t="shared" ref="AX41:BF43" si="24">AH41/$AP$4*1000</f>
        <v>718.01066661728817</v>
      </c>
      <c r="AY41" s="198">
        <f t="shared" si="24"/>
        <v>788.38613766941216</v>
      </c>
      <c r="AZ41" s="198">
        <f t="shared" si="24"/>
        <v>836.4561697376663</v>
      </c>
      <c r="BA41" s="198">
        <f t="shared" si="24"/>
        <v>820.63651416276116</v>
      </c>
      <c r="BB41" s="199">
        <f t="shared" si="24"/>
        <v>836.4561697376663</v>
      </c>
      <c r="BC41" s="199">
        <f t="shared" si="24"/>
        <v>836.4561697376663</v>
      </c>
      <c r="BD41" s="199">
        <f t="shared" si="24"/>
        <v>836.4561697376663</v>
      </c>
      <c r="BE41" s="147">
        <f t="shared" si="24"/>
        <v>836.4561697376663</v>
      </c>
      <c r="BF41" s="200">
        <f t="shared" si="24"/>
        <v>980</v>
      </c>
      <c r="BG41" s="201">
        <f>BF41-BE41</f>
        <v>143.5438302623337</v>
      </c>
      <c r="BH41" s="202">
        <f>BG41/BE41</f>
        <v>0.17160950621878091</v>
      </c>
    </row>
    <row r="42" spans="19:70" x14ac:dyDescent="0.35">
      <c r="S42" s="195">
        <v>1182</v>
      </c>
      <c r="T42" s="180" t="s">
        <v>545</v>
      </c>
      <c r="U42" s="118">
        <v>1</v>
      </c>
      <c r="V42" s="134">
        <f>U42*$U$3</f>
        <v>19027.282665358136</v>
      </c>
      <c r="W42" s="117"/>
      <c r="X42" s="134">
        <f>W42*$W$3</f>
        <v>0</v>
      </c>
      <c r="Y42" s="117"/>
      <c r="Z42" s="134">
        <f>Y42*$Y$3</f>
        <v>0</v>
      </c>
      <c r="AA42" s="118"/>
      <c r="AB42" s="134">
        <f>AA42*$AA$3</f>
        <v>0</v>
      </c>
      <c r="AC42" s="117"/>
      <c r="AD42" s="134">
        <f>AC42*$AC$3</f>
        <v>0</v>
      </c>
      <c r="AE42" s="117"/>
      <c r="AF42" s="117">
        <f>AE42*$AE$3</f>
        <v>0</v>
      </c>
      <c r="AG42" s="122">
        <f t="shared" si="21"/>
        <v>1</v>
      </c>
      <c r="AH42" s="177">
        <f t="shared" si="21"/>
        <v>19027.282665358136</v>
      </c>
      <c r="AI42" s="175">
        <f t="shared" si="22"/>
        <v>20892.23264823942</v>
      </c>
      <c r="AJ42" s="194">
        <f t="shared" si="22"/>
        <v>22166.088498048157</v>
      </c>
      <c r="AK42" s="175">
        <f t="shared" si="23"/>
        <v>21746.867625313171</v>
      </c>
      <c r="AL42" s="322">
        <f>AL$1+AJ42</f>
        <v>24167.027902778129</v>
      </c>
      <c r="AM42" s="172">
        <f>AL42+$AM$1</f>
        <v>25543.090244925359</v>
      </c>
      <c r="AN42" s="172">
        <f>AL42+$AN$1</f>
        <v>25887.105830462169</v>
      </c>
      <c r="AO42" s="323">
        <f>AL42</f>
        <v>24167.027902778129</v>
      </c>
      <c r="AP42" s="130">
        <f>$AP$4*AQ42/1000</f>
        <v>26500</v>
      </c>
      <c r="AQ42" s="130">
        <v>1000</v>
      </c>
      <c r="AR42" s="183">
        <f>AP42-AO42</f>
        <v>2332.9720972218711</v>
      </c>
      <c r="AS42" s="157">
        <f>AR42/AP42</f>
        <v>8.8036682914032868E-2</v>
      </c>
      <c r="AU42" s="109">
        <f t="shared" ref="AU42:AU43" si="25">AH42/$AP$4*1.1*1000</f>
        <v>789.81173327901706</v>
      </c>
      <c r="AX42" s="147">
        <f t="shared" si="24"/>
        <v>718.01066661728817</v>
      </c>
      <c r="AY42" s="198">
        <f t="shared" si="24"/>
        <v>788.38613766941216</v>
      </c>
      <c r="AZ42" s="198">
        <f t="shared" si="24"/>
        <v>836.4561697376663</v>
      </c>
      <c r="BA42" s="198">
        <f t="shared" si="24"/>
        <v>820.63651416276116</v>
      </c>
      <c r="BB42" s="199">
        <f t="shared" si="24"/>
        <v>911.96331708596711</v>
      </c>
      <c r="BC42" s="199">
        <f t="shared" si="24"/>
        <v>963.89019792171166</v>
      </c>
      <c r="BD42" s="199">
        <f t="shared" si="24"/>
        <v>976.87191813064794</v>
      </c>
      <c r="BE42" s="147">
        <f t="shared" si="24"/>
        <v>911.96331708596711</v>
      </c>
      <c r="BF42" s="200">
        <f t="shared" si="24"/>
        <v>1000</v>
      </c>
      <c r="BG42" s="201">
        <f>BF42-BE42</f>
        <v>88.036682914032895</v>
      </c>
      <c r="BH42" s="202">
        <f>BG42/BE42</f>
        <v>9.6535333455450859E-2</v>
      </c>
      <c r="BK42" s="179" t="s">
        <v>460</v>
      </c>
      <c r="BL42" t="s">
        <v>459</v>
      </c>
      <c r="BM42" s="181" t="s">
        <v>461</v>
      </c>
    </row>
    <row r="43" spans="19:70" x14ac:dyDescent="0.35">
      <c r="S43" s="195">
        <v>1120</v>
      </c>
      <c r="T43" s="180" t="s">
        <v>546</v>
      </c>
      <c r="U43" s="118">
        <v>1</v>
      </c>
      <c r="V43" s="134">
        <f>U43*$U$3</f>
        <v>19027.282665358136</v>
      </c>
      <c r="W43" s="117"/>
      <c r="X43" s="134">
        <f>W43*$W$3</f>
        <v>0</v>
      </c>
      <c r="Y43" s="117"/>
      <c r="Z43" s="134">
        <f>Y43*$Y$3</f>
        <v>0</v>
      </c>
      <c r="AA43" s="118"/>
      <c r="AB43" s="134">
        <f>AA43*$AA$3</f>
        <v>0</v>
      </c>
      <c r="AC43" s="117"/>
      <c r="AD43" s="134">
        <f>AC43*$AC$3</f>
        <v>0</v>
      </c>
      <c r="AE43" s="117"/>
      <c r="AF43" s="117">
        <f>AE43*$AE$3</f>
        <v>0</v>
      </c>
      <c r="AG43" s="122">
        <f t="shared" si="21"/>
        <v>1</v>
      </c>
      <c r="AH43" s="177">
        <f t="shared" si="21"/>
        <v>19027.282665358136</v>
      </c>
      <c r="AI43" s="175">
        <f t="shared" si="22"/>
        <v>20892.23264823942</v>
      </c>
      <c r="AJ43" s="194">
        <f t="shared" si="22"/>
        <v>22166.088498048157</v>
      </c>
      <c r="AK43" s="175">
        <f t="shared" si="23"/>
        <v>21746.867625313171</v>
      </c>
      <c r="AL43" s="322">
        <f>AL$1+AJ43</f>
        <v>24167.027902778129</v>
      </c>
      <c r="AM43" s="172">
        <f>AL43+$AM$1</f>
        <v>25543.090244925359</v>
      </c>
      <c r="AN43" s="172">
        <f>AL43+$AN$1</f>
        <v>25887.105830462169</v>
      </c>
      <c r="AO43" s="323">
        <f>AL43</f>
        <v>24167.027902778129</v>
      </c>
      <c r="AP43" s="130">
        <f>$AP$4*AQ43/1000</f>
        <v>25175</v>
      </c>
      <c r="AQ43" s="130">
        <v>950</v>
      </c>
      <c r="AR43" s="183">
        <f>AP43-AO43</f>
        <v>1007.9720972218711</v>
      </c>
      <c r="AS43" s="157">
        <f>AR43/AP43</f>
        <v>4.0038613593718811E-2</v>
      </c>
      <c r="AU43" s="109">
        <f t="shared" si="25"/>
        <v>789.81173327901706</v>
      </c>
      <c r="AX43" s="147">
        <f t="shared" si="24"/>
        <v>718.01066661728817</v>
      </c>
      <c r="AY43" s="198">
        <f t="shared" si="24"/>
        <v>788.38613766941216</v>
      </c>
      <c r="AZ43" s="198">
        <f t="shared" si="24"/>
        <v>836.4561697376663</v>
      </c>
      <c r="BA43" s="198">
        <f t="shared" si="24"/>
        <v>820.63651416276116</v>
      </c>
      <c r="BB43" s="199">
        <f t="shared" si="24"/>
        <v>911.96331708596711</v>
      </c>
      <c r="BC43" s="199">
        <f t="shared" si="24"/>
        <v>963.89019792171166</v>
      </c>
      <c r="BD43" s="199">
        <f t="shared" si="24"/>
        <v>976.87191813064794</v>
      </c>
      <c r="BE43" s="147">
        <f t="shared" si="24"/>
        <v>911.96331708596711</v>
      </c>
      <c r="BF43" s="200">
        <f t="shared" si="24"/>
        <v>950</v>
      </c>
      <c r="BG43" s="201">
        <f>BF43-BE43</f>
        <v>38.036682914032895</v>
      </c>
      <c r="BH43" s="202">
        <f>BG43/BE43</f>
        <v>4.1708566782678314E-2</v>
      </c>
      <c r="BK43" s="179" t="s">
        <v>460</v>
      </c>
      <c r="BL43" t="s">
        <v>459</v>
      </c>
      <c r="BM43" s="181" t="s">
        <v>461</v>
      </c>
    </row>
    <row r="44" spans="19:70" x14ac:dyDescent="0.35">
      <c r="S44" s="185">
        <f>S42/S43</f>
        <v>1.0553571428571429</v>
      </c>
      <c r="AJ44" s="195">
        <v>22626</v>
      </c>
    </row>
    <row r="45" spans="19:70" x14ac:dyDescent="0.35">
      <c r="AJ45" s="195">
        <v>22491</v>
      </c>
    </row>
    <row r="46" spans="19:70" x14ac:dyDescent="0.35">
      <c r="AJ46" s="338">
        <f>AJ44-AJ42</f>
        <v>459.91150195184309</v>
      </c>
    </row>
    <row r="47" spans="19:70" x14ac:dyDescent="0.35">
      <c r="AJ47" s="338">
        <f>AJ45-AJ43</f>
        <v>324.91150195184309</v>
      </c>
    </row>
    <row r="48" spans="19:70" x14ac:dyDescent="0.35">
      <c r="AJ48" s="266">
        <f>AJ44/AJ42</f>
        <v>1.0207484284831012</v>
      </c>
    </row>
    <row r="49" spans="36:36" x14ac:dyDescent="0.35">
      <c r="AJ49" s="266">
        <f>AJ45/AJ43</f>
        <v>1.0146580440649442</v>
      </c>
    </row>
  </sheetData>
  <mergeCells count="2">
    <mergeCell ref="AG3:AH3"/>
    <mergeCell ref="AW3:AX3"/>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84A39-4EC2-4FB9-9E8E-953B89B207A3}">
  <sheetPr>
    <tabColor rgb="FF0000FF"/>
  </sheetPr>
  <dimension ref="B1:BR37"/>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W15" sqref="W15"/>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1" bestFit="1" customWidth="1"/>
    <col min="34" max="34" width="10.1796875" style="133" bestFit="1" customWidth="1"/>
    <col min="35" max="37" width="10.1796875" style="133" customWidth="1"/>
    <col min="38" max="40" width="10.1796875" style="121" customWidth="1"/>
    <col min="41" max="41" width="10.1796875" style="133" customWidth="1"/>
    <col min="42" max="42" width="11.81640625" bestFit="1" customWidth="1"/>
    <col min="43" max="43" width="7" bestFit="1" customWidth="1"/>
    <col min="44" max="44" width="7.7265625" bestFit="1" customWidth="1"/>
    <col min="45" max="45" width="7.26953125" customWidth="1"/>
    <col min="47" max="47" width="9.1796875" bestFit="1" customWidth="1"/>
    <col min="48" max="48" width="5.90625" customWidth="1"/>
    <col min="49" max="49" width="7.54296875" customWidth="1"/>
    <col min="50" max="50" width="5.453125" bestFit="1" customWidth="1"/>
    <col min="51" max="52" width="8.81640625" bestFit="1" customWidth="1"/>
    <col min="53" max="53" width="10.54296875" customWidth="1"/>
    <col min="54" max="54" width="9.26953125" bestFit="1" customWidth="1"/>
    <col min="55" max="55" width="10.36328125" customWidth="1"/>
    <col min="56" max="56" width="9.7265625" bestFit="1" customWidth="1"/>
    <col min="57" max="57" width="8.81640625" bestFit="1" customWidth="1"/>
    <col min="58" max="58" width="10.453125" bestFit="1" customWidth="1"/>
    <col min="59" max="59" width="6.90625" customWidth="1"/>
    <col min="60" max="60" width="8" customWidth="1"/>
  </cols>
  <sheetData>
    <row r="1" spans="2:63" ht="20.5" customHeight="1" x14ac:dyDescent="0.35">
      <c r="B1" s="113" t="s">
        <v>364</v>
      </c>
      <c r="T1" s="121" t="s">
        <v>447</v>
      </c>
      <c r="U1" s="109">
        <f>'Hảo_R&amp;D'!AK1</f>
        <v>14800</v>
      </c>
      <c r="V1" s="109">
        <v>18300</v>
      </c>
      <c r="W1" s="132">
        <f>'Hảo_R&amp;D'!AM1</f>
        <v>16300</v>
      </c>
      <c r="X1" s="132">
        <f>W3-W1-X3</f>
        <v>-847.55675534306283</v>
      </c>
      <c r="Y1" s="109">
        <f>'Hảo_R&amp;D'!AO1</f>
        <v>14800</v>
      </c>
      <c r="AA1" s="109">
        <f>'Hảo_R&amp;D'!AQ1</f>
        <v>13300</v>
      </c>
      <c r="AB1" s="132"/>
      <c r="AC1" s="168">
        <f>'Hảo_R&amp;D'!AS1</f>
        <v>7971.0144927536239</v>
      </c>
      <c r="AD1" s="171">
        <f>'[5]16.1 Rửa vảy B7'!$I$10</f>
        <v>84.555434657824762</v>
      </c>
      <c r="AE1" s="109">
        <f>'Hảo_R&amp;D'!AU1</f>
        <v>13300</v>
      </c>
      <c r="AI1" s="193">
        <f>'H_Tỷ lệ HH&amp;PS'!BW6</f>
        <v>1864.9499828812825</v>
      </c>
      <c r="AJ1" s="170">
        <f>'H_Tỷ lệ HH&amp;PS'!BX6</f>
        <v>1273.8558498087386</v>
      </c>
      <c r="AK1" s="170">
        <f>'[5]12. 100% vảy-&gt;hạt WSS01-iSS01'!$I$10</f>
        <v>1636.9775154230633</v>
      </c>
      <c r="AL1" s="176">
        <f>'H_Tỷ lệ HH&amp;PS'!BY6</f>
        <v>2000.939404729972</v>
      </c>
      <c r="AM1" s="176">
        <f>'H_Tỷ lệ HH&amp;PS'!BZ6</f>
        <v>1376.0623421472308</v>
      </c>
      <c r="AN1" s="176">
        <f>'[5]11. 100% chai-&gt;hạt iSS01084G'!$I$83</f>
        <v>2331.8861025668875</v>
      </c>
      <c r="AO1" s="195">
        <f>AM1/8</f>
        <v>172.00779276840385</v>
      </c>
      <c r="AP1" s="109">
        <f>AN1/10</f>
        <v>233.18861025668875</v>
      </c>
    </row>
    <row r="2" spans="2:63" ht="21" customHeight="1" x14ac:dyDescent="0.35">
      <c r="B2" s="114" t="s">
        <v>365</v>
      </c>
      <c r="T2" s="162" t="s">
        <v>634</v>
      </c>
      <c r="U2" s="157">
        <f>'Hảo_R&amp;D'!AK2</f>
        <v>0.77783045852077959</v>
      </c>
      <c r="V2" s="396">
        <v>0.91</v>
      </c>
      <c r="W2" s="283">
        <f>'Hảo_R&amp;D'!AM2</f>
        <v>0.8081674874213195</v>
      </c>
      <c r="X2" s="132">
        <f>'[5]12. 100% vảy-&gt;hạt WSS01-iSS01'!$I$10</f>
        <v>1636.9775154230633</v>
      </c>
      <c r="Y2" s="157">
        <f>'Hảo_R&amp;D'!AO2</f>
        <v>0.85501479000000002</v>
      </c>
      <c r="AA2" s="157">
        <f>'Hảo_R&amp;D'!AQ2</f>
        <v>0.85501479000000002</v>
      </c>
      <c r="AE2" s="157">
        <f>'Hảo_R&amp;D'!AU2</f>
        <v>0.773478</v>
      </c>
      <c r="AG2" s="120" t="s">
        <v>470</v>
      </c>
      <c r="AJ2" s="204"/>
      <c r="AK2" s="258">
        <v>1</v>
      </c>
      <c r="AL2" s="196">
        <f>AL1*1000/$AP$4</f>
        <v>75.507147348300833</v>
      </c>
      <c r="AM2" s="196">
        <f>AM1*1000/$AP$4</f>
        <v>51.926880835744562</v>
      </c>
      <c r="AN2" s="196">
        <f>AN1*1000/$AP$4</f>
        <v>87.995701983656133</v>
      </c>
    </row>
    <row r="3" spans="2:63" ht="43.5" x14ac:dyDescent="0.35">
      <c r="T3" s="162" t="s">
        <v>448</v>
      </c>
      <c r="U3" s="169">
        <f>U1/U2</f>
        <v>19027.282665358136</v>
      </c>
      <c r="V3" s="397">
        <f>V1/V2</f>
        <v>20109.890109890108</v>
      </c>
      <c r="W3" s="131">
        <f>W1/W2</f>
        <v>20169.086549138014</v>
      </c>
      <c r="X3" s="170">
        <f>'[5]10. 100% chai-&gt;hạt WSS01-iSS01'!$I$21+'[5]10. 100% chai-&gt;hạt WSS01-iSS01'!$I$37</f>
        <v>4716.6433044810765</v>
      </c>
      <c r="Y3" s="169">
        <f>Y1/Y2</f>
        <v>17309.642094027404</v>
      </c>
      <c r="Z3" s="132"/>
      <c r="AA3" s="169">
        <f>AA1/AA2</f>
        <v>15555.28647638949</v>
      </c>
      <c r="AB3" s="132"/>
      <c r="AC3" s="169">
        <f>'[5]16.1 Rửa vảy B7'!$I$48</f>
        <v>14341.250211551116</v>
      </c>
      <c r="AD3" s="109"/>
      <c r="AE3" s="169">
        <f>AE1/AE2</f>
        <v>17195.059200132389</v>
      </c>
      <c r="AG3" s="937" t="s">
        <v>632</v>
      </c>
      <c r="AH3" s="937"/>
      <c r="AI3" s="190" t="s">
        <v>467</v>
      </c>
      <c r="AJ3" s="190" t="s">
        <v>468</v>
      </c>
      <c r="AK3" s="259" t="s">
        <v>469</v>
      </c>
      <c r="AL3" s="173" t="s">
        <v>450</v>
      </c>
      <c r="AM3" s="173" t="s">
        <v>451</v>
      </c>
      <c r="AN3" s="173" t="s">
        <v>452</v>
      </c>
      <c r="AO3" s="162" t="s">
        <v>453</v>
      </c>
      <c r="AP3" s="2" t="s">
        <v>391</v>
      </c>
      <c r="AQ3" t="s">
        <v>393</v>
      </c>
      <c r="AR3" t="s">
        <v>454</v>
      </c>
      <c r="AS3" t="s">
        <v>455</v>
      </c>
      <c r="AU3" s="402" t="s">
        <v>462</v>
      </c>
      <c r="AW3" s="937" t="s">
        <v>633</v>
      </c>
      <c r="AX3" s="937"/>
      <c r="AY3" s="190" t="s">
        <v>467</v>
      </c>
      <c r="AZ3" s="190" t="s">
        <v>468</v>
      </c>
      <c r="BA3" s="190" t="s">
        <v>469</v>
      </c>
      <c r="BB3" s="173" t="s">
        <v>450</v>
      </c>
      <c r="BC3" s="173" t="s">
        <v>451</v>
      </c>
      <c r="BD3" s="173" t="s">
        <v>452</v>
      </c>
      <c r="BE3" s="162" t="s">
        <v>453</v>
      </c>
      <c r="BF3" s="2" t="s">
        <v>391</v>
      </c>
      <c r="BG3" s="203" t="s">
        <v>454</v>
      </c>
      <c r="BH3" s="3" t="s">
        <v>455</v>
      </c>
      <c r="BJ3" s="5" t="s">
        <v>465</v>
      </c>
      <c r="BK3" s="3" t="s">
        <v>635</v>
      </c>
    </row>
    <row r="4" spans="2:63" x14ac:dyDescent="0.35">
      <c r="T4" s="120" t="s">
        <v>366</v>
      </c>
      <c r="U4" s="115" t="s">
        <v>367</v>
      </c>
      <c r="W4" s="115" t="s">
        <v>374</v>
      </c>
      <c r="Y4" s="115" t="s">
        <v>375</v>
      </c>
      <c r="AA4" s="115" t="s">
        <v>382</v>
      </c>
      <c r="AC4" s="115" t="s">
        <v>384</v>
      </c>
      <c r="AE4" s="115" t="s">
        <v>385</v>
      </c>
      <c r="AG4" s="127" t="s">
        <v>376</v>
      </c>
      <c r="AI4" s="191"/>
      <c r="AJ4" s="191"/>
      <c r="AK4" s="191"/>
      <c r="AP4" s="129">
        <v>26500</v>
      </c>
      <c r="BG4" s="3"/>
      <c r="BH4" s="3"/>
    </row>
    <row r="5" spans="2:63"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92" t="s">
        <v>372</v>
      </c>
      <c r="AJ5" s="192" t="s">
        <v>372</v>
      </c>
      <c r="AK5" s="192" t="s">
        <v>372</v>
      </c>
      <c r="AL5" s="123" t="s">
        <v>372</v>
      </c>
      <c r="AM5" s="123" t="s">
        <v>372</v>
      </c>
      <c r="AN5" s="123" t="s">
        <v>372</v>
      </c>
      <c r="AO5" s="174" t="s">
        <v>372</v>
      </c>
      <c r="AP5" s="123" t="s">
        <v>372</v>
      </c>
      <c r="AQ5" t="s">
        <v>392</v>
      </c>
      <c r="BG5" s="3"/>
      <c r="BH5" s="3"/>
    </row>
    <row r="6" spans="2:63" x14ac:dyDescent="0.35">
      <c r="T6" s="119" t="s">
        <v>390</v>
      </c>
      <c r="AG6" s="128">
        <v>0.3</v>
      </c>
      <c r="BG6" s="3"/>
      <c r="BH6" s="3"/>
    </row>
    <row r="7" spans="2:63" x14ac:dyDescent="0.35">
      <c r="T7" s="117" t="s">
        <v>368</v>
      </c>
      <c r="U7" s="118">
        <v>0.1</v>
      </c>
      <c r="V7" s="134">
        <f>U7*$U$3</f>
        <v>1902.7282665358136</v>
      </c>
      <c r="W7" s="118">
        <v>0.9</v>
      </c>
      <c r="X7" s="134">
        <f>W7*$V$3</f>
        <v>18098.901098901097</v>
      </c>
      <c r="Y7" s="117"/>
      <c r="Z7" s="134">
        <f>Y7*$Y$3</f>
        <v>0</v>
      </c>
      <c r="AA7" s="117"/>
      <c r="AB7" s="117">
        <f>AA7*$AA$3</f>
        <v>0</v>
      </c>
      <c r="AC7" s="117"/>
      <c r="AD7" s="117">
        <f>AC7*$AC$3</f>
        <v>0</v>
      </c>
      <c r="AE7" s="117"/>
      <c r="AF7" s="117">
        <f>AE7*$AE$3</f>
        <v>0</v>
      </c>
      <c r="AG7" s="122">
        <f t="shared" ref="AG7:AH11" si="0">U7+W7+Y7+AA7+AC7+AE7</f>
        <v>1</v>
      </c>
      <c r="AH7" s="177">
        <f>V7+X7+Z7+AB7+AD7+AF7</f>
        <v>20001.629365436911</v>
      </c>
      <c r="AI7" s="175">
        <f>AI$1+AH7</f>
        <v>21866.579348318195</v>
      </c>
      <c r="AJ7" s="194">
        <f>AJ$1+AI7</f>
        <v>23140.435198126936</v>
      </c>
      <c r="AK7" s="175">
        <f>AK$1+$V$3</f>
        <v>21746.867625313171</v>
      </c>
      <c r="AL7" s="172">
        <f>AL$1+AK7</f>
        <v>23747.807030043143</v>
      </c>
      <c r="AM7" s="172">
        <f>AL7+$AM$1</f>
        <v>25123.869372190373</v>
      </c>
      <c r="AN7" s="172">
        <f>AL7+$AN$1</f>
        <v>26079.693132610031</v>
      </c>
      <c r="AO7" s="175">
        <f>AM7</f>
        <v>25123.869372190373</v>
      </c>
      <c r="AP7" s="130">
        <f>$AP$4*AQ7/1000</f>
        <v>30740</v>
      </c>
      <c r="AQ7" s="109">
        <v>1160</v>
      </c>
      <c r="AR7" s="130">
        <f>AP7-AO7</f>
        <v>5616.1306278096272</v>
      </c>
      <c r="AS7" s="153">
        <f>AR7/AP7</f>
        <v>0.1826978083217185</v>
      </c>
      <c r="AU7" s="109">
        <f>AH7/$AP$4*1000</f>
        <v>754.77846662026082</v>
      </c>
      <c r="AX7" s="147">
        <f>AH7/$AP$4*1000</f>
        <v>754.77846662026082</v>
      </c>
      <c r="AY7" s="198">
        <f t="shared" ref="AY7:BF11" si="1">AI7/$AP$4*1000</f>
        <v>825.15393767238481</v>
      </c>
      <c r="AZ7" s="198">
        <f t="shared" si="1"/>
        <v>873.22396974063906</v>
      </c>
      <c r="BA7" s="198">
        <f t="shared" si="1"/>
        <v>820.63651416276116</v>
      </c>
      <c r="BB7" s="199">
        <f t="shared" si="1"/>
        <v>896.14366151106196</v>
      </c>
      <c r="BC7" s="199">
        <f t="shared" si="1"/>
        <v>948.07054234680652</v>
      </c>
      <c r="BD7" s="199">
        <f t="shared" si="1"/>
        <v>984.13936349471817</v>
      </c>
      <c r="BE7" s="147">
        <f t="shared" si="1"/>
        <v>948.07054234680652</v>
      </c>
      <c r="BF7" s="200">
        <f t="shared" si="1"/>
        <v>1160</v>
      </c>
      <c r="BG7" s="201">
        <f>BF7-BE7</f>
        <v>211.92945765319348</v>
      </c>
      <c r="BH7" s="202">
        <f>BG7/BE7</f>
        <v>0.22353764639558768</v>
      </c>
      <c r="BJ7">
        <v>140</v>
      </c>
      <c r="BK7" s="130">
        <f>BE7+BJ7</f>
        <v>1088.0705423468066</v>
      </c>
    </row>
    <row r="8" spans="2:63" x14ac:dyDescent="0.35">
      <c r="T8" s="117" t="s">
        <v>369</v>
      </c>
      <c r="U8" s="125">
        <v>0.3</v>
      </c>
      <c r="V8" s="134">
        <f>U8*$U$3</f>
        <v>5708.1847996074403</v>
      </c>
      <c r="W8" s="125">
        <v>0.7</v>
      </c>
      <c r="X8" s="134">
        <f t="shared" ref="X8:X9" si="2">W8*$V$3</f>
        <v>14076.923076923074</v>
      </c>
      <c r="Y8" s="117"/>
      <c r="Z8" s="134">
        <f>Y8*$Y$3</f>
        <v>0</v>
      </c>
      <c r="AA8" s="117"/>
      <c r="AB8" s="117">
        <f>AA8*$AA$3</f>
        <v>0</v>
      </c>
      <c r="AC8" s="117"/>
      <c r="AD8" s="117">
        <f>AC8*$AC$3</f>
        <v>0</v>
      </c>
      <c r="AE8" s="117"/>
      <c r="AF8" s="117">
        <f>AE8*$AE$3</f>
        <v>0</v>
      </c>
      <c r="AG8" s="124">
        <f t="shared" si="0"/>
        <v>1</v>
      </c>
      <c r="AH8" s="177">
        <f t="shared" si="0"/>
        <v>19785.107876530514</v>
      </c>
      <c r="AI8" s="175">
        <f t="shared" ref="AI8:AL11" si="3">AI$1+AH8</f>
        <v>21650.057859411798</v>
      </c>
      <c r="AJ8" s="194">
        <f t="shared" si="3"/>
        <v>22923.913709220535</v>
      </c>
      <c r="AK8" s="175">
        <f t="shared" ref="AK8:AK11" si="4">AK$1+$V$3</f>
        <v>21746.867625313171</v>
      </c>
      <c r="AL8" s="172">
        <f t="shared" si="3"/>
        <v>23747.807030043143</v>
      </c>
      <c r="AM8" s="172">
        <f>AL8+$AM$1</f>
        <v>25123.869372190373</v>
      </c>
      <c r="AN8" s="172">
        <f>AL8+$AN$1</f>
        <v>26079.693132610031</v>
      </c>
      <c r="AO8" s="175">
        <f>AM8</f>
        <v>25123.869372190373</v>
      </c>
      <c r="AP8" s="130">
        <f>$AP$4*AQ8/1000</f>
        <v>31535</v>
      </c>
      <c r="AQ8" s="130">
        <f>AQ7+30</f>
        <v>1190</v>
      </c>
      <c r="AR8" s="130">
        <f>AP8-AO8</f>
        <v>6411.1306278096272</v>
      </c>
      <c r="AS8" s="153">
        <f>AR8/AP8</f>
        <v>0.20330206525478445</v>
      </c>
      <c r="AU8" s="109">
        <f>AH8/$AP$4*1000</f>
        <v>746.6078443973779</v>
      </c>
      <c r="AX8" s="147">
        <f>AH8/$AP$4*1000</f>
        <v>746.6078443973779</v>
      </c>
      <c r="AY8" s="198">
        <f t="shared" si="1"/>
        <v>816.98331544950179</v>
      </c>
      <c r="AZ8" s="198">
        <f t="shared" si="1"/>
        <v>865.05334751775592</v>
      </c>
      <c r="BA8" s="198">
        <f t="shared" si="1"/>
        <v>820.63651416276116</v>
      </c>
      <c r="BB8" s="199">
        <f t="shared" si="1"/>
        <v>896.14366151106196</v>
      </c>
      <c r="BC8" s="199">
        <f t="shared" si="1"/>
        <v>948.07054234680652</v>
      </c>
      <c r="BD8" s="199">
        <f t="shared" si="1"/>
        <v>984.13936349471817</v>
      </c>
      <c r="BE8" s="147">
        <f t="shared" si="1"/>
        <v>948.07054234680652</v>
      </c>
      <c r="BF8" s="200">
        <f t="shared" si="1"/>
        <v>1190</v>
      </c>
      <c r="BG8" s="201">
        <f>BF8-BE8</f>
        <v>241.92945765319348</v>
      </c>
      <c r="BH8" s="202">
        <f>BG8/BE8</f>
        <v>0.25518086138857704</v>
      </c>
    </row>
    <row r="9" spans="2:63" x14ac:dyDescent="0.35">
      <c r="T9" s="117" t="s">
        <v>370</v>
      </c>
      <c r="U9" s="118">
        <v>0.55000000000000004</v>
      </c>
      <c r="V9" s="134">
        <f>U9*$U$3</f>
        <v>10465.005465946975</v>
      </c>
      <c r="W9" s="118">
        <v>0.3</v>
      </c>
      <c r="X9" s="134">
        <f t="shared" si="2"/>
        <v>6032.9670329670325</v>
      </c>
      <c r="Y9" s="118">
        <v>0.15</v>
      </c>
      <c r="Z9" s="134">
        <f>Y9*$Y$3</f>
        <v>2596.4463141041106</v>
      </c>
      <c r="AA9" s="117"/>
      <c r="AB9" s="117">
        <f>AA9*$AA$3</f>
        <v>0</v>
      </c>
      <c r="AC9" s="117"/>
      <c r="AD9" s="117">
        <f>AC9*$AC$3</f>
        <v>0</v>
      </c>
      <c r="AE9" s="117"/>
      <c r="AF9" s="117">
        <f>AE9*$AE$3</f>
        <v>0</v>
      </c>
      <c r="AG9" s="122">
        <f t="shared" si="0"/>
        <v>1</v>
      </c>
      <c r="AH9" s="177">
        <f t="shared" si="0"/>
        <v>19094.418813018121</v>
      </c>
      <c r="AI9" s="175">
        <f t="shared" si="3"/>
        <v>20959.368795899405</v>
      </c>
      <c r="AJ9" s="194">
        <f t="shared" si="3"/>
        <v>22233.224645708142</v>
      </c>
      <c r="AK9" s="175">
        <f t="shared" si="4"/>
        <v>21746.867625313171</v>
      </c>
      <c r="AL9" s="172">
        <f t="shared" si="3"/>
        <v>23747.807030043143</v>
      </c>
      <c r="AM9" s="172">
        <f>AL9+$AM$1</f>
        <v>25123.869372190373</v>
      </c>
      <c r="AN9" s="172">
        <f>AL9+$AN$1</f>
        <v>26079.693132610031</v>
      </c>
      <c r="AO9" s="175">
        <f>AM9</f>
        <v>25123.869372190373</v>
      </c>
      <c r="AP9" s="130">
        <f>$AP$4*AQ9/1000</f>
        <v>28885</v>
      </c>
      <c r="AQ9" s="130">
        <f>AQ7-70</f>
        <v>1090</v>
      </c>
      <c r="AR9" s="130">
        <f>AP9-AO9</f>
        <v>3761.1306278096272</v>
      </c>
      <c r="AS9" s="153">
        <f>AR9/AP9</f>
        <v>0.13021051160843439</v>
      </c>
      <c r="AU9" s="109">
        <f>AH9/$AP$4*1000</f>
        <v>720.54410615162726</v>
      </c>
      <c r="AX9" s="147">
        <f>AH9/$AP$4*1000</f>
        <v>720.54410615162726</v>
      </c>
      <c r="AY9" s="198">
        <f t="shared" si="1"/>
        <v>790.91957720375115</v>
      </c>
      <c r="AZ9" s="198">
        <f t="shared" si="1"/>
        <v>838.9896092720054</v>
      </c>
      <c r="BA9" s="198">
        <f t="shared" si="1"/>
        <v>820.63651416276116</v>
      </c>
      <c r="BB9" s="199">
        <f t="shared" si="1"/>
        <v>896.14366151106196</v>
      </c>
      <c r="BC9" s="199">
        <f t="shared" si="1"/>
        <v>948.07054234680652</v>
      </c>
      <c r="BD9" s="199">
        <f t="shared" si="1"/>
        <v>984.13936349471817</v>
      </c>
      <c r="BE9" s="147">
        <f t="shared" si="1"/>
        <v>948.07054234680652</v>
      </c>
      <c r="BF9" s="200">
        <f t="shared" si="1"/>
        <v>1090</v>
      </c>
      <c r="BG9" s="201">
        <f>BF9-BE9</f>
        <v>141.92945765319348</v>
      </c>
      <c r="BH9" s="202">
        <f>BG9/BE9</f>
        <v>0.14970347807861256</v>
      </c>
    </row>
    <row r="10" spans="2:63"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77">
        <f t="shared" si="0"/>
        <v>18853.682855909705</v>
      </c>
      <c r="AI10" s="175">
        <f t="shared" si="3"/>
        <v>20718.632838790989</v>
      </c>
      <c r="AJ10" s="194">
        <f t="shared" si="3"/>
        <v>21992.488688599726</v>
      </c>
      <c r="AK10" s="175">
        <f t="shared" si="4"/>
        <v>21746.867625313171</v>
      </c>
      <c r="AL10" s="322">
        <f t="shared" si="3"/>
        <v>23747.807030043143</v>
      </c>
      <c r="AM10" s="172">
        <f>AL10+$AM$1</f>
        <v>25123.869372190373</v>
      </c>
      <c r="AN10" s="172">
        <f>AL10+$AN$1</f>
        <v>26079.693132610031</v>
      </c>
      <c r="AO10" s="323">
        <f>AL10</f>
        <v>23747.807030043143</v>
      </c>
      <c r="AP10" s="130">
        <f>$AP$4*AQ10/1000</f>
        <v>19080</v>
      </c>
      <c r="AQ10" s="130">
        <v>720</v>
      </c>
      <c r="AR10" s="183">
        <f>AP10-AO10</f>
        <v>-4667.8070300431427</v>
      </c>
      <c r="AS10" s="157">
        <f>AR10/AP10</f>
        <v>-0.24464397432091944</v>
      </c>
      <c r="AU10" s="109">
        <f>AH10/$AP$4*1000</f>
        <v>711.45973041168702</v>
      </c>
      <c r="AX10" s="147">
        <f>AH10/$AP$4*1000</f>
        <v>711.45973041168702</v>
      </c>
      <c r="AY10" s="198">
        <f t="shared" si="1"/>
        <v>781.8352014638109</v>
      </c>
      <c r="AZ10" s="198">
        <f t="shared" si="1"/>
        <v>829.90523353206515</v>
      </c>
      <c r="BA10" s="198">
        <f t="shared" si="1"/>
        <v>820.63651416276116</v>
      </c>
      <c r="BB10" s="199">
        <f t="shared" si="1"/>
        <v>896.14366151106196</v>
      </c>
      <c r="BC10" s="199">
        <f t="shared" si="1"/>
        <v>948.07054234680652</v>
      </c>
      <c r="BD10" s="199">
        <f t="shared" si="1"/>
        <v>984.13936349471817</v>
      </c>
      <c r="BE10" s="147">
        <f t="shared" si="1"/>
        <v>896.14366151106196</v>
      </c>
      <c r="BF10" s="200">
        <v>800</v>
      </c>
      <c r="BG10" s="400">
        <f>BF10-BE10</f>
        <v>-96.143661511061964</v>
      </c>
      <c r="BH10" s="401">
        <f>BG10/BE10</f>
        <v>-0.10728599178947065</v>
      </c>
    </row>
    <row r="11" spans="2:63" x14ac:dyDescent="0.35">
      <c r="T11" s="117" t="s">
        <v>373</v>
      </c>
      <c r="U11" s="118">
        <v>0.65</v>
      </c>
      <c r="V11" s="134">
        <f>U11*$U$3</f>
        <v>12367.733732482789</v>
      </c>
      <c r="W11" s="118">
        <v>0.15</v>
      </c>
      <c r="X11" s="134">
        <f>W11*$V$3</f>
        <v>3016.4835164835163</v>
      </c>
      <c r="Y11" s="261"/>
      <c r="Z11" s="263">
        <f>Y11*$Y$3</f>
        <v>0</v>
      </c>
      <c r="AA11" s="261">
        <v>0.2</v>
      </c>
      <c r="AB11" s="263">
        <f>AA11*$AA$3</f>
        <v>3111.0572952778984</v>
      </c>
      <c r="AC11" s="117"/>
      <c r="AD11" s="117">
        <f>AC11*$AC$3</f>
        <v>0</v>
      </c>
      <c r="AE11" s="117"/>
      <c r="AF11" s="117">
        <f>AE11*$AE$3</f>
        <v>0</v>
      </c>
      <c r="AG11" s="122">
        <f t="shared" si="0"/>
        <v>1</v>
      </c>
      <c r="AH11" s="177">
        <f t="shared" si="0"/>
        <v>18495.274544244203</v>
      </c>
      <c r="AI11" s="175">
        <f t="shared" si="3"/>
        <v>20360.224527125487</v>
      </c>
      <c r="AJ11" s="194">
        <f t="shared" si="3"/>
        <v>21634.080376934224</v>
      </c>
      <c r="AK11" s="323">
        <f t="shared" si="4"/>
        <v>21746.867625313171</v>
      </c>
      <c r="AL11" s="172">
        <f>+AK11</f>
        <v>21746.867625313171</v>
      </c>
      <c r="AM11" s="172">
        <f>AL11</f>
        <v>21746.867625313171</v>
      </c>
      <c r="AN11" s="172">
        <f>AM11</f>
        <v>21746.867625313171</v>
      </c>
      <c r="AO11" s="323">
        <f>AK11</f>
        <v>21746.867625313171</v>
      </c>
      <c r="AP11" s="130">
        <f>$AP$4*AQ11/1000</f>
        <v>25970</v>
      </c>
      <c r="AQ11" s="179">
        <v>980</v>
      </c>
      <c r="AR11" s="130">
        <f>AP11-AO11</f>
        <v>4223.1323746868293</v>
      </c>
      <c r="AS11" s="153">
        <f>AR11/AP11</f>
        <v>0.16261580187473351</v>
      </c>
      <c r="AU11" s="109">
        <f>AH11/$AP$4*1000</f>
        <v>697.93488846204548</v>
      </c>
      <c r="AX11" s="147">
        <f>AH11/$AP$4*1000</f>
        <v>697.93488846204548</v>
      </c>
      <c r="AY11" s="198">
        <f t="shared" si="1"/>
        <v>768.31035951416936</v>
      </c>
      <c r="AZ11" s="198">
        <f t="shared" si="1"/>
        <v>816.38039158242361</v>
      </c>
      <c r="BA11" s="198">
        <f t="shared" si="1"/>
        <v>820.63651416276116</v>
      </c>
      <c r="BB11" s="199">
        <f t="shared" si="1"/>
        <v>820.63651416276116</v>
      </c>
      <c r="BC11" s="199">
        <f t="shared" si="1"/>
        <v>820.63651416276116</v>
      </c>
      <c r="BD11" s="199">
        <f t="shared" si="1"/>
        <v>820.63651416276116</v>
      </c>
      <c r="BE11" s="147">
        <f t="shared" si="1"/>
        <v>820.63651416276116</v>
      </c>
      <c r="BF11" s="200">
        <f t="shared" si="1"/>
        <v>980</v>
      </c>
      <c r="BG11" s="201">
        <f>BF11-BE11</f>
        <v>159.36348583723884</v>
      </c>
      <c r="BH11" s="202">
        <f>BG11/BE11</f>
        <v>0.19419497315425505</v>
      </c>
    </row>
    <row r="12" spans="2:63" x14ac:dyDescent="0.35">
      <c r="AJ12" s="191"/>
    </row>
    <row r="13" spans="2:63" x14ac:dyDescent="0.35">
      <c r="AJ13" s="191"/>
    </row>
    <row r="14" spans="2:63" x14ac:dyDescent="0.35">
      <c r="T14" s="119" t="s">
        <v>387</v>
      </c>
      <c r="W14" s="116" t="s">
        <v>48</v>
      </c>
      <c r="AG14" s="126">
        <v>0.53</v>
      </c>
      <c r="AJ14" s="191"/>
    </row>
    <row r="15" spans="2:63" x14ac:dyDescent="0.35">
      <c r="T15" s="117" t="s">
        <v>377</v>
      </c>
      <c r="U15" s="117"/>
      <c r="V15" s="117">
        <f>U15*$U$3</f>
        <v>0</v>
      </c>
      <c r="W15" s="178">
        <v>1</v>
      </c>
      <c r="X15" s="134">
        <f t="shared" ref="X15:X18" si="5">W15*$V$3</f>
        <v>20109.890109890108</v>
      </c>
      <c r="Y15" s="117"/>
      <c r="Z15" s="117">
        <f>Y15*$Y$3</f>
        <v>0</v>
      </c>
      <c r="AA15" s="117"/>
      <c r="AB15" s="117">
        <f>AA15*$AA$3</f>
        <v>0</v>
      </c>
      <c r="AC15" s="117"/>
      <c r="AD15" s="117">
        <f>AC15*$AC$3</f>
        <v>0</v>
      </c>
      <c r="AE15" s="117"/>
      <c r="AF15" s="117">
        <f>AE15*$AE$3</f>
        <v>0</v>
      </c>
      <c r="AG15" s="122">
        <f t="shared" ref="AG15:AH18" si="6">U15+W15+Y15+AA15+AC15+AE15</f>
        <v>1</v>
      </c>
      <c r="AH15" s="177">
        <f t="shared" si="6"/>
        <v>20109.890109890108</v>
      </c>
      <c r="AI15" s="175">
        <f t="shared" ref="AI15:AL18" si="7">AI$1+AH15</f>
        <v>21974.840092771392</v>
      </c>
      <c r="AJ15" s="194">
        <f t="shared" si="7"/>
        <v>23248.695942580132</v>
      </c>
      <c r="AK15" s="175">
        <f t="shared" ref="AK15:AK18" si="8">AK$1+$V$3</f>
        <v>21746.867625313171</v>
      </c>
      <c r="AL15" s="172">
        <f t="shared" si="7"/>
        <v>23747.807030043143</v>
      </c>
      <c r="AM15" s="172">
        <f>AL15+$AM$1</f>
        <v>25123.869372190373</v>
      </c>
      <c r="AN15" s="172">
        <f>AL15+$AN$1</f>
        <v>26079.693132610031</v>
      </c>
      <c r="AO15" s="175">
        <f>AM15</f>
        <v>25123.869372190373</v>
      </c>
      <c r="AP15" s="130">
        <f>$AP$4*AQ15/1000</f>
        <v>30740</v>
      </c>
      <c r="AQ15" s="130">
        <f>AQ7</f>
        <v>1160</v>
      </c>
      <c r="AR15" s="130">
        <f>AP15-AO15</f>
        <v>5616.1306278096272</v>
      </c>
      <c r="AS15" s="153">
        <f>AR15/AP15</f>
        <v>0.1826978083217185</v>
      </c>
      <c r="AU15" s="109">
        <f>AH15/$AP$4*1000</f>
        <v>758.86377773170227</v>
      </c>
      <c r="AX15" s="147">
        <f t="shared" ref="AX15:BF18" si="9">AH15/$AP$4*1000</f>
        <v>758.86377773170227</v>
      </c>
      <c r="AY15" s="198">
        <f t="shared" si="9"/>
        <v>829.23924878382616</v>
      </c>
      <c r="AZ15" s="198">
        <f t="shared" si="9"/>
        <v>877.30928085208052</v>
      </c>
      <c r="BA15" s="198">
        <f t="shared" si="9"/>
        <v>820.63651416276116</v>
      </c>
      <c r="BB15" s="199">
        <f t="shared" si="9"/>
        <v>896.14366151106196</v>
      </c>
      <c r="BC15" s="199">
        <f t="shared" si="9"/>
        <v>948.07054234680652</v>
      </c>
      <c r="BD15" s="199">
        <f t="shared" si="9"/>
        <v>984.13936349471817</v>
      </c>
      <c r="BE15" s="147">
        <f t="shared" si="9"/>
        <v>948.07054234680652</v>
      </c>
      <c r="BF15" s="200">
        <f t="shared" si="9"/>
        <v>1160</v>
      </c>
      <c r="BG15" s="201">
        <f>BF15-BE15</f>
        <v>211.92945765319348</v>
      </c>
      <c r="BH15" s="202">
        <f>BG15/BE15</f>
        <v>0.22353764639558768</v>
      </c>
    </row>
    <row r="16" spans="2:63" x14ac:dyDescent="0.35">
      <c r="T16" s="117" t="s">
        <v>378</v>
      </c>
      <c r="U16" s="117"/>
      <c r="V16" s="117">
        <f>U16*$U$3</f>
        <v>0</v>
      </c>
      <c r="W16" s="178">
        <v>1</v>
      </c>
      <c r="X16" s="134">
        <f t="shared" si="5"/>
        <v>20109.890109890108</v>
      </c>
      <c r="Y16" s="117"/>
      <c r="Z16" s="117">
        <f>Y16*$Y$3</f>
        <v>0</v>
      </c>
      <c r="AA16" s="117"/>
      <c r="AB16" s="117">
        <f>AA16*$AA$3</f>
        <v>0</v>
      </c>
      <c r="AC16" s="117"/>
      <c r="AD16" s="117">
        <f>AC16*$AC$3</f>
        <v>0</v>
      </c>
      <c r="AE16" s="117"/>
      <c r="AF16" s="117">
        <f>AE16*$AE$3</f>
        <v>0</v>
      </c>
      <c r="AG16" s="122">
        <f t="shared" si="6"/>
        <v>1</v>
      </c>
      <c r="AH16" s="177">
        <f t="shared" si="6"/>
        <v>20109.890109890108</v>
      </c>
      <c r="AI16" s="175">
        <f t="shared" si="7"/>
        <v>21974.840092771392</v>
      </c>
      <c r="AJ16" s="194">
        <f t="shared" si="7"/>
        <v>23248.695942580132</v>
      </c>
      <c r="AK16" s="175">
        <f t="shared" si="8"/>
        <v>21746.867625313171</v>
      </c>
      <c r="AL16" s="172">
        <f t="shared" si="7"/>
        <v>23747.807030043143</v>
      </c>
      <c r="AM16" s="172">
        <f>AL16+$AM$1</f>
        <v>25123.869372190373</v>
      </c>
      <c r="AN16" s="172">
        <f>AL16+$AN$1</f>
        <v>26079.693132610031</v>
      </c>
      <c r="AO16" s="175">
        <f>AM16</f>
        <v>25123.869372190373</v>
      </c>
      <c r="AP16" s="130">
        <f>$AP$4*AQ16/1000</f>
        <v>31535</v>
      </c>
      <c r="AQ16" s="130">
        <f>AQ7+30</f>
        <v>1190</v>
      </c>
      <c r="AR16" s="130">
        <f>AP16-AO16</f>
        <v>6411.1306278096272</v>
      </c>
      <c r="AS16" s="153">
        <f>AR16/AP16</f>
        <v>0.20330206525478445</v>
      </c>
      <c r="AU16" s="109">
        <f>AH16/$AP$4*1000</f>
        <v>758.86377773170227</v>
      </c>
      <c r="AX16" s="147">
        <f t="shared" si="9"/>
        <v>758.86377773170227</v>
      </c>
      <c r="AY16" s="198">
        <f t="shared" si="9"/>
        <v>829.23924878382616</v>
      </c>
      <c r="AZ16" s="198">
        <f t="shared" si="9"/>
        <v>877.30928085208052</v>
      </c>
      <c r="BA16" s="198">
        <f t="shared" si="9"/>
        <v>820.63651416276116</v>
      </c>
      <c r="BB16" s="199">
        <f t="shared" si="9"/>
        <v>896.14366151106196</v>
      </c>
      <c r="BC16" s="199">
        <f t="shared" si="9"/>
        <v>948.07054234680652</v>
      </c>
      <c r="BD16" s="199">
        <f t="shared" si="9"/>
        <v>984.13936349471817</v>
      </c>
      <c r="BE16" s="147">
        <f t="shared" si="9"/>
        <v>948.07054234680652</v>
      </c>
      <c r="BF16" s="200">
        <f t="shared" si="9"/>
        <v>1190</v>
      </c>
      <c r="BG16" s="201">
        <f>BF16-BE16</f>
        <v>241.92945765319348</v>
      </c>
      <c r="BH16" s="202">
        <f>BG16/BE16</f>
        <v>0.25518086138857704</v>
      </c>
    </row>
    <row r="17" spans="20:68" x14ac:dyDescent="0.35">
      <c r="T17" s="117" t="s">
        <v>379</v>
      </c>
      <c r="U17" s="117"/>
      <c r="V17" s="117">
        <f>U17*$U$3</f>
        <v>0</v>
      </c>
      <c r="W17" s="178">
        <v>1</v>
      </c>
      <c r="X17" s="134">
        <f t="shared" si="5"/>
        <v>20109.890109890108</v>
      </c>
      <c r="Y17" s="117"/>
      <c r="Z17" s="117">
        <f>Y17*$Y$3</f>
        <v>0</v>
      </c>
      <c r="AA17" s="117"/>
      <c r="AB17" s="117">
        <f>AA17*$AA$3</f>
        <v>0</v>
      </c>
      <c r="AC17" s="117"/>
      <c r="AD17" s="117">
        <f>AC17*$AC$3</f>
        <v>0</v>
      </c>
      <c r="AE17" s="117"/>
      <c r="AF17" s="117">
        <f>AE17*$AE$3</f>
        <v>0</v>
      </c>
      <c r="AG17" s="122">
        <f t="shared" si="6"/>
        <v>1</v>
      </c>
      <c r="AH17" s="177">
        <f t="shared" si="6"/>
        <v>20109.890109890108</v>
      </c>
      <c r="AI17" s="175">
        <f t="shared" si="7"/>
        <v>21974.840092771392</v>
      </c>
      <c r="AJ17" s="194">
        <f t="shared" si="7"/>
        <v>23248.695942580132</v>
      </c>
      <c r="AK17" s="175">
        <f t="shared" si="8"/>
        <v>21746.867625313171</v>
      </c>
      <c r="AL17" s="172">
        <f t="shared" si="7"/>
        <v>23747.807030043143</v>
      </c>
      <c r="AM17" s="172">
        <f>AL17+$AM$1</f>
        <v>25123.869372190373</v>
      </c>
      <c r="AN17" s="172">
        <f>AL17+$AN$1</f>
        <v>26079.693132610031</v>
      </c>
      <c r="AO17" s="175">
        <f>AM17</f>
        <v>25123.869372190373</v>
      </c>
      <c r="AP17" s="130">
        <f>$AP$4*AQ17/1000</f>
        <v>33125</v>
      </c>
      <c r="AQ17" s="130">
        <f>AQ7+90</f>
        <v>1250</v>
      </c>
      <c r="AR17" s="130">
        <f>AP17-AO17</f>
        <v>8001.1306278096272</v>
      </c>
      <c r="AS17" s="153">
        <f>AR17/AP17</f>
        <v>0.24154356612255479</v>
      </c>
      <c r="AU17" s="109">
        <f>AH17/$AP$4*1000</f>
        <v>758.86377773170227</v>
      </c>
      <c r="AX17" s="147">
        <f t="shared" si="9"/>
        <v>758.86377773170227</v>
      </c>
      <c r="AY17" s="198">
        <f t="shared" si="9"/>
        <v>829.23924878382616</v>
      </c>
      <c r="AZ17" s="198">
        <f t="shared" si="9"/>
        <v>877.30928085208052</v>
      </c>
      <c r="BA17" s="198">
        <f t="shared" si="9"/>
        <v>820.63651416276116</v>
      </c>
      <c r="BB17" s="199">
        <f t="shared" si="9"/>
        <v>896.14366151106196</v>
      </c>
      <c r="BC17" s="199">
        <f t="shared" si="9"/>
        <v>948.07054234680652</v>
      </c>
      <c r="BD17" s="199">
        <f t="shared" si="9"/>
        <v>984.13936349471817</v>
      </c>
      <c r="BE17" s="147">
        <f t="shared" si="9"/>
        <v>948.07054234680652</v>
      </c>
      <c r="BF17" s="200">
        <f t="shared" si="9"/>
        <v>1250</v>
      </c>
      <c r="BG17" s="201">
        <f>BF17-BE17</f>
        <v>301.92945765319348</v>
      </c>
      <c r="BH17" s="202">
        <f>BG17/BE17</f>
        <v>0.31846729137455571</v>
      </c>
    </row>
    <row r="18" spans="20:68" x14ac:dyDescent="0.35">
      <c r="T18" s="117" t="s">
        <v>380</v>
      </c>
      <c r="U18" s="117"/>
      <c r="V18" s="117">
        <f>U18*$U$3</f>
        <v>0</v>
      </c>
      <c r="W18" s="178">
        <v>1</v>
      </c>
      <c r="X18" s="134">
        <f t="shared" si="5"/>
        <v>20109.890109890108</v>
      </c>
      <c r="Y18" s="117"/>
      <c r="Z18" s="117">
        <f>Y18*$Y$3</f>
        <v>0</v>
      </c>
      <c r="AA18" s="117"/>
      <c r="AB18" s="117">
        <f>AA18*$AA$3</f>
        <v>0</v>
      </c>
      <c r="AC18" s="117"/>
      <c r="AD18" s="117">
        <f>AC18*$AC$3</f>
        <v>0</v>
      </c>
      <c r="AE18" s="117"/>
      <c r="AF18" s="117">
        <f>AE18*$AE$3</f>
        <v>0</v>
      </c>
      <c r="AG18" s="122">
        <f t="shared" si="6"/>
        <v>1</v>
      </c>
      <c r="AH18" s="177">
        <f t="shared" si="6"/>
        <v>20109.890109890108</v>
      </c>
      <c r="AI18" s="175">
        <f t="shared" si="7"/>
        <v>21974.840092771392</v>
      </c>
      <c r="AJ18" s="194">
        <f t="shared" si="7"/>
        <v>23248.695942580132</v>
      </c>
      <c r="AK18" s="175">
        <f t="shared" si="8"/>
        <v>21746.867625313171</v>
      </c>
      <c r="AL18" s="172">
        <f t="shared" si="7"/>
        <v>23747.807030043143</v>
      </c>
      <c r="AM18" s="172">
        <f>AL18+$AM$1</f>
        <v>25123.869372190373</v>
      </c>
      <c r="AN18" s="172">
        <f>AL18+$AN$1</f>
        <v>26079.693132610031</v>
      </c>
      <c r="AO18" s="175">
        <f>AM18</f>
        <v>25123.869372190373</v>
      </c>
      <c r="AP18" s="130">
        <f>$AP$4*AQ18/1000</f>
        <v>29945</v>
      </c>
      <c r="AQ18" s="130">
        <f>AQ7-30</f>
        <v>1130</v>
      </c>
      <c r="AR18" s="130">
        <f>AP18-AO18</f>
        <v>4821.1306278096272</v>
      </c>
      <c r="AS18" s="153">
        <f>AR18/AP18</f>
        <v>0.16099952004707388</v>
      </c>
      <c r="AU18" s="109">
        <f>AH18/$AP$4*1000</f>
        <v>758.86377773170227</v>
      </c>
      <c r="AX18" s="147">
        <f t="shared" si="9"/>
        <v>758.86377773170227</v>
      </c>
      <c r="AY18" s="198">
        <f t="shared" si="9"/>
        <v>829.23924878382616</v>
      </c>
      <c r="AZ18" s="198">
        <f t="shared" si="9"/>
        <v>877.30928085208052</v>
      </c>
      <c r="BA18" s="198">
        <f t="shared" si="9"/>
        <v>820.63651416276116</v>
      </c>
      <c r="BB18" s="199">
        <f t="shared" si="9"/>
        <v>896.14366151106196</v>
      </c>
      <c r="BC18" s="199">
        <f t="shared" si="9"/>
        <v>948.07054234680652</v>
      </c>
      <c r="BD18" s="199">
        <f t="shared" si="9"/>
        <v>984.13936349471817</v>
      </c>
      <c r="BE18" s="147">
        <f t="shared" si="9"/>
        <v>948.07054234680652</v>
      </c>
      <c r="BF18" s="200">
        <f t="shared" si="9"/>
        <v>1130</v>
      </c>
      <c r="BG18" s="201">
        <f>BF18-BE18</f>
        <v>181.92945765319348</v>
      </c>
      <c r="BH18" s="202">
        <f>BG18/BE18</f>
        <v>0.19189443140259835</v>
      </c>
    </row>
    <row r="19" spans="20:68" x14ac:dyDescent="0.35">
      <c r="AJ19" s="191"/>
    </row>
    <row r="20" spans="20:68" x14ac:dyDescent="0.35">
      <c r="AJ20" s="191"/>
    </row>
    <row r="21" spans="20:68" x14ac:dyDescent="0.35">
      <c r="AJ21" s="191"/>
    </row>
    <row r="22" spans="20:68" x14ac:dyDescent="0.35">
      <c r="AJ22" s="191"/>
    </row>
    <row r="23" spans="20:68" x14ac:dyDescent="0.35">
      <c r="AJ23" s="191"/>
    </row>
    <row r="24" spans="20:68" x14ac:dyDescent="0.35">
      <c r="T24" s="119" t="s">
        <v>388</v>
      </c>
      <c r="AG24" s="126">
        <v>0.05</v>
      </c>
      <c r="AJ24" s="191"/>
    </row>
    <row r="25" spans="20:68" x14ac:dyDescent="0.35">
      <c r="T25" s="117" t="s">
        <v>368</v>
      </c>
      <c r="U25" s="117"/>
      <c r="V25" s="134">
        <f>U25*$U$3</f>
        <v>0</v>
      </c>
      <c r="W25" s="118">
        <v>0.9</v>
      </c>
      <c r="X25" s="134">
        <f>W25*$V$3</f>
        <v>18098.901098901097</v>
      </c>
      <c r="Y25" s="118">
        <v>0.1</v>
      </c>
      <c r="Z25" s="134">
        <f>Y25*$Y$3</f>
        <v>1730.9642094027404</v>
      </c>
      <c r="AA25" s="117"/>
      <c r="AB25" s="134">
        <f>AA25*$AA$3</f>
        <v>0</v>
      </c>
      <c r="AC25" s="117"/>
      <c r="AD25" s="134">
        <f>AC25*$AC$3</f>
        <v>0</v>
      </c>
      <c r="AE25" s="117"/>
      <c r="AF25" s="117">
        <f>AE25*$AE$3</f>
        <v>0</v>
      </c>
      <c r="AG25" s="122">
        <f t="shared" ref="AG25:AH29" si="10">U25+W25+Y25+AA25+AC25+AE25</f>
        <v>1</v>
      </c>
      <c r="AH25" s="177">
        <f t="shared" si="10"/>
        <v>19829.865308303837</v>
      </c>
      <c r="AI25" s="175">
        <f t="shared" ref="AI25:AL29" si="11">AI$1+AH25</f>
        <v>21694.815291185121</v>
      </c>
      <c r="AJ25" s="194">
        <f t="shared" si="11"/>
        <v>22968.671140993858</v>
      </c>
      <c r="AK25" s="175">
        <f t="shared" ref="AK25:AK29" si="12">AK$1+$V$3</f>
        <v>21746.867625313171</v>
      </c>
      <c r="AL25" s="172">
        <f t="shared" si="11"/>
        <v>23747.807030043143</v>
      </c>
      <c r="AM25" s="172">
        <f>AL25+$AM$1</f>
        <v>25123.869372190373</v>
      </c>
      <c r="AN25" s="172">
        <f>AL25+$AN$1</f>
        <v>26079.693132610031</v>
      </c>
      <c r="AO25" s="175">
        <f>AM25</f>
        <v>25123.869372190373</v>
      </c>
      <c r="AP25" s="130">
        <f>$AP$4*AQ25/1000</f>
        <v>30740</v>
      </c>
      <c r="AQ25" s="130">
        <f>AQ7</f>
        <v>1160</v>
      </c>
      <c r="AR25" s="130">
        <f>AP25-AO25</f>
        <v>5616.1306278096272</v>
      </c>
      <c r="AS25" s="153">
        <f>AR25/AP25</f>
        <v>0.1826978083217185</v>
      </c>
      <c r="AU25" s="109">
        <f>AH25/$AP$4*1000</f>
        <v>748.29680408693719</v>
      </c>
      <c r="AX25" s="147">
        <f t="shared" ref="AX25:BF29" si="13">AH25/$AP$4*1000</f>
        <v>748.29680408693719</v>
      </c>
      <c r="AY25" s="198">
        <f t="shared" si="13"/>
        <v>818.67227513906118</v>
      </c>
      <c r="AZ25" s="198">
        <f t="shared" si="13"/>
        <v>866.74230720731532</v>
      </c>
      <c r="BA25" s="198">
        <f t="shared" si="13"/>
        <v>820.63651416276116</v>
      </c>
      <c r="BB25" s="199">
        <f t="shared" si="13"/>
        <v>896.14366151106196</v>
      </c>
      <c r="BC25" s="199">
        <f t="shared" si="13"/>
        <v>948.07054234680652</v>
      </c>
      <c r="BD25" s="199">
        <f t="shared" si="13"/>
        <v>984.13936349471817</v>
      </c>
      <c r="BE25" s="147">
        <f t="shared" si="13"/>
        <v>948.07054234680652</v>
      </c>
      <c r="BF25" s="200">
        <f t="shared" si="13"/>
        <v>1160</v>
      </c>
      <c r="BG25" s="201">
        <f>BF25-BE25</f>
        <v>211.92945765319348</v>
      </c>
      <c r="BH25" s="202">
        <f>BG25/BE25</f>
        <v>0.22353764639558768</v>
      </c>
    </row>
    <row r="26" spans="20:68" x14ac:dyDescent="0.35">
      <c r="T26" s="180" t="s">
        <v>370</v>
      </c>
      <c r="U26" s="118">
        <v>0.55000000000000004</v>
      </c>
      <c r="V26" s="134">
        <f>U26*$U$3</f>
        <v>10465.005465946975</v>
      </c>
      <c r="W26" s="118">
        <v>0.3</v>
      </c>
      <c r="X26" s="134">
        <f t="shared" ref="X26:X29" si="14">W26*$V$3</f>
        <v>6032.9670329670325</v>
      </c>
      <c r="Y26" s="118">
        <v>0.15</v>
      </c>
      <c r="Z26" s="134">
        <f>Y26*$Y$3</f>
        <v>2596.4463141041106</v>
      </c>
      <c r="AA26" s="117"/>
      <c r="AB26" s="134">
        <f>AA26*$AA$3</f>
        <v>0</v>
      </c>
      <c r="AC26" s="117"/>
      <c r="AD26" s="134">
        <f>AC26*$AC$3</f>
        <v>0</v>
      </c>
      <c r="AE26" s="117"/>
      <c r="AF26" s="117">
        <f>AE26*$AE$3</f>
        <v>0</v>
      </c>
      <c r="AG26" s="122">
        <f t="shared" si="10"/>
        <v>1</v>
      </c>
      <c r="AH26" s="177">
        <f t="shared" si="10"/>
        <v>19094.418813018121</v>
      </c>
      <c r="AI26" s="175">
        <f t="shared" si="11"/>
        <v>20959.368795899405</v>
      </c>
      <c r="AJ26" s="194">
        <f t="shared" si="11"/>
        <v>22233.224645708142</v>
      </c>
      <c r="AK26" s="175">
        <f t="shared" si="12"/>
        <v>21746.867625313171</v>
      </c>
      <c r="AL26" s="172">
        <f t="shared" si="11"/>
        <v>23747.807030043143</v>
      </c>
      <c r="AM26" s="172">
        <f>AL26+$AM$1</f>
        <v>25123.869372190373</v>
      </c>
      <c r="AN26" s="172">
        <f>AL26+$AN$1</f>
        <v>26079.693132610031</v>
      </c>
      <c r="AO26" s="175">
        <f>AM26</f>
        <v>25123.869372190373</v>
      </c>
      <c r="AP26" s="130">
        <f>$AP$4*AQ26/1000</f>
        <v>28885</v>
      </c>
      <c r="AQ26" s="130">
        <f>AQ7-70</f>
        <v>1090</v>
      </c>
      <c r="AR26" s="130">
        <f>AP26-AO26</f>
        <v>3761.1306278096272</v>
      </c>
      <c r="AS26" s="153">
        <f>AR26/AP26</f>
        <v>0.13021051160843439</v>
      </c>
      <c r="AU26" s="109">
        <f>AH26/$AP$4*1000</f>
        <v>720.54410615162726</v>
      </c>
      <c r="AX26" s="147">
        <f t="shared" si="13"/>
        <v>720.54410615162726</v>
      </c>
      <c r="AY26" s="198">
        <f t="shared" si="13"/>
        <v>790.91957720375115</v>
      </c>
      <c r="AZ26" s="198">
        <f t="shared" si="13"/>
        <v>838.9896092720054</v>
      </c>
      <c r="BA26" s="198">
        <f t="shared" si="13"/>
        <v>820.63651416276116</v>
      </c>
      <c r="BB26" s="199">
        <f t="shared" si="13"/>
        <v>896.14366151106196</v>
      </c>
      <c r="BC26" s="199">
        <f t="shared" si="13"/>
        <v>948.07054234680652</v>
      </c>
      <c r="BD26" s="199">
        <f t="shared" si="13"/>
        <v>984.13936349471817</v>
      </c>
      <c r="BE26" s="147">
        <f t="shared" si="13"/>
        <v>948.07054234680652</v>
      </c>
      <c r="BF26" s="200">
        <f t="shared" si="13"/>
        <v>1090</v>
      </c>
      <c r="BG26" s="201">
        <f>BF26-BE26</f>
        <v>141.92945765319348</v>
      </c>
      <c r="BH26" s="202">
        <f>BG26/BE26</f>
        <v>0.14970347807861256</v>
      </c>
      <c r="BJ26" s="182">
        <v>1074</v>
      </c>
      <c r="BK26" t="s">
        <v>456</v>
      </c>
      <c r="BL26" t="s">
        <v>457</v>
      </c>
      <c r="BM26" t="s">
        <v>458</v>
      </c>
      <c r="BO26" t="s">
        <v>463</v>
      </c>
      <c r="BP26" t="s">
        <v>464</v>
      </c>
    </row>
    <row r="27" spans="20:68" x14ac:dyDescent="0.35">
      <c r="T27" s="117" t="s">
        <v>386</v>
      </c>
      <c r="U27" s="117"/>
      <c r="V27" s="134">
        <f>U27*$U$3</f>
        <v>0</v>
      </c>
      <c r="W27" s="118">
        <v>0.4</v>
      </c>
      <c r="X27" s="134">
        <f t="shared" si="14"/>
        <v>8043.9560439560437</v>
      </c>
      <c r="Y27" s="117"/>
      <c r="Z27" s="134">
        <f>Y27*$Y$3</f>
        <v>0</v>
      </c>
      <c r="AA27" s="118">
        <v>0.5</v>
      </c>
      <c r="AB27" s="134">
        <f>AA27*$AA$3</f>
        <v>7777.6432381947452</v>
      </c>
      <c r="AC27" s="118">
        <v>0.1</v>
      </c>
      <c r="AD27" s="134">
        <f>AC27*$AC$3</f>
        <v>1434.1250211551117</v>
      </c>
      <c r="AE27" s="117"/>
      <c r="AF27" s="117">
        <f>AE27*$AE$3</f>
        <v>0</v>
      </c>
      <c r="AG27" s="122">
        <f t="shared" si="10"/>
        <v>1</v>
      </c>
      <c r="AH27" s="177">
        <f t="shared" si="10"/>
        <v>17255.724303305902</v>
      </c>
      <c r="AI27" s="175">
        <f t="shared" si="11"/>
        <v>19120.674286187186</v>
      </c>
      <c r="AJ27" s="194">
        <f t="shared" si="11"/>
        <v>20394.530135995927</v>
      </c>
      <c r="AK27" s="175">
        <f t="shared" si="12"/>
        <v>21746.867625313171</v>
      </c>
      <c r="AL27" s="172">
        <f t="shared" si="11"/>
        <v>23747.807030043143</v>
      </c>
      <c r="AM27" s="172">
        <f>AL27+$AM$1</f>
        <v>25123.869372190373</v>
      </c>
      <c r="AN27" s="172">
        <f>AL27+$AN$1</f>
        <v>26079.693132610031</v>
      </c>
      <c r="AO27" s="175">
        <f>AM27</f>
        <v>25123.869372190373</v>
      </c>
      <c r="AP27" s="130">
        <f>$AP$4*AQ27/1000</f>
        <v>30740</v>
      </c>
      <c r="AQ27" s="130">
        <f>AQ7</f>
        <v>1160</v>
      </c>
      <c r="AR27" s="130">
        <f>AP27-AO27</f>
        <v>5616.1306278096272</v>
      </c>
      <c r="AS27" s="153">
        <f>AR27/AP27</f>
        <v>0.1826978083217185</v>
      </c>
      <c r="AU27" s="109">
        <f>AH27/$AP$4*1000</f>
        <v>651.1594076719208</v>
      </c>
      <c r="AX27" s="147">
        <f t="shared" si="13"/>
        <v>651.1594076719208</v>
      </c>
      <c r="AY27" s="198">
        <f t="shared" si="13"/>
        <v>721.5348787240448</v>
      </c>
      <c r="AZ27" s="198">
        <f t="shared" si="13"/>
        <v>769.60491079229905</v>
      </c>
      <c r="BA27" s="198">
        <f t="shared" si="13"/>
        <v>820.63651416276116</v>
      </c>
      <c r="BB27" s="199">
        <f t="shared" si="13"/>
        <v>896.14366151106196</v>
      </c>
      <c r="BC27" s="199">
        <f t="shared" si="13"/>
        <v>948.07054234680652</v>
      </c>
      <c r="BD27" s="199">
        <f t="shared" si="13"/>
        <v>984.13936349471817</v>
      </c>
      <c r="BE27" s="147">
        <f t="shared" si="13"/>
        <v>948.07054234680652</v>
      </c>
      <c r="BF27" s="200">
        <f t="shared" si="13"/>
        <v>1160</v>
      </c>
      <c r="BG27" s="201">
        <f>BF27-BE27</f>
        <v>211.92945765319348</v>
      </c>
      <c r="BH27" s="202">
        <f>BG27/BE27</f>
        <v>0.22353764639558768</v>
      </c>
    </row>
    <row r="28" spans="20:68"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10"/>
        <v>1</v>
      </c>
      <c r="AH28" s="177">
        <f t="shared" si="10"/>
        <v>18853.682855909705</v>
      </c>
      <c r="AI28" s="175">
        <f t="shared" si="11"/>
        <v>20718.632838790989</v>
      </c>
      <c r="AJ28" s="194">
        <f t="shared" si="11"/>
        <v>21992.488688599726</v>
      </c>
      <c r="AK28" s="175">
        <f t="shared" si="12"/>
        <v>21746.867625313171</v>
      </c>
      <c r="AL28" s="322">
        <f t="shared" si="11"/>
        <v>23747.807030043143</v>
      </c>
      <c r="AM28" s="172">
        <f>AL28+$AM$1</f>
        <v>25123.869372190373</v>
      </c>
      <c r="AN28" s="172">
        <f>AL28+$AN$1</f>
        <v>26079.693132610031</v>
      </c>
      <c r="AO28" s="323">
        <f>AL28</f>
        <v>23747.807030043143</v>
      </c>
      <c r="AP28" s="130">
        <f>$AP$4*AQ28/1000</f>
        <v>19080</v>
      </c>
      <c r="AQ28" s="130">
        <f>AQ10</f>
        <v>720</v>
      </c>
      <c r="AR28" s="183">
        <f>AP28-AO28</f>
        <v>-4667.8070300431427</v>
      </c>
      <c r="AS28" s="157">
        <f>AR28/AP28</f>
        <v>-0.24464397432091944</v>
      </c>
      <c r="AU28" s="109">
        <f>AH28/$AP$4*1000</f>
        <v>711.45973041168702</v>
      </c>
      <c r="AX28" s="147">
        <f t="shared" si="13"/>
        <v>711.45973041168702</v>
      </c>
      <c r="AY28" s="198">
        <f t="shared" si="13"/>
        <v>781.8352014638109</v>
      </c>
      <c r="AZ28" s="198">
        <f t="shared" si="13"/>
        <v>829.90523353206515</v>
      </c>
      <c r="BA28" s="198">
        <f t="shared" si="13"/>
        <v>820.63651416276116</v>
      </c>
      <c r="BB28" s="199">
        <f t="shared" si="13"/>
        <v>896.14366151106196</v>
      </c>
      <c r="BC28" s="199">
        <f t="shared" si="13"/>
        <v>948.07054234680652</v>
      </c>
      <c r="BD28" s="199">
        <f t="shared" si="13"/>
        <v>984.13936349471817</v>
      </c>
      <c r="BE28" s="147">
        <f t="shared" si="13"/>
        <v>896.14366151106196</v>
      </c>
      <c r="BF28" s="200">
        <f t="shared" si="13"/>
        <v>720</v>
      </c>
      <c r="BG28" s="400">
        <f>BF28-BE28</f>
        <v>-176.14366151106196</v>
      </c>
      <c r="BH28" s="401">
        <f>BG28/BE28</f>
        <v>-0.1965573926105236</v>
      </c>
      <c r="BK28" s="179" t="s">
        <v>460</v>
      </c>
      <c r="BL28" t="s">
        <v>459</v>
      </c>
      <c r="BM28" s="181" t="s">
        <v>461</v>
      </c>
    </row>
    <row r="29" spans="20:68" x14ac:dyDescent="0.35">
      <c r="T29" s="117" t="s">
        <v>373</v>
      </c>
      <c r="U29" s="118">
        <v>0.65</v>
      </c>
      <c r="V29" s="134">
        <f>U29*$U$3</f>
        <v>12367.733732482789</v>
      </c>
      <c r="W29" s="118">
        <v>0.15</v>
      </c>
      <c r="X29" s="134">
        <f t="shared" si="14"/>
        <v>3016.4835164835163</v>
      </c>
      <c r="Y29" s="117"/>
      <c r="Z29" s="134">
        <f>Y29*$Y$3</f>
        <v>0</v>
      </c>
      <c r="AA29" s="118">
        <v>0.2</v>
      </c>
      <c r="AB29" s="134">
        <f>AA29*$AA$3</f>
        <v>3111.0572952778984</v>
      </c>
      <c r="AC29" s="117"/>
      <c r="AD29" s="134">
        <f>AC29*$AC$3</f>
        <v>0</v>
      </c>
      <c r="AE29" s="117"/>
      <c r="AF29" s="117">
        <f>AE29*$AE$3</f>
        <v>0</v>
      </c>
      <c r="AG29" s="122">
        <f t="shared" si="10"/>
        <v>1</v>
      </c>
      <c r="AH29" s="177">
        <f t="shared" si="10"/>
        <v>18495.274544244203</v>
      </c>
      <c r="AI29" s="175">
        <f t="shared" si="11"/>
        <v>20360.224527125487</v>
      </c>
      <c r="AJ29" s="194">
        <f t="shared" si="11"/>
        <v>21634.080376934224</v>
      </c>
      <c r="AK29" s="323">
        <f t="shared" si="12"/>
        <v>21746.867625313171</v>
      </c>
      <c r="AL29" s="172">
        <f>+AK29</f>
        <v>21746.867625313171</v>
      </c>
      <c r="AM29" s="172">
        <f>AL29</f>
        <v>21746.867625313171</v>
      </c>
      <c r="AN29" s="172">
        <f>AM29</f>
        <v>21746.867625313171</v>
      </c>
      <c r="AO29" s="323">
        <f>AK29</f>
        <v>21746.867625313171</v>
      </c>
      <c r="AP29" s="130">
        <f>$AP$4*AQ29/1000</f>
        <v>19080</v>
      </c>
      <c r="AQ29" s="197">
        <v>720</v>
      </c>
      <c r="AR29" s="183">
        <f>AP29-AO29</f>
        <v>-2666.8676253131707</v>
      </c>
      <c r="AS29" s="157">
        <f>AR29/AP29</f>
        <v>-0.13977293633716828</v>
      </c>
      <c r="AU29" s="109">
        <f>AH29/$AP$4*1000</f>
        <v>697.93488846204548</v>
      </c>
      <c r="AX29" s="147">
        <f t="shared" si="13"/>
        <v>697.93488846204548</v>
      </c>
      <c r="AY29" s="198">
        <f t="shared" si="13"/>
        <v>768.31035951416936</v>
      </c>
      <c r="AZ29" s="198">
        <f t="shared" si="13"/>
        <v>816.38039158242361</v>
      </c>
      <c r="BA29" s="198">
        <f t="shared" si="13"/>
        <v>820.63651416276116</v>
      </c>
      <c r="BB29" s="199">
        <f t="shared" si="13"/>
        <v>820.63651416276116</v>
      </c>
      <c r="BC29" s="199">
        <f t="shared" si="13"/>
        <v>820.63651416276116</v>
      </c>
      <c r="BD29" s="199">
        <f t="shared" si="13"/>
        <v>820.63651416276116</v>
      </c>
      <c r="BE29" s="147">
        <f t="shared" si="13"/>
        <v>820.63651416276116</v>
      </c>
      <c r="BF29" s="200">
        <f t="shared" si="13"/>
        <v>720</v>
      </c>
      <c r="BG29" s="201">
        <f>BF29-BE29</f>
        <v>-100.63651416276116</v>
      </c>
      <c r="BH29" s="202">
        <f>BG29/BE29</f>
        <v>-0.12263226462136365</v>
      </c>
      <c r="BI29" s="130">
        <f>AQ29-AU29</f>
        <v>22.065111537954522</v>
      </c>
      <c r="BJ29" s="185">
        <f>BI29/AQ29</f>
        <v>3.064598824715906E-2</v>
      </c>
    </row>
    <row r="30" spans="20:68" x14ac:dyDescent="0.35">
      <c r="AJ30" s="191"/>
    </row>
    <row r="31" spans="20:68" x14ac:dyDescent="0.35">
      <c r="AJ31" s="191"/>
    </row>
    <row r="32" spans="20:68" x14ac:dyDescent="0.35">
      <c r="T32" s="119" t="s">
        <v>389</v>
      </c>
      <c r="AG32" s="126">
        <v>0.02</v>
      </c>
      <c r="AJ32" s="191"/>
    </row>
    <row r="33" spans="20: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5">
        <f>AI$1+AH33</f>
        <v>19060.009183013673</v>
      </c>
      <c r="AJ33" s="194">
        <f>AJ$1+AI33</f>
        <v>20333.86503282241</v>
      </c>
      <c r="AK33" s="175">
        <f>AK$1+$V$3</f>
        <v>21746.867625313171</v>
      </c>
      <c r="AL33" s="172">
        <f>AL$1+AK33</f>
        <v>23747.807030043143</v>
      </c>
      <c r="AM33" s="172">
        <f>AL33+$AM$1</f>
        <v>25123.869372190373</v>
      </c>
      <c r="AN33" s="172">
        <f>AL33+$AN$1</f>
        <v>26079.693132610031</v>
      </c>
      <c r="AO33" s="175">
        <f>AM33</f>
        <v>25123.869372190373</v>
      </c>
      <c r="AP33" s="130">
        <f>$AP$4*AQ33/1000</f>
        <v>19000.5</v>
      </c>
      <c r="AQ33" s="130">
        <v>717</v>
      </c>
      <c r="AR33" s="183">
        <f>AP33-AO33</f>
        <v>-6123.3693721903728</v>
      </c>
      <c r="AS33" s="157">
        <f>AR33/AP33</f>
        <v>-0.32227411763850283</v>
      </c>
      <c r="AX33" s="147">
        <f t="shared" ref="AX33:BF33" si="15">AH33/$AP$4*1000</f>
        <v>648.8701584955619</v>
      </c>
      <c r="AY33" s="198">
        <f t="shared" si="15"/>
        <v>719.24562954768578</v>
      </c>
      <c r="AZ33" s="198">
        <f t="shared" si="15"/>
        <v>767.31566161594003</v>
      </c>
      <c r="BA33" s="198">
        <f t="shared" si="15"/>
        <v>820.63651416276116</v>
      </c>
      <c r="BB33" s="199">
        <f t="shared" si="15"/>
        <v>896.14366151106196</v>
      </c>
      <c r="BC33" s="199">
        <f t="shared" si="15"/>
        <v>948.07054234680652</v>
      </c>
      <c r="BD33" s="199">
        <f t="shared" si="15"/>
        <v>984.13936349471817</v>
      </c>
      <c r="BE33" s="147">
        <f t="shared" si="15"/>
        <v>948.07054234680652</v>
      </c>
      <c r="BF33" s="200">
        <f t="shared" si="15"/>
        <v>717</v>
      </c>
      <c r="BG33" s="201">
        <f>BF33-BE33</f>
        <v>-231.07054234680652</v>
      </c>
      <c r="BH33" s="202">
        <f>BG33/BE33</f>
        <v>-0.24372716166755484</v>
      </c>
    </row>
    <row r="35" spans="20:70" x14ac:dyDescent="0.35">
      <c r="AE35" s="109">
        <f>'Giá mua Chai-Vảy'!O40</f>
        <v>12550</v>
      </c>
    </row>
    <row r="36" spans="20:70" x14ac:dyDescent="0.35">
      <c r="T36" s="119" t="s">
        <v>446</v>
      </c>
      <c r="AG36" s="126">
        <v>0.01</v>
      </c>
      <c r="AH36" s="121"/>
      <c r="AI36"/>
      <c r="AJ36"/>
    </row>
    <row r="37" spans="20: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AI$1+AH37</f>
        <v>14414.949982881282</v>
      </c>
      <c r="AJ37" s="194">
        <f>AJ$1+AI37</f>
        <v>15688.805832690021</v>
      </c>
      <c r="AK37" s="175">
        <f>AK$1+$V$3</f>
        <v>21746.867625313171</v>
      </c>
      <c r="AL37" s="172">
        <f>AL$1+AK37*$AK$2+AJ37*$AJ$2</f>
        <v>23747.807030043143</v>
      </c>
      <c r="AM37" s="172">
        <f>AL37+$AM$1</f>
        <v>25123.869372190373</v>
      </c>
      <c r="AN37" s="172">
        <f>AL37+$AN$1</f>
        <v>26079.693132610031</v>
      </c>
      <c r="AO37" s="175">
        <f>AM37</f>
        <v>25123.869372190373</v>
      </c>
      <c r="AP37" s="130">
        <f>$AP$4*AQ37/1000</f>
        <v>19000.5</v>
      </c>
      <c r="AQ37" s="130">
        <v>717</v>
      </c>
      <c r="AR37" s="183">
        <f>AP37-AO37</f>
        <v>-6123.3693721903728</v>
      </c>
      <c r="AS37" s="157">
        <f>AR37/AP37</f>
        <v>-0.32227411763850283</v>
      </c>
      <c r="AX37" s="147">
        <f t="shared" ref="AX37:BF37" si="16">AH37/$AP$4*1000</f>
        <v>473.58490566037739</v>
      </c>
      <c r="AY37" s="198">
        <f t="shared" si="16"/>
        <v>543.96037671250122</v>
      </c>
      <c r="AZ37" s="198">
        <f t="shared" si="16"/>
        <v>592.03040878075558</v>
      </c>
      <c r="BA37" s="198">
        <f t="shared" si="16"/>
        <v>820.63651416276116</v>
      </c>
      <c r="BB37" s="199">
        <f t="shared" si="16"/>
        <v>896.14366151106196</v>
      </c>
      <c r="BC37" s="199">
        <f t="shared" si="16"/>
        <v>948.07054234680652</v>
      </c>
      <c r="BD37" s="199">
        <f t="shared" si="16"/>
        <v>984.13936349471817</v>
      </c>
      <c r="BE37" s="147">
        <f t="shared" si="16"/>
        <v>948.07054234680652</v>
      </c>
      <c r="BF37" s="200">
        <f t="shared" si="16"/>
        <v>717</v>
      </c>
      <c r="BG37" s="201">
        <f>BF37-BE37</f>
        <v>-231.07054234680652</v>
      </c>
      <c r="BH37" s="202">
        <f>BG37/BE37</f>
        <v>-0.24372716166755484</v>
      </c>
      <c r="BJ37" s="109">
        <f>'Hảo_R&amp;D (Hạt) (full stage)-Chai'!BE37</f>
        <v>631.27894410716067</v>
      </c>
      <c r="BK37" s="109">
        <f>'Hảo_R&amp;D (Hạt) (full stage)-MN'!BE37</f>
        <v>948.07054234680652</v>
      </c>
      <c r="BL37" s="109">
        <f>BE37</f>
        <v>948.07054234680652</v>
      </c>
      <c r="BM37" s="130">
        <f>BJ37-BK37</f>
        <v>-316.79159823964585</v>
      </c>
      <c r="BO37" s="109">
        <f>'Hảo_R&amp;D (Hạt) (full stage)-Chai'!AO37</f>
        <v>16728.892018839757</v>
      </c>
      <c r="BP37" s="109">
        <f>'Hảo_R&amp;D (Hạt) (full stage)-MN'!AO37</f>
        <v>25123.869372190373</v>
      </c>
      <c r="BQ37" s="109">
        <f>AO37</f>
        <v>25123.869372190373</v>
      </c>
      <c r="BR37" s="130">
        <f>BO37-BP37</f>
        <v>-8394.9773533506159</v>
      </c>
    </row>
  </sheetData>
  <mergeCells count="2">
    <mergeCell ref="AG3:AH3"/>
    <mergeCell ref="AW3:AX3"/>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EC90-01F3-4CAC-9289-06674449A7CA}">
  <sheetPr>
    <tabColor rgb="FFFFFF00"/>
  </sheetPr>
  <dimension ref="B1:BZ37"/>
  <sheetViews>
    <sheetView topLeftCell="D1" zoomScale="85" zoomScaleNormal="85" workbookViewId="0">
      <pane xSplit="17" ySplit="5" topLeftCell="Y6" activePane="bottomRight" state="frozen"/>
      <selection activeCell="S1" sqref="S1"/>
      <selection pane="topRight" activeCell="U1" sqref="U1"/>
      <selection pane="bottomLeft" activeCell="S6" sqref="S6"/>
      <selection pane="bottomRight" activeCell="Z19" sqref="Z19"/>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7.7265625" style="121" customWidth="1"/>
    <col min="34" max="34" width="8.7265625" style="133" customWidth="1"/>
    <col min="35" max="35" width="11" style="133" customWidth="1"/>
    <col min="36" max="36" width="11.1796875" style="133" customWidth="1"/>
    <col min="37" max="37" width="11.453125" style="133" customWidth="1"/>
    <col min="38" max="40" width="10.1796875" style="121" customWidth="1"/>
    <col min="41" max="41" width="10.1796875" style="133" customWidth="1"/>
    <col min="42" max="42" width="11.81640625" style="121" bestFit="1" customWidth="1"/>
    <col min="43" max="43" width="8.08984375" bestFit="1" customWidth="1"/>
    <col min="47" max="47" width="10.26953125" bestFit="1" customWidth="1"/>
    <col min="48" max="48" width="5.90625" customWidth="1"/>
    <col min="49" max="49" width="6.81640625" customWidth="1"/>
    <col min="50" max="50" width="6.6328125" customWidth="1"/>
    <col min="51" max="52" width="8.81640625" bestFit="1" customWidth="1"/>
    <col min="53" max="53" width="11.36328125" customWidth="1"/>
    <col min="54" max="54" width="9.26953125" bestFit="1" customWidth="1"/>
    <col min="55" max="55" width="10.36328125" customWidth="1"/>
    <col min="56" max="56" width="9.7265625" bestFit="1" customWidth="1"/>
    <col min="57" max="57" width="10.90625" customWidth="1"/>
    <col min="58" max="58" width="12.6328125" bestFit="1" customWidth="1"/>
    <col min="62" max="62" width="9.7265625" bestFit="1" customWidth="1"/>
    <col min="63" max="64" width="8.81640625" bestFit="1" customWidth="1"/>
    <col min="70" max="70" width="7.7265625" bestFit="1" customWidth="1"/>
  </cols>
  <sheetData>
    <row r="1" spans="2:70" ht="21" customHeight="1" x14ac:dyDescent="0.35">
      <c r="B1" s="113" t="s">
        <v>364</v>
      </c>
      <c r="T1" s="121" t="s">
        <v>447</v>
      </c>
      <c r="U1" s="109">
        <f>'Hảo_R&amp;D'!AK1</f>
        <v>14800</v>
      </c>
      <c r="V1" s="109">
        <v>18300</v>
      </c>
      <c r="W1" s="132">
        <f>'Hảo_R&amp;D'!AM1</f>
        <v>16300</v>
      </c>
      <c r="X1" s="132">
        <f>W3-W1-X3</f>
        <v>-847.55675534306283</v>
      </c>
      <c r="Y1" s="109">
        <f>'Hảo_R&amp;D'!AO1</f>
        <v>14800</v>
      </c>
      <c r="AA1" s="109">
        <f>'Hảo_R&amp;D'!AQ1</f>
        <v>13300</v>
      </c>
      <c r="AB1" s="132"/>
      <c r="AC1" s="168">
        <f>'Hảo_R&amp;D'!AS1</f>
        <v>7971.0144927536239</v>
      </c>
      <c r="AD1" s="171">
        <f>'[5]16.1 Rửa vảy B7'!$I$10</f>
        <v>84.555434657824762</v>
      </c>
      <c r="AE1" s="109">
        <f>'Hảo_R&amp;D'!AU1</f>
        <v>13300</v>
      </c>
      <c r="AI1" s="193">
        <f>'H_Tỷ lệ HH&amp;PS'!BW6</f>
        <v>1864.9499828812825</v>
      </c>
      <c r="AJ1" s="170">
        <f>'H_Tỷ lệ HH&amp;PS'!BX6</f>
        <v>1273.8558498087386</v>
      </c>
      <c r="AK1" s="170">
        <f>'[5]12. 100% vảy-&gt;hạt WSS01-iSS01'!$I$10</f>
        <v>1636.9775154230633</v>
      </c>
      <c r="AL1" s="176">
        <f>'H_Tỷ lệ HH&amp;PS'!BY6</f>
        <v>2000.939404729972</v>
      </c>
      <c r="AM1" s="176">
        <f>'H_Tỷ lệ HH&amp;PS'!BZ6</f>
        <v>1376.0623421472308</v>
      </c>
      <c r="AN1" s="176">
        <f>'[5]11. 100% chai-&gt;hạt iSS01084G'!$I$83</f>
        <v>2331.8861025668875</v>
      </c>
      <c r="AO1" s="195">
        <f>AM1/8</f>
        <v>172.00779276840385</v>
      </c>
      <c r="AP1" s="275">
        <f>AN1/10</f>
        <v>233.18861025668875</v>
      </c>
      <c r="AQ1" s="320">
        <f>AI1+AJ1+AL1+AM1</f>
        <v>6515.8075795672239</v>
      </c>
      <c r="AR1" s="320">
        <f>AK1+AL1+AM1+AK4</f>
        <v>7013.9792623002659</v>
      </c>
      <c r="AS1" s="398">
        <f>AQ1-AR1</f>
        <v>-498.17168273304196</v>
      </c>
      <c r="AT1" s="156">
        <f>AS1/AQ1</f>
        <v>-7.6455861633367969E-2</v>
      </c>
      <c r="AY1" s="130">
        <f t="shared" ref="AY1:BD1" si="0">AI1/$AP$4*1000</f>
        <v>70.375471052123871</v>
      </c>
      <c r="AZ1" s="271">
        <f t="shared" si="0"/>
        <v>48.070032068254292</v>
      </c>
      <c r="BA1" s="272">
        <f t="shared" si="0"/>
        <v>61.772736431058995</v>
      </c>
      <c r="BB1" s="130">
        <f t="shared" si="0"/>
        <v>75.507147348300833</v>
      </c>
      <c r="BC1" s="130">
        <f t="shared" si="0"/>
        <v>51.926880835744555</v>
      </c>
      <c r="BD1" s="130">
        <f t="shared" si="0"/>
        <v>87.995701983656133</v>
      </c>
      <c r="BE1" s="306">
        <f>SUM(AY1,AZ1,BB1,BC1)</f>
        <v>245.87953130442355</v>
      </c>
      <c r="BF1" s="305">
        <f>SUM(AY1,BA1,BB1,BC1)</f>
        <v>259.58223566722825</v>
      </c>
      <c r="BG1" s="130">
        <f>BE1-BF1</f>
        <v>-13.702704362804695</v>
      </c>
    </row>
    <row r="2" spans="2:70" ht="32" customHeight="1" x14ac:dyDescent="0.35">
      <c r="B2" s="114" t="s">
        <v>365</v>
      </c>
      <c r="T2" s="162" t="s">
        <v>634</v>
      </c>
      <c r="U2" s="157">
        <f>'Hảo_R&amp;D'!AK2</f>
        <v>0.77783045852077959</v>
      </c>
      <c r="V2" s="396">
        <v>0.91</v>
      </c>
      <c r="W2" s="283">
        <f>'Hảo_R&amp;D'!AM2</f>
        <v>0.8081674874213195</v>
      </c>
      <c r="X2" s="132">
        <f>'[5]12. 100% vảy-&gt;hạt WSS01-iSS01'!$I$10</f>
        <v>1636.9775154230633</v>
      </c>
      <c r="Y2" s="157">
        <f>'Hảo_R&amp;D'!AO2</f>
        <v>0.85501479000000002</v>
      </c>
      <c r="AA2" s="157">
        <f>'Hảo_R&amp;D'!AQ2</f>
        <v>0.85501479000000002</v>
      </c>
      <c r="AE2" s="157">
        <f>'Hảo_R&amp;D'!AU2</f>
        <v>0.773478</v>
      </c>
      <c r="AG2" s="120" t="s">
        <v>544</v>
      </c>
      <c r="AI2" s="319">
        <f>AJ1-AK1</f>
        <v>-363.12166561432468</v>
      </c>
      <c r="AJ2" s="204">
        <v>0.5</v>
      </c>
      <c r="AK2" s="258">
        <v>0.5</v>
      </c>
      <c r="AL2" s="196">
        <f>AL1*1000/$AP$4</f>
        <v>75.507147348300833</v>
      </c>
      <c r="AM2" s="196">
        <f>AM1*1000/$AP$4</f>
        <v>51.926880835744562</v>
      </c>
      <c r="AN2" s="196">
        <f>AN1*1000/$AP$4</f>
        <v>87.995701983656133</v>
      </c>
      <c r="AO2" s="162" t="s">
        <v>513</v>
      </c>
      <c r="BD2" s="130">
        <f>BD1-BC1</f>
        <v>36.068821147911578</v>
      </c>
      <c r="BE2" s="407" t="s">
        <v>637</v>
      </c>
      <c r="BF2" s="74" t="s">
        <v>638</v>
      </c>
    </row>
    <row r="3" spans="2:70" ht="43.5" x14ac:dyDescent="0.35">
      <c r="T3" s="162" t="s">
        <v>448</v>
      </c>
      <c r="U3" s="169">
        <f>U1/U2</f>
        <v>19027.282665358136</v>
      </c>
      <c r="V3" s="397">
        <f>V1/V2</f>
        <v>20109.890109890108</v>
      </c>
      <c r="W3" s="131">
        <f>W1/W2</f>
        <v>20169.086549138014</v>
      </c>
      <c r="X3" s="170">
        <f>'[5]10. 100% chai-&gt;hạt WSS01-iSS01'!$I$21+'[5]10. 100% chai-&gt;hạt WSS01-iSS01'!$I$37</f>
        <v>4716.6433044810765</v>
      </c>
      <c r="Y3" s="169">
        <f>Y1/Y2</f>
        <v>17309.642094027404</v>
      </c>
      <c r="Z3" s="132"/>
      <c r="AA3" s="169">
        <f>AA1/AA2</f>
        <v>15555.28647638949</v>
      </c>
      <c r="AB3" s="132"/>
      <c r="AC3" s="169">
        <f>'[5]16.1 Rửa vảy B7'!$I$48</f>
        <v>14341.250211551116</v>
      </c>
      <c r="AD3" s="109"/>
      <c r="AE3" s="169">
        <f>AE1/AE2</f>
        <v>17195.059200132389</v>
      </c>
      <c r="AG3" s="937" t="s">
        <v>471</v>
      </c>
      <c r="AH3" s="937"/>
      <c r="AI3" s="672" t="s">
        <v>467</v>
      </c>
      <c r="AJ3" s="260" t="s">
        <v>468</v>
      </c>
      <c r="AK3" s="259" t="s">
        <v>469</v>
      </c>
      <c r="AL3" s="173" t="s">
        <v>450</v>
      </c>
      <c r="AM3" s="173" t="s">
        <v>451</v>
      </c>
      <c r="AN3" s="173" t="s">
        <v>452</v>
      </c>
      <c r="AO3" s="162" t="s">
        <v>453</v>
      </c>
      <c r="AP3" s="406" t="s">
        <v>391</v>
      </c>
      <c r="AQ3" s="203" t="s">
        <v>393</v>
      </c>
      <c r="AR3" s="207" t="s">
        <v>454</v>
      </c>
      <c r="AS3" s="207" t="s">
        <v>455</v>
      </c>
      <c r="AT3" t="s">
        <v>465</v>
      </c>
      <c r="AU3" s="399" t="s">
        <v>462</v>
      </c>
      <c r="AW3" s="937" t="s">
        <v>471</v>
      </c>
      <c r="AX3" s="937"/>
      <c r="AY3" s="190" t="s">
        <v>467</v>
      </c>
      <c r="AZ3" s="190" t="s">
        <v>468</v>
      </c>
      <c r="BA3" s="190" t="s">
        <v>469</v>
      </c>
      <c r="BB3" s="173" t="s">
        <v>450</v>
      </c>
      <c r="BC3" s="173" t="s">
        <v>451</v>
      </c>
      <c r="BD3" s="173" t="s">
        <v>452</v>
      </c>
      <c r="BE3" s="162" t="s">
        <v>453</v>
      </c>
      <c r="BF3" s="2" t="s">
        <v>391</v>
      </c>
      <c r="BG3" s="203" t="s">
        <v>454</v>
      </c>
      <c r="BH3" s="3" t="s">
        <v>455</v>
      </c>
      <c r="BI3" s="207" t="s">
        <v>474</v>
      </c>
      <c r="BJ3" s="206" t="s">
        <v>403</v>
      </c>
      <c r="BK3" s="206" t="s">
        <v>473</v>
      </c>
      <c r="BL3" s="206" t="s">
        <v>472</v>
      </c>
      <c r="BM3" s="270" t="s">
        <v>512</v>
      </c>
      <c r="BN3" s="207" t="s">
        <v>474</v>
      </c>
      <c r="BO3" s="206" t="s">
        <v>403</v>
      </c>
      <c r="BP3" s="206" t="s">
        <v>473</v>
      </c>
      <c r="BQ3" s="206" t="s">
        <v>472</v>
      </c>
      <c r="BR3" s="270" t="s">
        <v>515</v>
      </c>
    </row>
    <row r="4" spans="2:70" x14ac:dyDescent="0.35">
      <c r="T4" s="120" t="s">
        <v>366</v>
      </c>
      <c r="U4" s="115" t="s">
        <v>367</v>
      </c>
      <c r="W4" s="115" t="s">
        <v>374</v>
      </c>
      <c r="Y4" s="115" t="s">
        <v>375</v>
      </c>
      <c r="AA4" s="115" t="s">
        <v>382</v>
      </c>
      <c r="AC4" s="115" t="s">
        <v>384</v>
      </c>
      <c r="AE4" s="115" t="s">
        <v>385</v>
      </c>
      <c r="AG4" s="127" t="s">
        <v>376</v>
      </c>
      <c r="AI4" s="191"/>
      <c r="AJ4" s="205">
        <f>AJ9-AK9</f>
        <v>504.11595216934074</v>
      </c>
      <c r="AK4" s="318">
        <f>V1-W1</f>
        <v>2000</v>
      </c>
      <c r="AP4" s="276">
        <v>26500</v>
      </c>
      <c r="BG4" s="3"/>
      <c r="BH4" s="3"/>
    </row>
    <row r="5" spans="2:70"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92" t="s">
        <v>372</v>
      </c>
      <c r="AJ5" s="192" t="s">
        <v>372</v>
      </c>
      <c r="AK5" s="192" t="s">
        <v>372</v>
      </c>
      <c r="AL5" s="123" t="s">
        <v>372</v>
      </c>
      <c r="AM5" s="123" t="s">
        <v>372</v>
      </c>
      <c r="AN5" s="123" t="s">
        <v>372</v>
      </c>
      <c r="AO5" s="174" t="s">
        <v>372</v>
      </c>
      <c r="AP5" s="123" t="s">
        <v>372</v>
      </c>
      <c r="AQ5" t="s">
        <v>392</v>
      </c>
      <c r="BG5" s="3"/>
      <c r="BH5" s="3"/>
    </row>
    <row r="6" spans="2:70" x14ac:dyDescent="0.35">
      <c r="T6" s="119" t="s">
        <v>390</v>
      </c>
      <c r="AG6" s="128">
        <v>0.3</v>
      </c>
      <c r="AJ6" s="205">
        <f>AJ7-AK7</f>
        <v>1446.8443681368808</v>
      </c>
      <c r="BG6" s="3"/>
      <c r="BH6" s="3"/>
    </row>
    <row r="7" spans="2:70"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 t="shared" ref="AG7:AH11" si="1">U7+W7+Y7+AA7+AC7+AE7</f>
        <v>1</v>
      </c>
      <c r="AH7" s="177">
        <f>V7+X7+Z7+AB7+AD7+AF7</f>
        <v>20054.906160760027</v>
      </c>
      <c r="AI7" s="175">
        <f>AI$1+AH7</f>
        <v>21919.856143641311</v>
      </c>
      <c r="AJ7" s="194">
        <f>AJ$1+AI7</f>
        <v>23193.711993450052</v>
      </c>
      <c r="AK7" s="175">
        <f>AK$1+$V$3</f>
        <v>21746.867625313171</v>
      </c>
      <c r="AL7" s="172">
        <f>AL$1+AK7*$AK$2+AJ7*$AJ$2</f>
        <v>24471.229214111583</v>
      </c>
      <c r="AM7" s="172">
        <f>AL7+$AM$1</f>
        <v>25847.291556258813</v>
      </c>
      <c r="AN7" s="172">
        <f>AL7+$AN$1</f>
        <v>26803.115316678472</v>
      </c>
      <c r="AO7" s="175">
        <f>AM7</f>
        <v>25847.291556258813</v>
      </c>
      <c r="AP7" s="196">
        <f>$AP$4*AQ7/1000</f>
        <v>30740</v>
      </c>
      <c r="AQ7" s="109">
        <v>1160</v>
      </c>
      <c r="AR7" s="130">
        <f>AP7-AO7</f>
        <v>4892.7084437411868</v>
      </c>
      <c r="AS7" s="153">
        <f>AR7/AP7</f>
        <v>0.15916423044050707</v>
      </c>
      <c r="AU7" s="109">
        <f>AJ7/$AP$4*1.1*1000</f>
        <v>962.757856331889</v>
      </c>
      <c r="AX7" s="147">
        <f>AH7/$AP$4*1000</f>
        <v>756.78891172679357</v>
      </c>
      <c r="AY7" s="198">
        <f t="shared" ref="AY7:BF12" si="2">AI7/$AP$4*1000</f>
        <v>827.16438277891734</v>
      </c>
      <c r="AZ7" s="198">
        <f t="shared" si="2"/>
        <v>875.23441484717182</v>
      </c>
      <c r="BA7" s="198">
        <f t="shared" si="2"/>
        <v>820.63651416276116</v>
      </c>
      <c r="BB7" s="199">
        <f t="shared" si="2"/>
        <v>923.44261185326729</v>
      </c>
      <c r="BC7" s="199">
        <f t="shared" si="2"/>
        <v>975.36949268901185</v>
      </c>
      <c r="BD7" s="199">
        <f t="shared" si="2"/>
        <v>1011.4383138369234</v>
      </c>
      <c r="BE7" s="147">
        <f>AO7/$AP$4*1000</f>
        <v>975.36949268901185</v>
      </c>
      <c r="BF7" s="200">
        <f t="shared" si="2"/>
        <v>1160</v>
      </c>
      <c r="BG7" s="201">
        <f>BF7-BE7</f>
        <v>184.63050731098815</v>
      </c>
      <c r="BH7" s="202">
        <f>BG7/BE7</f>
        <v>0.1892928871519011</v>
      </c>
      <c r="BJ7" s="109">
        <f>'Hảo_R&amp;D (Hạt) (full stage)-Chai'!BE7</f>
        <v>1002.6684430312172</v>
      </c>
      <c r="BK7" s="109">
        <f>'Hảo_R&amp;D (Hạt) (full stage)-MN'!BE7</f>
        <v>948.07054234680652</v>
      </c>
      <c r="BL7" s="109">
        <f>BE7</f>
        <v>975.36949268901185</v>
      </c>
      <c r="BM7" s="130">
        <f>BJ7-BK7</f>
        <v>54.597900684410661</v>
      </c>
      <c r="BO7" s="109">
        <f>'Hảo_R&amp;D (Hạt) (full stage)-Chai'!AO7</f>
        <v>26570.713740327254</v>
      </c>
      <c r="BP7" s="109">
        <f>'Hảo_R&amp;D (Hạt) (full stage)-MN'!AO7</f>
        <v>25123.869372190373</v>
      </c>
      <c r="BQ7" s="109">
        <f>AO7</f>
        <v>25847.291556258813</v>
      </c>
      <c r="BR7" s="130">
        <f>BO7-BP7</f>
        <v>1446.8443681368808</v>
      </c>
    </row>
    <row r="8" spans="2:70"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si="1"/>
        <v>1</v>
      </c>
      <c r="AH8" s="177">
        <f t="shared" si="1"/>
        <v>19826.54538400405</v>
      </c>
      <c r="AI8" s="175">
        <f t="shared" ref="AI8:AJ11" si="3">AI$1+AH8</f>
        <v>21691.495366885334</v>
      </c>
      <c r="AJ8" s="194">
        <f t="shared" si="3"/>
        <v>22965.351216694071</v>
      </c>
      <c r="AK8" s="175">
        <f t="shared" ref="AK8:AK11" si="4">AK$1+$V$3</f>
        <v>21746.867625313171</v>
      </c>
      <c r="AL8" s="172">
        <f>AL$1+AK8*$AK$2+AJ8*$AJ$2</f>
        <v>24357.048825733593</v>
      </c>
      <c r="AM8" s="172">
        <f>AL8+$AM$1</f>
        <v>25733.111167880823</v>
      </c>
      <c r="AN8" s="172">
        <f>AL8+$AN$1</f>
        <v>26688.934928300481</v>
      </c>
      <c r="AO8" s="175">
        <f>AM8</f>
        <v>25733.111167880823</v>
      </c>
      <c r="AP8" s="196">
        <f>$AP$4*AQ8/1000</f>
        <v>31535</v>
      </c>
      <c r="AQ8" s="130">
        <f>AQ7+30</f>
        <v>1190</v>
      </c>
      <c r="AR8" s="130">
        <f>AP8-AO8</f>
        <v>5801.8888321191771</v>
      </c>
      <c r="AS8" s="153">
        <f>AR8/AP8</f>
        <v>0.18398252202692808</v>
      </c>
      <c r="AU8" s="109">
        <f t="shared" ref="AU8:AU11" si="5">AJ8/$AP$4*1.1*1000</f>
        <v>953.27872974956529</v>
      </c>
      <c r="AX8" s="147">
        <f>AH8/$AP$4*1000</f>
        <v>748.17152392468108</v>
      </c>
      <c r="AY8" s="198">
        <f t="shared" si="2"/>
        <v>818.54699497680508</v>
      </c>
      <c r="AZ8" s="198">
        <f t="shared" si="2"/>
        <v>866.61702704505933</v>
      </c>
      <c r="BA8" s="198">
        <f t="shared" si="2"/>
        <v>820.63651416276116</v>
      </c>
      <c r="BB8" s="199">
        <f t="shared" si="2"/>
        <v>919.13391795221105</v>
      </c>
      <c r="BC8" s="199">
        <f t="shared" si="2"/>
        <v>971.0607987879556</v>
      </c>
      <c r="BD8" s="199">
        <f t="shared" si="2"/>
        <v>1007.1296199358673</v>
      </c>
      <c r="BE8" s="147">
        <f t="shared" si="2"/>
        <v>971.0607987879556</v>
      </c>
      <c r="BF8" s="200">
        <f t="shared" si="2"/>
        <v>1190</v>
      </c>
      <c r="BG8" s="201">
        <f>BF8-BE8</f>
        <v>218.9392012120444</v>
      </c>
      <c r="BH8" s="202">
        <f>BG8/BE8</f>
        <v>0.22546394776240242</v>
      </c>
      <c r="BJ8" s="109">
        <f>'Hảo_R&amp;D (Hạt) (full stage)-Chai'!BE8</f>
        <v>994.05105522910469</v>
      </c>
      <c r="BK8" s="109">
        <f>'Hảo_R&amp;D (Hạt) (full stage)-MN'!BE8</f>
        <v>948.07054234680652</v>
      </c>
      <c r="BL8" s="109">
        <f>BE8</f>
        <v>971.0607987879556</v>
      </c>
      <c r="BM8" s="130">
        <f>BJ8-BK8</f>
        <v>45.980512882298171</v>
      </c>
      <c r="BO8" s="109">
        <f>'Hảo_R&amp;D (Hạt) (full stage)-Chai'!AO8</f>
        <v>26342.352963571273</v>
      </c>
      <c r="BP8" s="109">
        <f>'Hảo_R&amp;D (Hạt) (full stage)-MN'!AO8</f>
        <v>25123.869372190373</v>
      </c>
      <c r="BQ8" s="109">
        <f>AO8</f>
        <v>25733.111167880823</v>
      </c>
      <c r="BR8" s="130">
        <f>BO8-BP8</f>
        <v>1218.4835913809002</v>
      </c>
    </row>
    <row r="9" spans="2:70"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1"/>
        <v>1</v>
      </c>
      <c r="AH9" s="177">
        <f t="shared" si="1"/>
        <v>19112.177744792491</v>
      </c>
      <c r="AI9" s="175">
        <f t="shared" si="3"/>
        <v>20977.127727673775</v>
      </c>
      <c r="AJ9" s="194">
        <f t="shared" si="3"/>
        <v>22250.983577482511</v>
      </c>
      <c r="AK9" s="175">
        <f t="shared" si="4"/>
        <v>21746.867625313171</v>
      </c>
      <c r="AL9" s="172">
        <f>AL$1+AK9*$AK$2+AJ9*$AJ$2</f>
        <v>23999.865006127813</v>
      </c>
      <c r="AM9" s="172">
        <f>AL9+$AM$1</f>
        <v>25375.927348275043</v>
      </c>
      <c r="AN9" s="172">
        <f>AL9+$AN$1</f>
        <v>26331.751108694702</v>
      </c>
      <c r="AO9" s="175">
        <f>AM9</f>
        <v>25375.927348275043</v>
      </c>
      <c r="AP9" s="196">
        <f>$AP$4*AQ9/1000</f>
        <v>28885</v>
      </c>
      <c r="AQ9" s="130">
        <f>AQ7-70</f>
        <v>1090</v>
      </c>
      <c r="AR9" s="130">
        <f>AP9-AO9</f>
        <v>3509.0726517249568</v>
      </c>
      <c r="AS9" s="153">
        <f>AR9/AP9</f>
        <v>0.12148425313224707</v>
      </c>
      <c r="AU9" s="109">
        <f t="shared" si="5"/>
        <v>923.62573340493452</v>
      </c>
      <c r="AX9" s="147">
        <f>AH9/$AP$4*1000</f>
        <v>721.2142545204714</v>
      </c>
      <c r="AY9" s="198">
        <f t="shared" si="2"/>
        <v>791.58972557259517</v>
      </c>
      <c r="AZ9" s="198">
        <f t="shared" si="2"/>
        <v>839.65975764084942</v>
      </c>
      <c r="BA9" s="198">
        <f t="shared" si="2"/>
        <v>820.63651416276116</v>
      </c>
      <c r="BB9" s="199">
        <f t="shared" si="2"/>
        <v>905.65528325010609</v>
      </c>
      <c r="BC9" s="199">
        <f t="shared" si="2"/>
        <v>957.58216408585076</v>
      </c>
      <c r="BD9" s="199">
        <f t="shared" si="2"/>
        <v>993.6509852337623</v>
      </c>
      <c r="BE9" s="147">
        <f t="shared" si="2"/>
        <v>957.58216408585076</v>
      </c>
      <c r="BF9" s="200">
        <f t="shared" si="2"/>
        <v>1090</v>
      </c>
      <c r="BG9" s="201">
        <f>BF9-BE9</f>
        <v>132.41783591414924</v>
      </c>
      <c r="BH9" s="202">
        <f>BG9/BE9</f>
        <v>0.13828352373350752</v>
      </c>
      <c r="BJ9" s="109">
        <f>'Hảo_R&amp;D (Hạt) (full stage)-Chai'!BE9</f>
        <v>967.09378582489478</v>
      </c>
      <c r="BK9" s="109">
        <f>'Hảo_R&amp;D (Hạt) (full stage)-MN'!BE9</f>
        <v>948.07054234680652</v>
      </c>
      <c r="BL9" s="109">
        <f>BE9</f>
        <v>957.58216408585076</v>
      </c>
      <c r="BM9" s="130">
        <f>BJ9-BK9</f>
        <v>19.023243478088261</v>
      </c>
      <c r="BO9" s="109">
        <f>'Hảo_R&amp;D (Hạt) (full stage)-Chai'!AO9</f>
        <v>25627.985324359714</v>
      </c>
      <c r="BP9" s="109">
        <f>'Hảo_R&amp;D (Hạt) (full stage)-MN'!AO9</f>
        <v>25123.869372190373</v>
      </c>
      <c r="BQ9" s="109">
        <f>AO9</f>
        <v>25375.927348275043</v>
      </c>
      <c r="BR9" s="130">
        <f>BO9-BP9</f>
        <v>504.11595216934074</v>
      </c>
    </row>
    <row r="10" spans="2:70"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1"/>
        <v>1</v>
      </c>
      <c r="AH10" s="177">
        <f t="shared" si="1"/>
        <v>18853.682855909705</v>
      </c>
      <c r="AI10" s="175">
        <f t="shared" si="3"/>
        <v>20718.632838790989</v>
      </c>
      <c r="AJ10" s="194">
        <f t="shared" si="3"/>
        <v>21992.488688599726</v>
      </c>
      <c r="AK10" s="175">
        <f t="shared" si="4"/>
        <v>21746.867625313171</v>
      </c>
      <c r="AL10" s="322">
        <f>AL$1+AK10*$AK$2+AJ10*$AJ$2</f>
        <v>23870.61756168642</v>
      </c>
      <c r="AM10" s="172">
        <f>AL10+$AM$1</f>
        <v>25246.67990383365</v>
      </c>
      <c r="AN10" s="172">
        <f>AL10+$AN$1</f>
        <v>26202.503664253309</v>
      </c>
      <c r="AO10" s="323">
        <f>AL10</f>
        <v>23870.61756168642</v>
      </c>
      <c r="AP10" s="196">
        <f>$AP$4*AQ10/1000</f>
        <v>21200</v>
      </c>
      <c r="AQ10" s="130">
        <v>800</v>
      </c>
      <c r="AR10" s="273">
        <f>AP10-AO10</f>
        <v>-2670.6175616864202</v>
      </c>
      <c r="AS10" s="274">
        <f>AR10/AP10</f>
        <v>-0.12597252649464247</v>
      </c>
      <c r="AU10" s="109">
        <f>AJ10/$AP$4*1.1*1000</f>
        <v>912.89575688527168</v>
      </c>
      <c r="AX10" s="147">
        <f>AH10/$AP$4*1000</f>
        <v>711.45973041168702</v>
      </c>
      <c r="AY10" s="198">
        <f t="shared" si="2"/>
        <v>781.8352014638109</v>
      </c>
      <c r="AZ10" s="198">
        <f t="shared" si="2"/>
        <v>829.90523353206515</v>
      </c>
      <c r="BA10" s="198">
        <f t="shared" si="2"/>
        <v>820.63651416276116</v>
      </c>
      <c r="BB10" s="199">
        <f t="shared" si="2"/>
        <v>900.7780211957139</v>
      </c>
      <c r="BC10" s="199">
        <f t="shared" si="2"/>
        <v>952.70490203145857</v>
      </c>
      <c r="BD10" s="199">
        <f t="shared" si="2"/>
        <v>988.77372317937022</v>
      </c>
      <c r="BE10" s="147">
        <f t="shared" si="2"/>
        <v>900.7780211957139</v>
      </c>
      <c r="BF10" s="200">
        <f>AP10/$AP$4*1000</f>
        <v>800</v>
      </c>
      <c r="BG10" s="268">
        <f>BF10-BE10</f>
        <v>-100.7780211957139</v>
      </c>
      <c r="BH10" s="269">
        <f>BG10/BE10</f>
        <v>-0.11187886340958762</v>
      </c>
      <c r="BJ10" s="109">
        <f>'Hảo_R&amp;D (Hạt) (full stage)-Chai'!BE10</f>
        <v>905.41238088036596</v>
      </c>
      <c r="BK10" s="109">
        <f>'Hảo_R&amp;D (Hạt) (full stage)-MN'!BE10</f>
        <v>896.14366151106196</v>
      </c>
      <c r="BL10" s="109">
        <f>BE10</f>
        <v>900.7780211957139</v>
      </c>
      <c r="BM10" s="130">
        <f>BJ10-BK10</f>
        <v>9.2687193693039944</v>
      </c>
      <c r="BO10" s="109">
        <f>'Hảo_R&amp;D (Hạt) (full stage)-Chai'!AO10</f>
        <v>23993.428093329698</v>
      </c>
      <c r="BP10" s="109">
        <f>'Hảo_R&amp;D (Hạt) (full stage)-MN'!AO10</f>
        <v>23747.807030043143</v>
      </c>
      <c r="BQ10" s="109">
        <f>AO10</f>
        <v>23870.61756168642</v>
      </c>
      <c r="BR10" s="130">
        <f>BO10-BP10</f>
        <v>245.621063286555</v>
      </c>
    </row>
    <row r="11" spans="2:70"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1"/>
        <v>1</v>
      </c>
      <c r="AH11" s="177">
        <f t="shared" si="1"/>
        <v>18504.154010131388</v>
      </c>
      <c r="AI11" s="175">
        <f t="shared" si="3"/>
        <v>20369.103993012672</v>
      </c>
      <c r="AJ11" s="194">
        <f t="shared" si="3"/>
        <v>21642.959842821409</v>
      </c>
      <c r="AK11" s="323">
        <f t="shared" si="4"/>
        <v>21746.867625313171</v>
      </c>
      <c r="AL11" s="172">
        <f>AL$1+AK11*$AK$2+AJ11*$AJ$2</f>
        <v>23695.853138797262</v>
      </c>
      <c r="AM11" s="172">
        <f>AL11</f>
        <v>23695.853138797262</v>
      </c>
      <c r="AN11" s="172">
        <f>AM11</f>
        <v>23695.853138797262</v>
      </c>
      <c r="AO11" s="323">
        <f>+AK11*$AK$2+AJ11*$AJ$2</f>
        <v>21694.91373406729</v>
      </c>
      <c r="AP11" s="196">
        <f>$AP$4*AQ11/1000</f>
        <v>25970</v>
      </c>
      <c r="AQ11" s="179">
        <v>980</v>
      </c>
      <c r="AR11" s="130">
        <f>AP11-AO11</f>
        <v>4275.0862659327104</v>
      </c>
      <c r="AS11" s="153">
        <f>AR11/AP11</f>
        <v>0.1646163367706088</v>
      </c>
      <c r="AU11" s="109">
        <f t="shared" si="5"/>
        <v>898.38701234353027</v>
      </c>
      <c r="AX11" s="147">
        <f>AH11/$AP$4*1000</f>
        <v>698.26996264646743</v>
      </c>
      <c r="AY11" s="198">
        <f t="shared" si="2"/>
        <v>768.64543369859143</v>
      </c>
      <c r="AZ11" s="198">
        <f t="shared" si="2"/>
        <v>816.71546576684557</v>
      </c>
      <c r="BA11" s="198">
        <f t="shared" si="2"/>
        <v>820.63651416276116</v>
      </c>
      <c r="BB11" s="199">
        <f t="shared" si="2"/>
        <v>894.18313731310423</v>
      </c>
      <c r="BC11" s="199">
        <f t="shared" si="2"/>
        <v>894.18313731310423</v>
      </c>
      <c r="BD11" s="199">
        <f t="shared" si="2"/>
        <v>894.18313731310423</v>
      </c>
      <c r="BE11" s="147">
        <f t="shared" si="2"/>
        <v>818.67598996480342</v>
      </c>
      <c r="BF11" s="200">
        <f t="shared" si="2"/>
        <v>980</v>
      </c>
      <c r="BG11" s="201">
        <f>BF11-BE11</f>
        <v>161.32401003519658</v>
      </c>
      <c r="BH11" s="202">
        <f>BG11/BE11</f>
        <v>0.19705477137802982</v>
      </c>
      <c r="BJ11" s="109">
        <f>'Hảo_R&amp;D (Hạt) (full stage)-Chai'!BE11</f>
        <v>816.71546576684557</v>
      </c>
      <c r="BK11" s="109">
        <f>'Hảo_R&amp;D (Hạt) (full stage)-MN'!BE11</f>
        <v>820.63651416276116</v>
      </c>
      <c r="BL11" s="147">
        <f>BE11</f>
        <v>818.67598996480342</v>
      </c>
      <c r="BM11" s="130">
        <f>BJ11-BK11</f>
        <v>-3.9210483959155908</v>
      </c>
      <c r="BO11" s="109">
        <f>'Hảo_R&amp;D (Hạt) (full stage)-Chai'!AO11</f>
        <v>21642.959842821409</v>
      </c>
      <c r="BP11" s="109">
        <f>'Hảo_R&amp;D (Hạt) (full stage)-MN'!AO11</f>
        <v>21746.867625313171</v>
      </c>
      <c r="BQ11" s="109">
        <f>AO11</f>
        <v>21694.91373406729</v>
      </c>
      <c r="BR11" s="130">
        <f>BO11-BP11</f>
        <v>-103.90778249176219</v>
      </c>
    </row>
    <row r="12" spans="2:70" x14ac:dyDescent="0.35">
      <c r="AH12" s="205">
        <v>22566</v>
      </c>
      <c r="AJ12" s="191"/>
      <c r="AK12" s="205">
        <v>25925</v>
      </c>
      <c r="BA12" s="198">
        <f t="shared" si="2"/>
        <v>978.30188679245282</v>
      </c>
    </row>
    <row r="13" spans="2:70" x14ac:dyDescent="0.35">
      <c r="AH13" s="205">
        <f>AH12-AH11</f>
        <v>4061.8459898686124</v>
      </c>
      <c r="AJ13" s="191"/>
      <c r="AK13" s="205">
        <f>AK12-AK11</f>
        <v>4178.1323746868293</v>
      </c>
    </row>
    <row r="14" spans="2:70" x14ac:dyDescent="0.35">
      <c r="T14" s="119" t="s">
        <v>387</v>
      </c>
      <c r="W14" s="116" t="s">
        <v>48</v>
      </c>
      <c r="AG14" s="126">
        <v>0.53</v>
      </c>
      <c r="AJ14" s="191"/>
    </row>
    <row r="15" spans="2:70"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6">U15+W15+Y15+AA15+AC15+AE15</f>
        <v>1</v>
      </c>
      <c r="AH15" s="177">
        <f t="shared" si="6"/>
        <v>20169.086549138014</v>
      </c>
      <c r="AI15" s="175">
        <f t="shared" ref="AI15:AJ18" si="7">AI$1+AH15</f>
        <v>22034.036532019298</v>
      </c>
      <c r="AJ15" s="194">
        <f t="shared" si="7"/>
        <v>23307.892381828038</v>
      </c>
      <c r="AK15" s="175">
        <f t="shared" ref="AK15:AK18" si="8">AK$1+$V$3</f>
        <v>21746.867625313171</v>
      </c>
      <c r="AL15" s="172">
        <f>AL$1+AK15*$AK$2+AJ15*$AJ$2</f>
        <v>24528.319408300576</v>
      </c>
      <c r="AM15" s="172">
        <f>AL15+$AM$1</f>
        <v>25904.381750447807</v>
      </c>
      <c r="AN15" s="172">
        <f>AL15+$AN$1</f>
        <v>26860.205510867465</v>
      </c>
      <c r="AO15" s="175">
        <f>AM15</f>
        <v>25904.381750447807</v>
      </c>
      <c r="AP15" s="196">
        <f>$AP$4*AQ15/1000</f>
        <v>30740</v>
      </c>
      <c r="AQ15" s="130">
        <f>AQ7</f>
        <v>1160</v>
      </c>
      <c r="AR15" s="130">
        <f>AP15-AO15</f>
        <v>4835.6182495521934</v>
      </c>
      <c r="AS15" s="153">
        <f>AR15/AP15</f>
        <v>0.15730703479350011</v>
      </c>
      <c r="AU15" s="109">
        <f t="shared" ref="AU15:AU18" si="9">AJ15/$AP$4*1.1*1000</f>
        <v>967.49741962305075</v>
      </c>
      <c r="AX15" s="147">
        <f t="shared" ref="AX15:BF18" si="10">AH15/$AP$4*1000</f>
        <v>761.09760562784959</v>
      </c>
      <c r="AY15" s="198">
        <f t="shared" si="10"/>
        <v>831.47307667997347</v>
      </c>
      <c r="AZ15" s="198">
        <f t="shared" si="10"/>
        <v>879.54310874822784</v>
      </c>
      <c r="BA15" s="198">
        <f t="shared" si="10"/>
        <v>820.63651416276116</v>
      </c>
      <c r="BB15" s="199">
        <f t="shared" si="10"/>
        <v>925.59695880379536</v>
      </c>
      <c r="BC15" s="199">
        <f t="shared" si="10"/>
        <v>977.5238396395398</v>
      </c>
      <c r="BD15" s="199">
        <f t="shared" si="10"/>
        <v>1013.5926607874515</v>
      </c>
      <c r="BE15" s="147">
        <f t="shared" si="10"/>
        <v>977.5238396395398</v>
      </c>
      <c r="BF15" s="200">
        <f t="shared" si="10"/>
        <v>1160</v>
      </c>
      <c r="BG15" s="201">
        <f>BF15-BE15</f>
        <v>182.4761603604602</v>
      </c>
      <c r="BH15" s="202">
        <f>BG15/BE15</f>
        <v>0.18667182626231188</v>
      </c>
      <c r="BJ15" s="109">
        <f>'Hảo_R&amp;D (Hạt) (full stage)-Chai'!BE15</f>
        <v>1006.9771369322733</v>
      </c>
      <c r="BK15" s="109">
        <f>'Hảo_R&amp;D (Hạt) (full stage)-MN'!BE15</f>
        <v>948.07054234680652</v>
      </c>
      <c r="BL15" s="109">
        <f>BE15</f>
        <v>977.5238396395398</v>
      </c>
      <c r="BM15" s="130">
        <f>BJ15-BK15</f>
        <v>58.906594585466792</v>
      </c>
      <c r="BO15" s="109">
        <f>'Hảo_R&amp;D (Hạt) (full stage)-Chai'!AO15</f>
        <v>26684.89412870524</v>
      </c>
      <c r="BP15" s="109">
        <f>'Hảo_R&amp;D (Hạt) (full stage)-MN'!AO15</f>
        <v>25123.869372190373</v>
      </c>
      <c r="BQ15" s="109">
        <f>AO15</f>
        <v>25904.381750447807</v>
      </c>
      <c r="BR15" s="130">
        <f>BO15-BP15</f>
        <v>1561.0247565148675</v>
      </c>
    </row>
    <row r="16" spans="2:70"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6"/>
        <v>1</v>
      </c>
      <c r="AH16" s="177">
        <f t="shared" si="6"/>
        <v>20169.086549138014</v>
      </c>
      <c r="AI16" s="175">
        <f t="shared" si="7"/>
        <v>22034.036532019298</v>
      </c>
      <c r="AJ16" s="194">
        <f t="shared" si="7"/>
        <v>23307.892381828038</v>
      </c>
      <c r="AK16" s="175">
        <f t="shared" si="8"/>
        <v>21746.867625313171</v>
      </c>
      <c r="AL16" s="172">
        <f>AL$1+AK16*$AK$2+AJ16*$AJ$2</f>
        <v>24528.319408300576</v>
      </c>
      <c r="AM16" s="172">
        <f>AL16+$AM$1</f>
        <v>25904.381750447807</v>
      </c>
      <c r="AN16" s="172">
        <f>AL16+$AN$1</f>
        <v>26860.205510867465</v>
      </c>
      <c r="AO16" s="175">
        <f>AM16</f>
        <v>25904.381750447807</v>
      </c>
      <c r="AP16" s="196">
        <f>$AP$4*AQ16/1000</f>
        <v>31535</v>
      </c>
      <c r="AQ16" s="130">
        <f>AQ7+30</f>
        <v>1190</v>
      </c>
      <c r="AR16" s="130">
        <f>AP16-AO16</f>
        <v>5630.6182495521934</v>
      </c>
      <c r="AS16" s="153">
        <f>AR16/AP16</f>
        <v>0.17855139526089087</v>
      </c>
      <c r="AU16" s="109">
        <f t="shared" si="9"/>
        <v>967.49741962305075</v>
      </c>
      <c r="AX16" s="147">
        <f t="shared" si="10"/>
        <v>761.09760562784959</v>
      </c>
      <c r="AY16" s="198">
        <f t="shared" si="10"/>
        <v>831.47307667997347</v>
      </c>
      <c r="AZ16" s="198">
        <f t="shared" si="10"/>
        <v>879.54310874822784</v>
      </c>
      <c r="BA16" s="198">
        <f t="shared" si="10"/>
        <v>820.63651416276116</v>
      </c>
      <c r="BB16" s="199">
        <f t="shared" si="10"/>
        <v>925.59695880379536</v>
      </c>
      <c r="BC16" s="199">
        <f t="shared" si="10"/>
        <v>977.5238396395398</v>
      </c>
      <c r="BD16" s="199">
        <f t="shared" si="10"/>
        <v>1013.5926607874515</v>
      </c>
      <c r="BE16" s="147">
        <f t="shared" si="10"/>
        <v>977.5238396395398</v>
      </c>
      <c r="BF16" s="200">
        <f t="shared" si="10"/>
        <v>1190</v>
      </c>
      <c r="BG16" s="201">
        <f>BF16-BE16</f>
        <v>212.4761603604602</v>
      </c>
      <c r="BH16" s="202">
        <f>BG16/BE16</f>
        <v>0.2173616148725441</v>
      </c>
      <c r="BJ16" s="109">
        <f>'Hảo_R&amp;D (Hạt) (full stage)-Chai'!BE16</f>
        <v>1006.9771369322733</v>
      </c>
      <c r="BK16" s="109">
        <f>'Hảo_R&amp;D (Hạt) (full stage)-MN'!BE16</f>
        <v>948.07054234680652</v>
      </c>
      <c r="BL16" s="109">
        <f>BE16</f>
        <v>977.5238396395398</v>
      </c>
      <c r="BM16" s="130">
        <f>BJ16-BK16</f>
        <v>58.906594585466792</v>
      </c>
      <c r="BO16" s="109">
        <f>'Hảo_R&amp;D (Hạt) (full stage)-Chai'!AO16</f>
        <v>26684.89412870524</v>
      </c>
      <c r="BP16" s="109">
        <f>'Hảo_R&amp;D (Hạt) (full stage)-MN'!AO16</f>
        <v>25123.869372190373</v>
      </c>
      <c r="BQ16" s="109">
        <f>AO16</f>
        <v>25904.381750447807</v>
      </c>
      <c r="BR16" s="130">
        <f>BO16-BP16</f>
        <v>1561.0247565148675</v>
      </c>
    </row>
    <row r="17" spans="20:78"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6"/>
        <v>1</v>
      </c>
      <c r="AH17" s="177">
        <f>V17+X17+Z17+AB17+AD17+AF17</f>
        <v>20169.086549138014</v>
      </c>
      <c r="AI17" s="175">
        <f t="shared" si="7"/>
        <v>22034.036532019298</v>
      </c>
      <c r="AJ17" s="194">
        <f t="shared" si="7"/>
        <v>23307.892381828038</v>
      </c>
      <c r="AK17" s="175">
        <f t="shared" si="8"/>
        <v>21746.867625313171</v>
      </c>
      <c r="AL17" s="172">
        <f>AL$1+AK17*$AK$2+AJ17*$AJ$2</f>
        <v>24528.319408300576</v>
      </c>
      <c r="AM17" s="172">
        <f>AL17+$AM$1</f>
        <v>25904.381750447807</v>
      </c>
      <c r="AN17" s="172">
        <f>AL17+$AN$1</f>
        <v>26860.205510867465</v>
      </c>
      <c r="AO17" s="175">
        <f>AM17</f>
        <v>25904.381750447807</v>
      </c>
      <c r="AP17" s="196">
        <f>$AP$4*AQ17/1000</f>
        <v>33125</v>
      </c>
      <c r="AQ17" s="130">
        <f>AQ7+90</f>
        <v>1250</v>
      </c>
      <c r="AR17" s="130">
        <f>AP17-AO17</f>
        <v>7220.6182495521934</v>
      </c>
      <c r="AS17" s="153">
        <f>AR17/AP17</f>
        <v>0.2179809282883681</v>
      </c>
      <c r="AU17" s="109">
        <f t="shared" si="9"/>
        <v>967.49741962305075</v>
      </c>
      <c r="AX17" s="147">
        <f t="shared" si="10"/>
        <v>761.09760562784959</v>
      </c>
      <c r="AY17" s="198">
        <f t="shared" si="10"/>
        <v>831.47307667997347</v>
      </c>
      <c r="AZ17" s="198">
        <f t="shared" si="10"/>
        <v>879.54310874822784</v>
      </c>
      <c r="BA17" s="198">
        <f t="shared" si="10"/>
        <v>820.63651416276116</v>
      </c>
      <c r="BB17" s="199">
        <f t="shared" si="10"/>
        <v>925.59695880379536</v>
      </c>
      <c r="BC17" s="199">
        <f t="shared" si="10"/>
        <v>977.5238396395398</v>
      </c>
      <c r="BD17" s="199">
        <f t="shared" si="10"/>
        <v>1013.5926607874515</v>
      </c>
      <c r="BE17" s="147">
        <f t="shared" si="10"/>
        <v>977.5238396395398</v>
      </c>
      <c r="BF17" s="200">
        <f t="shared" si="10"/>
        <v>1250</v>
      </c>
      <c r="BG17" s="201">
        <f>BF17-BE17</f>
        <v>272.4761603604602</v>
      </c>
      <c r="BH17" s="202">
        <f>BG17/BE17</f>
        <v>0.27874119209300852</v>
      </c>
      <c r="BJ17" s="109">
        <f>'Hảo_R&amp;D (Hạt) (full stage)-Chai'!BE17</f>
        <v>1006.9771369322733</v>
      </c>
      <c r="BK17" s="109">
        <f>'Hảo_R&amp;D (Hạt) (full stage)-MN'!BE17</f>
        <v>948.07054234680652</v>
      </c>
      <c r="BL17" s="109">
        <f>BE17</f>
        <v>977.5238396395398</v>
      </c>
      <c r="BM17" s="130">
        <f>BJ17-BK17</f>
        <v>58.906594585466792</v>
      </c>
      <c r="BO17" s="109">
        <f>'Hảo_R&amp;D (Hạt) (full stage)-Chai'!AO17</f>
        <v>26684.89412870524</v>
      </c>
      <c r="BP17" s="109">
        <f>'Hảo_R&amp;D (Hạt) (full stage)-MN'!AO17</f>
        <v>25123.869372190373</v>
      </c>
      <c r="BQ17" s="109">
        <f>AO17</f>
        <v>25904.381750447807</v>
      </c>
      <c r="BR17" s="130">
        <f>BO17-BP17</f>
        <v>1561.0247565148675</v>
      </c>
    </row>
    <row r="18" spans="20:78"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6"/>
        <v>1</v>
      </c>
      <c r="AH18" s="177">
        <f t="shared" si="6"/>
        <v>20169.086549138014</v>
      </c>
      <c r="AI18" s="175">
        <f t="shared" si="7"/>
        <v>22034.036532019298</v>
      </c>
      <c r="AJ18" s="194">
        <f t="shared" si="7"/>
        <v>23307.892381828038</v>
      </c>
      <c r="AK18" s="175">
        <f t="shared" si="8"/>
        <v>21746.867625313171</v>
      </c>
      <c r="AL18" s="172">
        <f>AL$1+AK18*$AK$2+AJ18*$AJ$2</f>
        <v>24528.319408300576</v>
      </c>
      <c r="AM18" s="172">
        <f>AL18+$AM$1</f>
        <v>25904.381750447807</v>
      </c>
      <c r="AN18" s="172">
        <f>AL18+$AN$1</f>
        <v>26860.205510867465</v>
      </c>
      <c r="AO18" s="175">
        <f>AM18</f>
        <v>25904.381750447807</v>
      </c>
      <c r="AP18" s="196">
        <f>$AP$4*AQ18/1000</f>
        <v>29945</v>
      </c>
      <c r="AQ18" s="130">
        <f>AQ7-30</f>
        <v>1130</v>
      </c>
      <c r="AR18" s="130">
        <f>AP18-AO18</f>
        <v>4040.6182495521934</v>
      </c>
      <c r="AS18" s="153">
        <f>AR18/AP18</f>
        <v>0.13493465518624789</v>
      </c>
      <c r="AU18" s="109">
        <f t="shared" si="9"/>
        <v>967.49741962305075</v>
      </c>
      <c r="AX18" s="147">
        <f t="shared" si="10"/>
        <v>761.09760562784959</v>
      </c>
      <c r="AY18" s="198">
        <f t="shared" si="10"/>
        <v>831.47307667997347</v>
      </c>
      <c r="AZ18" s="198">
        <f t="shared" si="10"/>
        <v>879.54310874822784</v>
      </c>
      <c r="BA18" s="198">
        <f t="shared" si="10"/>
        <v>820.63651416276116</v>
      </c>
      <c r="BB18" s="199">
        <f t="shared" si="10"/>
        <v>925.59695880379536</v>
      </c>
      <c r="BC18" s="199">
        <f t="shared" si="10"/>
        <v>977.5238396395398</v>
      </c>
      <c r="BD18" s="199">
        <f t="shared" si="10"/>
        <v>1013.5926607874515</v>
      </c>
      <c r="BE18" s="147">
        <f t="shared" si="10"/>
        <v>977.5238396395398</v>
      </c>
      <c r="BF18" s="200">
        <f t="shared" si="10"/>
        <v>1130</v>
      </c>
      <c r="BG18" s="201">
        <f>BF18-BE18</f>
        <v>152.4761603604602</v>
      </c>
      <c r="BH18" s="202">
        <f>BG18/BE18</f>
        <v>0.15598203765207969</v>
      </c>
      <c r="BJ18" s="109">
        <f>'Hảo_R&amp;D (Hạt) (full stage)-Chai'!BE18</f>
        <v>1006.9771369322733</v>
      </c>
      <c r="BK18" s="109">
        <f>'Hảo_R&amp;D (Hạt) (full stage)-MN'!BE18</f>
        <v>948.07054234680652</v>
      </c>
      <c r="BL18" s="109">
        <f>BE18</f>
        <v>977.5238396395398</v>
      </c>
      <c r="BM18" s="130">
        <f>BJ18-BK18</f>
        <v>58.906594585466792</v>
      </c>
      <c r="BO18" s="109">
        <f>'Hảo_R&amp;D (Hạt) (full stage)-Chai'!AO18</f>
        <v>26684.89412870524</v>
      </c>
      <c r="BP18" s="109">
        <f>'Hảo_R&amp;D (Hạt) (full stage)-MN'!AO18</f>
        <v>25123.869372190373</v>
      </c>
      <c r="BQ18" s="109">
        <f>AO18</f>
        <v>25904.381750447807</v>
      </c>
      <c r="BR18" s="130">
        <f>BO18-BP18</f>
        <v>1561.0247565148675</v>
      </c>
    </row>
    <row r="19" spans="20:78" x14ac:dyDescent="0.35">
      <c r="AJ19" s="191"/>
    </row>
    <row r="20" spans="20:78" x14ac:dyDescent="0.35">
      <c r="AJ20" s="191"/>
    </row>
    <row r="21" spans="20:78" x14ac:dyDescent="0.35">
      <c r="AJ21" s="191"/>
    </row>
    <row r="22" spans="20:78" x14ac:dyDescent="0.35">
      <c r="AJ22" s="191"/>
    </row>
    <row r="23" spans="20:78" x14ac:dyDescent="0.35">
      <c r="AJ23" s="191"/>
    </row>
    <row r="24" spans="20:78" x14ac:dyDescent="0.35">
      <c r="T24" s="119" t="s">
        <v>388</v>
      </c>
      <c r="AG24" s="126">
        <v>0.05</v>
      </c>
      <c r="AJ24" s="191"/>
    </row>
    <row r="25" spans="20:78"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11">U25+W25+Y25+AA25+AC25+AE25</f>
        <v>1</v>
      </c>
      <c r="AH25" s="177">
        <f t="shared" si="11"/>
        <v>19883.142103626953</v>
      </c>
      <c r="AI25" s="175">
        <f t="shared" ref="AI25:AJ29" si="12">AI$1+AH25</f>
        <v>21748.092086508237</v>
      </c>
      <c r="AJ25" s="194">
        <f>AJ$1+AI25</f>
        <v>23021.947936316974</v>
      </c>
      <c r="AK25" s="175">
        <f t="shared" ref="AK25:AK29" si="13">AK$1+$V$3</f>
        <v>21746.867625313171</v>
      </c>
      <c r="AL25" s="172">
        <f>AL$1+AK25*$AK$2+AJ25*$AJ$2</f>
        <v>24385.347185545044</v>
      </c>
      <c r="AM25" s="172">
        <f>AL25+$AM$1</f>
        <v>25761.409527692274</v>
      </c>
      <c r="AN25" s="172">
        <f>AL25+$AN$1</f>
        <v>26717.233288111933</v>
      </c>
      <c r="AO25" s="175">
        <f>AM25</f>
        <v>25761.409527692274</v>
      </c>
      <c r="AP25" s="196">
        <f>$AP$4*AQ25/1000</f>
        <v>30740</v>
      </c>
      <c r="AQ25" s="130">
        <f>AQ7</f>
        <v>1160</v>
      </c>
      <c r="AR25" s="130">
        <f>AP25-AO25</f>
        <v>4978.5904723077256</v>
      </c>
      <c r="AS25" s="153">
        <f>AR25/AP25</f>
        <v>0.16195805049797415</v>
      </c>
      <c r="AU25" s="109">
        <f t="shared" ref="AU25:AU29" si="14">AJ25/$AP$4*1.1*1000</f>
        <v>955.62802754523295</v>
      </c>
      <c r="AX25" s="147">
        <f t="shared" ref="AX25:BF29" si="15">AH25/$AP$4*1000</f>
        <v>750.30724919346994</v>
      </c>
      <c r="AY25" s="198">
        <f t="shared" si="15"/>
        <v>820.68272024559383</v>
      </c>
      <c r="AZ25" s="198">
        <f t="shared" si="15"/>
        <v>868.75275231384808</v>
      </c>
      <c r="BA25" s="198">
        <f t="shared" si="15"/>
        <v>820.63651416276116</v>
      </c>
      <c r="BB25" s="199">
        <f t="shared" si="15"/>
        <v>920.20178058660542</v>
      </c>
      <c r="BC25" s="199">
        <f t="shared" si="15"/>
        <v>972.12866142234998</v>
      </c>
      <c r="BD25" s="199">
        <f t="shared" si="15"/>
        <v>1008.1974825702615</v>
      </c>
      <c r="BE25" s="147">
        <f t="shared" si="15"/>
        <v>972.12866142234998</v>
      </c>
      <c r="BF25" s="200">
        <f t="shared" si="15"/>
        <v>1160</v>
      </c>
      <c r="BG25" s="201">
        <f>BF25-BE25</f>
        <v>187.87133857765002</v>
      </c>
      <c r="BH25" s="202">
        <f>BG25/BE25</f>
        <v>0.19325768906223786</v>
      </c>
      <c r="BJ25" s="109">
        <f>'Hảo_R&amp;D (Hạt) (full stage)-Chai'!BE25</f>
        <v>996.18678049789344</v>
      </c>
      <c r="BK25" s="109">
        <f>'Hảo_R&amp;D (Hạt) (full stage)-MN'!BE25</f>
        <v>948.07054234680652</v>
      </c>
      <c r="BL25" s="109">
        <f>BE25</f>
        <v>972.12866142234998</v>
      </c>
      <c r="BM25" s="130">
        <f>BJ25-BK25</f>
        <v>48.116238151086918</v>
      </c>
      <c r="BO25" s="109">
        <f>'Hảo_R&amp;D (Hạt) (full stage)-Chai'!AO25</f>
        <v>26398.949683194176</v>
      </c>
      <c r="BP25" s="109">
        <f>'Hảo_R&amp;D (Hạt) (full stage)-MN'!AO25</f>
        <v>25123.869372190373</v>
      </c>
      <c r="BQ25" s="109">
        <f>AO25</f>
        <v>25761.409527692274</v>
      </c>
      <c r="BR25" s="130">
        <f>BO25-BP25</f>
        <v>1275.0803110038032</v>
      </c>
    </row>
    <row r="26" spans="20:78" x14ac:dyDescent="0.35">
      <c r="T26" s="180"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11"/>
        <v>1</v>
      </c>
      <c r="AH26" s="177">
        <f t="shared" si="11"/>
        <v>19112.177744792491</v>
      </c>
      <c r="AI26" s="175">
        <f>AI$1+AH26</f>
        <v>20977.127727673775</v>
      </c>
      <c r="AJ26" s="194">
        <f>AJ$1+AI26</f>
        <v>22250.983577482511</v>
      </c>
      <c r="AK26" s="175">
        <f t="shared" si="13"/>
        <v>21746.867625313171</v>
      </c>
      <c r="AL26" s="172">
        <f>AL$1+AK26*$AK$2+AJ26*$AJ$2</f>
        <v>23999.865006127813</v>
      </c>
      <c r="AM26" s="172">
        <f>AL26+$AM$1</f>
        <v>25375.927348275043</v>
      </c>
      <c r="AN26" s="172">
        <f>AL26+$AN$1</f>
        <v>26331.751108694702</v>
      </c>
      <c r="AO26" s="175">
        <f>AM26</f>
        <v>25375.927348275043</v>
      </c>
      <c r="AP26" s="196">
        <f>$AP$4*AQ26/1000</f>
        <v>28885</v>
      </c>
      <c r="AQ26" s="130">
        <f>AQ7-70</f>
        <v>1090</v>
      </c>
      <c r="AR26" s="130">
        <f>AP26-AO26</f>
        <v>3509.0726517249568</v>
      </c>
      <c r="AS26" s="153">
        <f>AR26/AP26</f>
        <v>0.12148425313224707</v>
      </c>
      <c r="AU26" s="109">
        <f t="shared" si="14"/>
        <v>923.62573340493452</v>
      </c>
      <c r="AX26" s="147">
        <f t="shared" si="15"/>
        <v>721.2142545204714</v>
      </c>
      <c r="AY26" s="198">
        <f t="shared" si="15"/>
        <v>791.58972557259517</v>
      </c>
      <c r="AZ26" s="198">
        <f t="shared" si="15"/>
        <v>839.65975764084942</v>
      </c>
      <c r="BA26" s="198">
        <f t="shared" si="15"/>
        <v>820.63651416276116</v>
      </c>
      <c r="BB26" s="199">
        <f t="shared" si="15"/>
        <v>905.65528325010609</v>
      </c>
      <c r="BC26" s="199">
        <f t="shared" si="15"/>
        <v>957.58216408585076</v>
      </c>
      <c r="BD26" s="199">
        <f t="shared" si="15"/>
        <v>993.6509852337623</v>
      </c>
      <c r="BE26" s="147">
        <f t="shared" si="15"/>
        <v>957.58216408585076</v>
      </c>
      <c r="BF26" s="200">
        <f t="shared" si="15"/>
        <v>1090</v>
      </c>
      <c r="BG26" s="201">
        <f>BF26-BE26</f>
        <v>132.41783591414924</v>
      </c>
      <c r="BH26" s="202">
        <f>BG26/BE26</f>
        <v>0.13828352373350752</v>
      </c>
      <c r="BJ26" s="109">
        <f>'Hảo_R&amp;D (Hạt) (full stage)-Chai'!BE26</f>
        <v>967.09378582489478</v>
      </c>
      <c r="BK26" s="109">
        <f>'Hảo_R&amp;D (Hạt) (full stage)-MN'!BE26</f>
        <v>948.07054234680652</v>
      </c>
      <c r="BL26" s="109">
        <f>BE26</f>
        <v>957.58216408585076</v>
      </c>
      <c r="BM26" s="130">
        <f>BJ26-BK26</f>
        <v>19.023243478088261</v>
      </c>
      <c r="BO26" s="109">
        <f>'Hảo_R&amp;D (Hạt) (full stage)-Chai'!AO26</f>
        <v>25627.985324359714</v>
      </c>
      <c r="BP26" s="109">
        <f>'Hảo_R&amp;D (Hạt) (full stage)-MN'!AO26</f>
        <v>25123.869372190373</v>
      </c>
      <c r="BQ26" s="109">
        <f>AO26</f>
        <v>25375.927348275043</v>
      </c>
      <c r="BR26" s="130">
        <f>BO26-BP26</f>
        <v>504.11595216934074</v>
      </c>
      <c r="BT26" s="182">
        <v>1074</v>
      </c>
      <c r="BU26" t="s">
        <v>456</v>
      </c>
      <c r="BV26" t="s">
        <v>457</v>
      </c>
      <c r="BW26" t="s">
        <v>458</v>
      </c>
      <c r="BY26" t="s">
        <v>463</v>
      </c>
      <c r="BZ26" t="s">
        <v>464</v>
      </c>
    </row>
    <row r="27" spans="20:78"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11"/>
        <v>1</v>
      </c>
      <c r="AH27" s="177">
        <f t="shared" si="11"/>
        <v>17279.402879005062</v>
      </c>
      <c r="AI27" s="175">
        <f t="shared" si="12"/>
        <v>19144.352861886346</v>
      </c>
      <c r="AJ27" s="194">
        <f t="shared" si="12"/>
        <v>20418.208711695086</v>
      </c>
      <c r="AK27" s="175">
        <f t="shared" si="13"/>
        <v>21746.867625313171</v>
      </c>
      <c r="AL27" s="172">
        <f>AL$1+AK27*$AK$2+AJ27*$AJ$2</f>
        <v>23083.4775732341</v>
      </c>
      <c r="AM27" s="172">
        <f>AL27+$AM$1</f>
        <v>24459.539915381331</v>
      </c>
      <c r="AN27" s="172">
        <f>AL27+$AN$1</f>
        <v>25415.363675800989</v>
      </c>
      <c r="AO27" s="175">
        <f>AM27</f>
        <v>24459.539915381331</v>
      </c>
      <c r="AP27" s="196">
        <f>$AP$4*AQ27/1000</f>
        <v>30740</v>
      </c>
      <c r="AQ27" s="130">
        <f>AQ7</f>
        <v>1160</v>
      </c>
      <c r="AR27" s="130">
        <f>AP27-AO27</f>
        <v>6280.4600846186695</v>
      </c>
      <c r="AS27" s="153">
        <f>AR27/AP27</f>
        <v>0.20430904634413369</v>
      </c>
      <c r="AU27" s="109">
        <f t="shared" si="14"/>
        <v>847.54828614583391</v>
      </c>
      <c r="AX27" s="147">
        <f t="shared" si="15"/>
        <v>652.05293883037973</v>
      </c>
      <c r="AY27" s="198">
        <f t="shared" si="15"/>
        <v>722.42840988250362</v>
      </c>
      <c r="AZ27" s="198">
        <f t="shared" si="15"/>
        <v>770.49844195075798</v>
      </c>
      <c r="BA27" s="198">
        <f t="shared" si="15"/>
        <v>820.63651416276116</v>
      </c>
      <c r="BB27" s="199">
        <f t="shared" si="15"/>
        <v>871.07462540506037</v>
      </c>
      <c r="BC27" s="199">
        <f t="shared" si="15"/>
        <v>923.00150624080493</v>
      </c>
      <c r="BD27" s="199">
        <f t="shared" si="15"/>
        <v>959.07032738871658</v>
      </c>
      <c r="BE27" s="147">
        <f t="shared" si="15"/>
        <v>923.00150624080493</v>
      </c>
      <c r="BF27" s="200">
        <f t="shared" si="15"/>
        <v>1160</v>
      </c>
      <c r="BG27" s="201">
        <f>BF27-BE27</f>
        <v>236.99849375919507</v>
      </c>
      <c r="BH27" s="202">
        <f>BG27/BE27</f>
        <v>0.25676934669851315</v>
      </c>
      <c r="BJ27" s="109">
        <f>'Hảo_R&amp;D (Hạt) (full stage)-Chai'!BE27</f>
        <v>897.93247013480334</v>
      </c>
      <c r="BK27" s="109">
        <f>'Hảo_R&amp;D (Hạt) (full stage)-MN'!BE27</f>
        <v>948.07054234680652</v>
      </c>
      <c r="BL27" s="109">
        <f>BE27</f>
        <v>923.00150624080493</v>
      </c>
      <c r="BM27" s="130">
        <f>BJ27-BK27</f>
        <v>-50.138072212003181</v>
      </c>
      <c r="BO27" s="109">
        <f>'Hảo_R&amp;D (Hạt) (full stage)-Chai'!AO27</f>
        <v>23795.210458572288</v>
      </c>
      <c r="BP27" s="109">
        <f>'Hảo_R&amp;D (Hạt) (full stage)-MN'!AO27</f>
        <v>25123.869372190373</v>
      </c>
      <c r="BQ27" s="109">
        <f>AO27</f>
        <v>24459.539915381331</v>
      </c>
      <c r="BR27" s="130">
        <f>BO27-BP27</f>
        <v>-1328.6589136180846</v>
      </c>
    </row>
    <row r="28" spans="20:78"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11"/>
        <v>1</v>
      </c>
      <c r="AH28" s="177">
        <f t="shared" si="11"/>
        <v>18853.682855909705</v>
      </c>
      <c r="AI28" s="175">
        <f t="shared" si="12"/>
        <v>20718.632838790989</v>
      </c>
      <c r="AJ28" s="194">
        <f t="shared" si="12"/>
        <v>21992.488688599726</v>
      </c>
      <c r="AK28" s="175">
        <f t="shared" si="13"/>
        <v>21746.867625313171</v>
      </c>
      <c r="AL28" s="322">
        <f>AL$1+AK28*$AK$2+AJ28*$AJ$2</f>
        <v>23870.61756168642</v>
      </c>
      <c r="AM28" s="172">
        <f>AL28+$AM$1</f>
        <v>25246.67990383365</v>
      </c>
      <c r="AN28" s="172">
        <f>AL28+$AN$1</f>
        <v>26202.503664253309</v>
      </c>
      <c r="AO28" s="323">
        <f>AL28</f>
        <v>23870.61756168642</v>
      </c>
      <c r="AP28" s="196">
        <f>$AP$4*AQ28/1000</f>
        <v>21200</v>
      </c>
      <c r="AQ28" s="130">
        <f>AQ10</f>
        <v>800</v>
      </c>
      <c r="AR28" s="273">
        <f>AP28-AO28</f>
        <v>-2670.6175616864202</v>
      </c>
      <c r="AS28" s="274">
        <f>AR28/AP28</f>
        <v>-0.12597252649464247</v>
      </c>
      <c r="AU28" s="109">
        <f t="shared" si="14"/>
        <v>912.89575688527168</v>
      </c>
      <c r="AX28" s="147">
        <f t="shared" si="15"/>
        <v>711.45973041168702</v>
      </c>
      <c r="AY28" s="198">
        <f t="shared" si="15"/>
        <v>781.8352014638109</v>
      </c>
      <c r="AZ28" s="198">
        <f t="shared" si="15"/>
        <v>829.90523353206515</v>
      </c>
      <c r="BA28" s="198">
        <f t="shared" si="15"/>
        <v>820.63651416276116</v>
      </c>
      <c r="BB28" s="199">
        <f t="shared" si="15"/>
        <v>900.7780211957139</v>
      </c>
      <c r="BC28" s="199">
        <f t="shared" si="15"/>
        <v>952.70490203145857</v>
      </c>
      <c r="BD28" s="199">
        <f t="shared" si="15"/>
        <v>988.77372317937022</v>
      </c>
      <c r="BE28" s="147">
        <f t="shared" si="15"/>
        <v>900.7780211957139</v>
      </c>
      <c r="BF28" s="200">
        <f t="shared" si="15"/>
        <v>800</v>
      </c>
      <c r="BG28" s="268">
        <f>BF28-BE28</f>
        <v>-100.7780211957139</v>
      </c>
      <c r="BH28" s="269">
        <f>BG28/BE28</f>
        <v>-0.11187886340958762</v>
      </c>
      <c r="BJ28" s="109">
        <f>'Hảo_R&amp;D (Hạt) (full stage)-Chai'!BE28</f>
        <v>905.41238088036596</v>
      </c>
      <c r="BK28" s="109">
        <f>'Hảo_R&amp;D (Hạt) (full stage)-MN'!BE28</f>
        <v>896.14366151106196</v>
      </c>
      <c r="BL28" s="109">
        <f>BE28</f>
        <v>900.7780211957139</v>
      </c>
      <c r="BM28" s="130">
        <f>BJ28-BK28</f>
        <v>9.2687193693039944</v>
      </c>
      <c r="BO28" s="109">
        <f>'Hảo_R&amp;D (Hạt) (full stage)-Chai'!AO28</f>
        <v>23993.428093329698</v>
      </c>
      <c r="BP28" s="109">
        <f>'Hảo_R&amp;D (Hạt) (full stage)-MN'!AO28</f>
        <v>23747.807030043143</v>
      </c>
      <c r="BQ28" s="109">
        <f>AO28</f>
        <v>23870.61756168642</v>
      </c>
      <c r="BR28" s="130">
        <f>BO28-BP28</f>
        <v>245.621063286555</v>
      </c>
      <c r="BU28" s="179" t="s">
        <v>460</v>
      </c>
      <c r="BV28" t="s">
        <v>459</v>
      </c>
      <c r="BW28" s="181" t="s">
        <v>461</v>
      </c>
    </row>
    <row r="29" spans="20:78"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11"/>
        <v>1</v>
      </c>
      <c r="AH29" s="177">
        <f t="shared" si="11"/>
        <v>18504.154010131388</v>
      </c>
      <c r="AI29" s="175">
        <f t="shared" si="12"/>
        <v>20369.103993012672</v>
      </c>
      <c r="AJ29" s="194">
        <f>AJ$1+AI29</f>
        <v>21642.959842821409</v>
      </c>
      <c r="AK29" s="323">
        <f t="shared" si="13"/>
        <v>21746.867625313171</v>
      </c>
      <c r="AL29" s="172">
        <f>AL$1+AK29*$AK$2+AJ29*$AJ$2</f>
        <v>23695.853138797262</v>
      </c>
      <c r="AM29" s="172">
        <f>AL29</f>
        <v>23695.853138797262</v>
      </c>
      <c r="AN29" s="172">
        <f>AM29</f>
        <v>23695.853138797262</v>
      </c>
      <c r="AO29" s="323">
        <f>+AK29*$AK$2+AJ29*$AJ$2</f>
        <v>21694.91373406729</v>
      </c>
      <c r="AP29" s="196">
        <f>$AP$4*AQ29/1000</f>
        <v>19610</v>
      </c>
      <c r="AQ29" s="267">
        <v>740</v>
      </c>
      <c r="AR29" s="183">
        <f>AP29-AO29</f>
        <v>-2084.9137340672896</v>
      </c>
      <c r="AS29" s="157">
        <f>AR29/AP29</f>
        <v>-0.10631890535784241</v>
      </c>
      <c r="AU29" s="109">
        <f t="shared" si="14"/>
        <v>898.38701234353027</v>
      </c>
      <c r="AX29" s="147">
        <f t="shared" si="15"/>
        <v>698.26996264646743</v>
      </c>
      <c r="AY29" s="198">
        <f t="shared" si="15"/>
        <v>768.64543369859143</v>
      </c>
      <c r="AZ29" s="198">
        <f t="shared" si="15"/>
        <v>816.71546576684557</v>
      </c>
      <c r="BA29" s="198">
        <f t="shared" si="15"/>
        <v>820.63651416276116</v>
      </c>
      <c r="BB29" s="199">
        <f t="shared" si="15"/>
        <v>894.18313731310423</v>
      </c>
      <c r="BC29" s="199">
        <f t="shared" si="15"/>
        <v>894.18313731310423</v>
      </c>
      <c r="BD29" s="199">
        <f t="shared" si="15"/>
        <v>894.18313731310423</v>
      </c>
      <c r="BE29" s="147">
        <f>AO29/$AP$4*1000</f>
        <v>818.67598996480342</v>
      </c>
      <c r="BF29" s="403">
        <f t="shared" si="15"/>
        <v>740</v>
      </c>
      <c r="BG29" s="404">
        <f>BF29-BE29</f>
        <v>-78.675989964803421</v>
      </c>
      <c r="BH29" s="405">
        <f>BG29/BE29</f>
        <v>-9.6101499163528503E-2</v>
      </c>
      <c r="BJ29" s="109">
        <f>'Hảo_R&amp;D (Hạt) (full stage)-Chai'!BE29</f>
        <v>816.71546576684557</v>
      </c>
      <c r="BK29" s="109">
        <f>'Hảo_R&amp;D (Hạt) (full stage)-MN'!BE29</f>
        <v>820.63651416276116</v>
      </c>
      <c r="BL29" s="109">
        <f>BE29</f>
        <v>818.67598996480342</v>
      </c>
      <c r="BM29" s="130">
        <f>BJ29-BK29</f>
        <v>-3.9210483959155908</v>
      </c>
      <c r="BO29" s="109">
        <f>'Hảo_R&amp;D (Hạt) (full stage)-Chai'!AO29</f>
        <v>21642.959842821409</v>
      </c>
      <c r="BP29" s="109">
        <f>'Hảo_R&amp;D (Hạt) (full stage)-MN'!AO29</f>
        <v>21746.867625313171</v>
      </c>
      <c r="BQ29" s="109">
        <f>AO29</f>
        <v>21694.91373406729</v>
      </c>
      <c r="BR29" s="130">
        <f>BO29-BP29</f>
        <v>-103.90778249176219</v>
      </c>
      <c r="BS29" s="130">
        <f>AQ29-AU29</f>
        <v>-158.38701234353027</v>
      </c>
      <c r="BT29" s="185">
        <f>BS29/AQ29</f>
        <v>-0.21403650316693279</v>
      </c>
    </row>
    <row r="30" spans="20:78" x14ac:dyDescent="0.35">
      <c r="AJ30" s="191"/>
    </row>
    <row r="31" spans="20:78" x14ac:dyDescent="0.35">
      <c r="AJ31" s="191"/>
    </row>
    <row r="32" spans="20:78" x14ac:dyDescent="0.35">
      <c r="T32" s="119" t="s">
        <v>389</v>
      </c>
      <c r="AG32" s="126">
        <v>0.02</v>
      </c>
      <c r="AJ32" s="191"/>
    </row>
    <row r="33" spans="20: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5">
        <f>AI$1+AH33</f>
        <v>19060.009183013673</v>
      </c>
      <c r="AJ33" s="194">
        <f>AJ$1+AI33</f>
        <v>20333.86503282241</v>
      </c>
      <c r="AK33" s="175">
        <f>AK$1+$V$3</f>
        <v>21746.867625313171</v>
      </c>
      <c r="AL33" s="172">
        <f>AL$1+AK33*$AK$2+AJ33*$AJ$2</f>
        <v>23041.305733797763</v>
      </c>
      <c r="AM33" s="172">
        <f>AL33+$AM$1</f>
        <v>24417.368075944993</v>
      </c>
      <c r="AN33" s="172">
        <f>AL33+$AN$1</f>
        <v>25373.191836364651</v>
      </c>
      <c r="AO33" s="175">
        <f>AM33</f>
        <v>24417.368075944993</v>
      </c>
      <c r="AP33" s="196">
        <f>$AP$4*AQ33/1000</f>
        <v>21200</v>
      </c>
      <c r="AQ33" s="130">
        <v>800</v>
      </c>
      <c r="AR33" s="273">
        <f>AP33-AO33</f>
        <v>-3217.3680759449926</v>
      </c>
      <c r="AS33" s="274">
        <f>AR33/AP33</f>
        <v>-0.15176264509174495</v>
      </c>
      <c r="AU33" s="171">
        <f t="shared" ref="AU33" si="16">AJ33/$AP$4*1.1*1000</f>
        <v>844.04722777753409</v>
      </c>
      <c r="AX33" s="147">
        <f t="shared" ref="AX33:BF33" si="17">AH33/$AP$4*1000</f>
        <v>648.8701584955619</v>
      </c>
      <c r="AY33" s="198">
        <f t="shared" si="17"/>
        <v>719.24562954768578</v>
      </c>
      <c r="AZ33" s="198">
        <f t="shared" si="17"/>
        <v>767.31566161594003</v>
      </c>
      <c r="BA33" s="198">
        <f t="shared" si="17"/>
        <v>820.63651416276116</v>
      </c>
      <c r="BB33" s="199">
        <f t="shared" si="17"/>
        <v>869.48323523765134</v>
      </c>
      <c r="BC33" s="199">
        <f t="shared" si="17"/>
        <v>921.41011607339601</v>
      </c>
      <c r="BD33" s="199">
        <f t="shared" si="17"/>
        <v>957.47893722130766</v>
      </c>
      <c r="BE33" s="147">
        <f t="shared" si="17"/>
        <v>921.41011607339601</v>
      </c>
      <c r="BF33" s="200">
        <f t="shared" si="17"/>
        <v>800</v>
      </c>
      <c r="BG33" s="268">
        <f>BF33-BE33</f>
        <v>-121.41011607339601</v>
      </c>
      <c r="BH33" s="269">
        <f>BG33/BE33</f>
        <v>-0.1317655558100308</v>
      </c>
      <c r="BJ33" s="109">
        <f>'Hảo_R&amp;D (Hạt) (full stage)-Chai'!BE33</f>
        <v>842.82280896424083</v>
      </c>
      <c r="BK33" s="109">
        <f>'Hảo_R&amp;D (Hạt) (full stage)-MN'!BE33</f>
        <v>948.07054234680652</v>
      </c>
      <c r="BL33" s="109">
        <f>BE33</f>
        <v>921.41011607339601</v>
      </c>
      <c r="BM33" s="130">
        <f>BJ33-BK33</f>
        <v>-105.24773338256568</v>
      </c>
      <c r="BO33" s="109">
        <f>'Hảo_R&amp;D (Hạt) (full stage)-Chai'!AO33</f>
        <v>22334.804437552382</v>
      </c>
      <c r="BP33" s="109">
        <f>'Hảo_R&amp;D (Hạt) (full stage)-MN'!AO33</f>
        <v>25123.869372190373</v>
      </c>
      <c r="BQ33" s="109">
        <f>AO33</f>
        <v>24417.368075944993</v>
      </c>
      <c r="BR33" s="183">
        <f>BO33-BP33</f>
        <v>-2789.0649346379905</v>
      </c>
    </row>
    <row r="35" spans="20:70" x14ac:dyDescent="0.35">
      <c r="AE35" s="147">
        <f>'Giá mua Chai-Vảy'!O40</f>
        <v>12550</v>
      </c>
    </row>
    <row r="36" spans="20:70" x14ac:dyDescent="0.35">
      <c r="T36" s="119" t="s">
        <v>446</v>
      </c>
      <c r="AG36" s="126">
        <v>0.01</v>
      </c>
      <c r="AH36" s="121"/>
      <c r="AI36"/>
      <c r="AJ36"/>
    </row>
    <row r="37" spans="20: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AI$1+AH37</f>
        <v>14414.949982881282</v>
      </c>
      <c r="AJ37" s="194">
        <f>AJ$1+AI37</f>
        <v>15688.805832690021</v>
      </c>
      <c r="AK37" s="175">
        <f>AK$1+$V$3</f>
        <v>21746.867625313171</v>
      </c>
      <c r="AL37" s="172">
        <f>AL$1+AK37*$AK$2+AJ37*$AJ$2</f>
        <v>20718.776133731568</v>
      </c>
      <c r="AM37" s="172">
        <f>AL37+$AM$1</f>
        <v>22094.838475878798</v>
      </c>
      <c r="AN37" s="172">
        <f>AL37+$AN$1</f>
        <v>23050.662236298456</v>
      </c>
      <c r="AO37" s="175">
        <f>AM37</f>
        <v>22094.838475878798</v>
      </c>
      <c r="AP37" s="196">
        <f>$AP$4*AQ37/1000</f>
        <v>19000.5</v>
      </c>
      <c r="AQ37" s="130">
        <v>717</v>
      </c>
      <c r="AR37" s="273">
        <f>AP37-AO37</f>
        <v>-3094.3384758787979</v>
      </c>
      <c r="AS37" s="274">
        <f>AR37/AP37</f>
        <v>-0.16285563410851284</v>
      </c>
      <c r="AU37" s="171">
        <f t="shared" ref="AU37" si="18">AJ37/$AP$4*1.1*1000</f>
        <v>651.23344965883109</v>
      </c>
      <c r="AX37" s="147">
        <f t="shared" ref="AX37:BF37" si="19">AH37/$AP$4*1000</f>
        <v>473.58490566037739</v>
      </c>
      <c r="AY37" s="198">
        <f t="shared" si="19"/>
        <v>543.96037671250122</v>
      </c>
      <c r="AZ37" s="198">
        <f t="shared" si="19"/>
        <v>592.03040878075558</v>
      </c>
      <c r="BA37" s="198">
        <f t="shared" si="19"/>
        <v>820.63651416276116</v>
      </c>
      <c r="BB37" s="199">
        <f t="shared" si="19"/>
        <v>781.84060882005917</v>
      </c>
      <c r="BC37" s="199">
        <f t="shared" si="19"/>
        <v>833.76748965580373</v>
      </c>
      <c r="BD37" s="199">
        <f t="shared" si="19"/>
        <v>869.83631080371538</v>
      </c>
      <c r="BE37" s="147">
        <f t="shared" si="19"/>
        <v>833.76748965580373</v>
      </c>
      <c r="BF37" s="200">
        <f t="shared" si="19"/>
        <v>717</v>
      </c>
      <c r="BG37" s="268">
        <f>BF37-BE37</f>
        <v>-116.76748965580373</v>
      </c>
      <c r="BH37" s="269">
        <f>BG37/BE37</f>
        <v>-0.14004802430472282</v>
      </c>
      <c r="BJ37" s="109">
        <f>'Hảo_R&amp;D (Hạt) (full stage)-Chai'!BE37</f>
        <v>631.27894410716067</v>
      </c>
      <c r="BK37" s="109">
        <f>'Hảo_R&amp;D (Hạt) (full stage)-MN'!BE37</f>
        <v>948.07054234680652</v>
      </c>
      <c r="BL37" s="109">
        <f>BE37</f>
        <v>833.76748965580373</v>
      </c>
      <c r="BM37" s="130">
        <f>BJ37-BK37</f>
        <v>-316.79159823964585</v>
      </c>
      <c r="BO37" s="109">
        <f>'Hảo_R&amp;D (Hạt) (full stage)-Chai'!AO37</f>
        <v>16728.892018839757</v>
      </c>
      <c r="BP37" s="109">
        <f>'Hảo_R&amp;D (Hạt) (full stage)-MN'!AO37</f>
        <v>25123.869372190373</v>
      </c>
      <c r="BQ37" s="109">
        <f>AO37</f>
        <v>22094.838475878798</v>
      </c>
      <c r="BR37" s="130">
        <f>BO37-BP37</f>
        <v>-8394.9773533506159</v>
      </c>
    </row>
  </sheetData>
  <mergeCells count="2">
    <mergeCell ref="AG3:AH3"/>
    <mergeCell ref="AW3:AX3"/>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3876-698B-43F8-9065-DC6FE2F5BFA5}">
  <sheetPr>
    <tabColor theme="5" tint="0.39997558519241921"/>
  </sheetPr>
  <dimension ref="A3:U25"/>
  <sheetViews>
    <sheetView topLeftCell="A4" zoomScale="85" zoomScaleNormal="85" workbookViewId="0">
      <selection activeCell="E22" sqref="E22"/>
    </sheetView>
  </sheetViews>
  <sheetFormatPr defaultRowHeight="14.5" x14ac:dyDescent="0.35"/>
  <cols>
    <col min="2" max="2" width="39.90625" customWidth="1"/>
    <col min="3" max="3" width="8.1796875" customWidth="1"/>
    <col min="4" max="4" width="9.81640625" customWidth="1"/>
    <col min="5" max="5" width="12.1796875" customWidth="1"/>
    <col min="6" max="6" width="10.7265625" customWidth="1"/>
    <col min="8" max="8" width="6.7265625" customWidth="1"/>
    <col min="9" max="9" width="22.08984375" customWidth="1"/>
    <col min="10" max="10" width="6.453125" customWidth="1"/>
    <col min="12" max="12" width="7.36328125" customWidth="1"/>
    <col min="13" max="13" width="14.08984375" customWidth="1"/>
    <col min="14" max="14" width="4.6328125" bestFit="1" customWidth="1"/>
    <col min="15" max="15" width="2.90625" bestFit="1" customWidth="1"/>
    <col min="16" max="16" width="4.453125" bestFit="1" customWidth="1"/>
    <col min="17" max="17" width="13.08984375" customWidth="1"/>
    <col min="18" max="18" width="10" customWidth="1"/>
    <col min="19" max="19" width="5.36328125" bestFit="1" customWidth="1"/>
    <col min="20" max="20" width="7.7265625" bestFit="1" customWidth="1"/>
    <col min="21" max="21" width="5.1796875" bestFit="1" customWidth="1"/>
  </cols>
  <sheetData>
    <row r="3" spans="1:21" ht="29" x14ac:dyDescent="0.35">
      <c r="M3" t="s">
        <v>327</v>
      </c>
      <c r="N3" t="s">
        <v>328</v>
      </c>
      <c r="P3" s="69"/>
      <c r="R3" s="74" t="s">
        <v>336</v>
      </c>
    </row>
    <row r="4" spans="1:21" x14ac:dyDescent="0.35">
      <c r="A4" s="67" t="s">
        <v>47</v>
      </c>
      <c r="D4" s="938" t="s">
        <v>293</v>
      </c>
      <c r="E4" s="939"/>
      <c r="F4" s="939"/>
      <c r="K4" s="68" t="s">
        <v>324</v>
      </c>
      <c r="L4" s="68"/>
      <c r="M4" s="77" t="s">
        <v>48</v>
      </c>
      <c r="N4" t="s">
        <v>6</v>
      </c>
      <c r="O4" t="s">
        <v>326</v>
      </c>
      <c r="P4" s="69">
        <v>0.05</v>
      </c>
      <c r="Q4" s="73" t="s">
        <v>335</v>
      </c>
      <c r="R4" t="s">
        <v>337</v>
      </c>
      <c r="S4" t="s">
        <v>338</v>
      </c>
      <c r="T4" t="s">
        <v>339</v>
      </c>
      <c r="U4" t="s">
        <v>36</v>
      </c>
    </row>
    <row r="5" spans="1:21" x14ac:dyDescent="0.35">
      <c r="D5" t="s">
        <v>323</v>
      </c>
      <c r="E5" t="s">
        <v>321</v>
      </c>
      <c r="F5" t="s">
        <v>322</v>
      </c>
      <c r="N5" t="s">
        <v>10</v>
      </c>
      <c r="O5" t="s">
        <v>326</v>
      </c>
      <c r="P5" s="69">
        <v>0.1</v>
      </c>
    </row>
    <row r="6" spans="1:21" ht="16" x14ac:dyDescent="0.4">
      <c r="A6" s="7" t="s">
        <v>264</v>
      </c>
      <c r="B6" s="8" t="s">
        <v>265</v>
      </c>
      <c r="C6" s="108" t="s">
        <v>361</v>
      </c>
    </row>
    <row r="7" spans="1:21" ht="16" x14ac:dyDescent="0.35">
      <c r="A7" s="89" t="s">
        <v>47</v>
      </c>
      <c r="B7" s="90" t="s">
        <v>266</v>
      </c>
      <c r="C7" s="70"/>
      <c r="M7" s="76" t="s">
        <v>325</v>
      </c>
      <c r="N7" t="s">
        <v>6</v>
      </c>
      <c r="O7" t="s">
        <v>326</v>
      </c>
      <c r="P7" s="69">
        <v>0.05</v>
      </c>
      <c r="Q7" s="73" t="s">
        <v>335</v>
      </c>
      <c r="R7" t="s">
        <v>340</v>
      </c>
      <c r="S7" t="s">
        <v>341</v>
      </c>
      <c r="T7" t="s">
        <v>342</v>
      </c>
    </row>
    <row r="8" spans="1:21" ht="16" x14ac:dyDescent="0.35">
      <c r="A8" s="84" t="s">
        <v>267</v>
      </c>
      <c r="B8" s="96" t="s">
        <v>307</v>
      </c>
      <c r="C8" s="70">
        <v>20</v>
      </c>
      <c r="N8" t="s">
        <v>10</v>
      </c>
      <c r="O8" t="s">
        <v>326</v>
      </c>
      <c r="P8" s="69">
        <v>0.1</v>
      </c>
    </row>
    <row r="9" spans="1:21" ht="16" x14ac:dyDescent="0.35">
      <c r="A9" s="85" t="s">
        <v>51</v>
      </c>
      <c r="B9" s="86" t="s">
        <v>304</v>
      </c>
      <c r="C9" s="70">
        <v>13</v>
      </c>
      <c r="D9">
        <v>560</v>
      </c>
      <c r="E9" s="109">
        <f>D9*1000000/C9</f>
        <v>43076923.07692308</v>
      </c>
      <c r="N9" t="s">
        <v>13</v>
      </c>
      <c r="O9" t="s">
        <v>326</v>
      </c>
      <c r="P9" s="69">
        <v>0.15</v>
      </c>
    </row>
    <row r="10" spans="1:21" ht="16" x14ac:dyDescent="0.35">
      <c r="A10" s="59" t="s">
        <v>52</v>
      </c>
      <c r="B10" s="60" t="s">
        <v>305</v>
      </c>
      <c r="C10" s="70">
        <v>10</v>
      </c>
      <c r="D10">
        <v>8</v>
      </c>
      <c r="E10" s="109">
        <f>D10*1000000/C10</f>
        <v>800000</v>
      </c>
      <c r="F10" s="110">
        <f>E10/($E$10+$E$9)</f>
        <v>1.82328190743338E-2</v>
      </c>
    </row>
    <row r="11" spans="1:21" ht="16" x14ac:dyDescent="0.35">
      <c r="A11" s="87" t="s">
        <v>53</v>
      </c>
      <c r="B11" s="88" t="s">
        <v>308</v>
      </c>
      <c r="C11" s="70"/>
      <c r="F11" s="69">
        <v>0.6</v>
      </c>
      <c r="I11" s="69">
        <v>0.4</v>
      </c>
      <c r="M11" s="81" t="s">
        <v>329</v>
      </c>
    </row>
    <row r="12" spans="1:21" ht="29" x14ac:dyDescent="0.35">
      <c r="A12" s="63" t="s">
        <v>54</v>
      </c>
      <c r="B12" s="64" t="s">
        <v>268</v>
      </c>
      <c r="C12" s="71"/>
      <c r="E12" s="95" t="s">
        <v>356</v>
      </c>
      <c r="G12" s="94" t="s">
        <v>355</v>
      </c>
      <c r="I12" s="93" t="s">
        <v>304</v>
      </c>
      <c r="K12" t="s">
        <v>357</v>
      </c>
    </row>
    <row r="13" spans="1:21" ht="16" x14ac:dyDescent="0.35">
      <c r="A13" s="61" t="s">
        <v>55</v>
      </c>
      <c r="B13" s="62" t="s">
        <v>269</v>
      </c>
      <c r="C13" s="72"/>
      <c r="D13" s="77" t="s">
        <v>330</v>
      </c>
      <c r="E13" s="75" t="s">
        <v>331</v>
      </c>
      <c r="F13" s="65" t="s">
        <v>334</v>
      </c>
      <c r="G13" s="75" t="s">
        <v>53</v>
      </c>
      <c r="H13" s="65" t="s">
        <v>334</v>
      </c>
      <c r="I13" s="75" t="s">
        <v>51</v>
      </c>
      <c r="J13" s="65" t="s">
        <v>334</v>
      </c>
      <c r="K13" s="75" t="s">
        <v>332</v>
      </c>
      <c r="L13" s="65" t="s">
        <v>333</v>
      </c>
      <c r="M13" s="78">
        <v>1</v>
      </c>
      <c r="Q13" s="82" t="s">
        <v>351</v>
      </c>
    </row>
    <row r="14" spans="1:21" ht="58" x14ac:dyDescent="0.35">
      <c r="A14" s="91" t="s">
        <v>270</v>
      </c>
      <c r="B14" s="92" t="s">
        <v>271</v>
      </c>
      <c r="C14" s="70"/>
      <c r="E14" s="940" t="s">
        <v>360</v>
      </c>
      <c r="F14" s="940"/>
      <c r="G14" s="940"/>
      <c r="I14" s="107">
        <v>0.192</v>
      </c>
      <c r="Q14" s="74" t="s">
        <v>350</v>
      </c>
    </row>
    <row r="15" spans="1:21" ht="16" x14ac:dyDescent="0.35">
      <c r="A15" s="9" t="s">
        <v>56</v>
      </c>
      <c r="B15" s="10" t="s">
        <v>352</v>
      </c>
      <c r="C15" s="70"/>
      <c r="D15" s="76" t="s">
        <v>343</v>
      </c>
      <c r="E15" s="75" t="s">
        <v>344</v>
      </c>
      <c r="F15" s="65" t="s">
        <v>334</v>
      </c>
      <c r="G15" s="75" t="s">
        <v>345</v>
      </c>
      <c r="H15" s="65" t="s">
        <v>334</v>
      </c>
      <c r="I15" s="75" t="s">
        <v>346</v>
      </c>
      <c r="J15" s="65" t="s">
        <v>334</v>
      </c>
      <c r="K15" s="75" t="s">
        <v>332</v>
      </c>
      <c r="L15" s="65" t="s">
        <v>333</v>
      </c>
      <c r="M15" s="78">
        <v>1</v>
      </c>
    </row>
    <row r="16" spans="1:21" ht="18" customHeight="1" x14ac:dyDescent="0.35">
      <c r="A16" s="97" t="s">
        <v>57</v>
      </c>
      <c r="B16" s="98" t="s">
        <v>353</v>
      </c>
      <c r="C16" s="70"/>
      <c r="E16" s="79" t="s">
        <v>349</v>
      </c>
      <c r="G16" s="66" t="s">
        <v>348</v>
      </c>
      <c r="I16" s="80" t="s">
        <v>347</v>
      </c>
    </row>
    <row r="17" spans="1:21" ht="16" x14ac:dyDescent="0.35">
      <c r="A17" s="9"/>
      <c r="B17" s="10"/>
      <c r="C17" s="70"/>
      <c r="G17" s="83">
        <f>100-45-15</f>
        <v>40</v>
      </c>
      <c r="Q17">
        <v>1</v>
      </c>
      <c r="R17">
        <v>2</v>
      </c>
      <c r="S17">
        <v>3</v>
      </c>
      <c r="T17">
        <v>4</v>
      </c>
      <c r="U17">
        <v>5</v>
      </c>
    </row>
    <row r="18" spans="1:21" ht="16" x14ac:dyDescent="0.35">
      <c r="A18" s="9"/>
      <c r="B18" s="10"/>
      <c r="C18" s="70"/>
      <c r="Q18" s="111" t="s">
        <v>362</v>
      </c>
      <c r="R18" s="111"/>
      <c r="S18" s="111"/>
      <c r="T18" s="111"/>
      <c r="U18" s="111"/>
    </row>
    <row r="19" spans="1:21" ht="16" x14ac:dyDescent="0.35">
      <c r="A19" s="9"/>
      <c r="B19" s="10"/>
      <c r="Q19" s="112"/>
      <c r="R19" s="111" t="s">
        <v>362</v>
      </c>
      <c r="S19" s="111"/>
      <c r="T19" s="111"/>
      <c r="U19" s="111"/>
    </row>
    <row r="20" spans="1:21" ht="16" x14ac:dyDescent="0.35">
      <c r="A20" s="61" t="s">
        <v>58</v>
      </c>
      <c r="B20" s="62" t="s">
        <v>272</v>
      </c>
      <c r="Q20" s="112" t="s">
        <v>267</v>
      </c>
      <c r="R20" s="112"/>
      <c r="S20" s="111" t="s">
        <v>362</v>
      </c>
      <c r="T20" s="111"/>
      <c r="U20" s="111"/>
    </row>
    <row r="21" spans="1:21" ht="16" x14ac:dyDescent="0.35">
      <c r="A21" s="61" t="s">
        <v>260</v>
      </c>
      <c r="B21" s="62" t="s">
        <v>273</v>
      </c>
      <c r="Q21" s="112" t="s">
        <v>363</v>
      </c>
      <c r="R21" s="112" t="s">
        <v>267</v>
      </c>
      <c r="S21" s="112"/>
      <c r="T21" s="111" t="s">
        <v>362</v>
      </c>
      <c r="U21" s="111"/>
    </row>
    <row r="22" spans="1:21" ht="16" x14ac:dyDescent="0.35">
      <c r="A22" s="61" t="s">
        <v>274</v>
      </c>
      <c r="B22" s="62" t="s">
        <v>275</v>
      </c>
      <c r="Q22" s="112"/>
      <c r="R22" s="112" t="s">
        <v>363</v>
      </c>
      <c r="S22" s="112" t="s">
        <v>267</v>
      </c>
      <c r="T22" s="112"/>
      <c r="U22" s="111" t="s">
        <v>362</v>
      </c>
    </row>
    <row r="23" spans="1:21" ht="16" x14ac:dyDescent="0.35">
      <c r="A23" s="11" t="s">
        <v>276</v>
      </c>
      <c r="B23" s="12" t="s">
        <v>277</v>
      </c>
      <c r="Q23" s="112"/>
      <c r="R23" s="112"/>
      <c r="S23" s="112" t="s">
        <v>363</v>
      </c>
      <c r="T23" s="112" t="s">
        <v>267</v>
      </c>
      <c r="U23" s="112"/>
    </row>
    <row r="24" spans="1:21" x14ac:dyDescent="0.35">
      <c r="Q24" s="112"/>
      <c r="R24" s="112"/>
      <c r="S24" s="112"/>
      <c r="T24" s="112" t="s">
        <v>363</v>
      </c>
      <c r="U24" s="112" t="s">
        <v>267</v>
      </c>
    </row>
    <row r="25" spans="1:21" x14ac:dyDescent="0.35">
      <c r="Q25" s="112"/>
      <c r="R25" s="112"/>
      <c r="S25" s="112"/>
      <c r="T25" s="112"/>
      <c r="U25" s="112" t="s">
        <v>363</v>
      </c>
    </row>
  </sheetData>
  <mergeCells count="2">
    <mergeCell ref="D4:F4"/>
    <mergeCell ref="E14:G1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933F-CBD4-42A1-B656-83854007E63B}">
  <sheetPr>
    <tabColor rgb="FF00B050"/>
  </sheetPr>
  <dimension ref="A1:I82"/>
  <sheetViews>
    <sheetView showGridLines="0" zoomScale="70" zoomScaleNormal="70" workbookViewId="0">
      <pane xSplit="4" ySplit="4" topLeftCell="E5" activePane="bottomRight" state="frozen"/>
      <selection pane="topRight" activeCell="E1" sqref="E1"/>
      <selection pane="bottomLeft" activeCell="A5" sqref="A5"/>
      <selection pane="bottomRight" activeCell="D8" sqref="D8"/>
    </sheetView>
  </sheetViews>
  <sheetFormatPr defaultRowHeight="16" outlineLevelRow="2" x14ac:dyDescent="0.35"/>
  <cols>
    <col min="1" max="1" width="4.54296875" style="1" customWidth="1"/>
    <col min="2" max="2" width="11.81640625" style="3" customWidth="1"/>
    <col min="3" max="3" width="12.26953125" style="49" customWidth="1"/>
    <col min="4" max="4" width="32.36328125" style="45" customWidth="1"/>
    <col min="5" max="5" width="50.7265625" style="4" customWidth="1"/>
    <col min="6" max="6" width="17.6328125" style="1" customWidth="1"/>
    <col min="7" max="7" width="40" style="1" customWidth="1"/>
    <col min="8" max="8" width="45.6328125" style="1" customWidth="1"/>
    <col min="9" max="16384" width="8.7265625" style="1"/>
  </cols>
  <sheetData>
    <row r="1" spans="1:9" x14ac:dyDescent="0.35">
      <c r="F1" s="6"/>
    </row>
    <row r="2" spans="1:9" ht="21" x14ac:dyDescent="0.35">
      <c r="A2" s="56"/>
      <c r="B2" s="57" t="s">
        <v>1</v>
      </c>
      <c r="E2" s="52"/>
      <c r="F2" s="53"/>
      <c r="G2" s="45"/>
      <c r="H2" s="45"/>
    </row>
    <row r="3" spans="1:9" x14ac:dyDescent="0.4">
      <c r="A3" s="45"/>
      <c r="B3" s="49"/>
      <c r="C3" s="50" t="s">
        <v>258</v>
      </c>
      <c r="D3" s="46">
        <v>45985</v>
      </c>
      <c r="E3" s="52"/>
      <c r="F3" s="53"/>
      <c r="G3" s="45"/>
      <c r="H3" s="45"/>
    </row>
    <row r="4" spans="1:9" s="5" customFormat="1" ht="32" x14ac:dyDescent="0.35">
      <c r="A4" s="13" t="s">
        <v>0</v>
      </c>
      <c r="B4" s="13" t="s">
        <v>71</v>
      </c>
      <c r="C4" s="13" t="s">
        <v>72</v>
      </c>
      <c r="D4" s="14" t="s">
        <v>2</v>
      </c>
      <c r="E4" s="15" t="s">
        <v>3</v>
      </c>
      <c r="F4" s="13" t="s">
        <v>256</v>
      </c>
      <c r="G4" s="13" t="s">
        <v>156</v>
      </c>
      <c r="H4" s="13" t="s">
        <v>16</v>
      </c>
    </row>
    <row r="5" spans="1:9" x14ac:dyDescent="0.35">
      <c r="A5" s="51" t="s">
        <v>6</v>
      </c>
      <c r="B5" s="51"/>
      <c r="C5" s="51"/>
      <c r="D5" s="47" t="s">
        <v>7</v>
      </c>
      <c r="E5" s="54"/>
      <c r="F5" s="55"/>
      <c r="G5" s="55"/>
      <c r="H5" s="55"/>
    </row>
    <row r="6" spans="1:9" s="2" customFormat="1" x14ac:dyDescent="0.35">
      <c r="A6" s="16" t="s">
        <v>4</v>
      </c>
      <c r="B6" s="16"/>
      <c r="C6" s="16"/>
      <c r="D6" s="17" t="s">
        <v>8</v>
      </c>
      <c r="E6" s="18"/>
      <c r="F6" s="19"/>
      <c r="G6" s="19"/>
      <c r="H6" s="19"/>
    </row>
    <row r="7" spans="1:9" s="25" customFormat="1" ht="80.5" customHeight="1" outlineLevel="1" x14ac:dyDescent="0.35">
      <c r="A7" s="21">
        <f t="shared" ref="A7:A22" si="0">ROW()-ROW($A$6)</f>
        <v>1</v>
      </c>
      <c r="B7" s="22"/>
      <c r="C7" s="22" t="s">
        <v>47</v>
      </c>
      <c r="D7" s="23" t="s">
        <v>17</v>
      </c>
      <c r="E7" s="20" t="s">
        <v>290</v>
      </c>
      <c r="F7" s="24" t="s">
        <v>279</v>
      </c>
      <c r="G7" s="27" t="s">
        <v>314</v>
      </c>
      <c r="H7" s="23" t="s">
        <v>281</v>
      </c>
    </row>
    <row r="8" spans="1:9" s="25" customFormat="1" ht="80" outlineLevel="1" x14ac:dyDescent="0.35">
      <c r="A8" s="21">
        <f t="shared" si="0"/>
        <v>2</v>
      </c>
      <c r="B8" s="22"/>
      <c r="C8" s="22" t="s">
        <v>47</v>
      </c>
      <c r="D8" s="23" t="s">
        <v>18</v>
      </c>
      <c r="E8" s="20" t="s">
        <v>291</v>
      </c>
      <c r="F8" s="24" t="s">
        <v>279</v>
      </c>
      <c r="G8" s="27" t="s">
        <v>314</v>
      </c>
      <c r="H8" s="24"/>
    </row>
    <row r="9" spans="1:9" s="25" customFormat="1" ht="7.5" hidden="1" customHeight="1" outlineLevel="2" x14ac:dyDescent="0.35">
      <c r="A9" s="21">
        <f t="shared" si="0"/>
        <v>3</v>
      </c>
      <c r="B9" s="22"/>
      <c r="C9" s="22"/>
      <c r="D9" s="23" t="s">
        <v>263</v>
      </c>
      <c r="E9" s="26" t="s">
        <v>280</v>
      </c>
      <c r="F9" s="24"/>
      <c r="G9" s="24"/>
      <c r="H9" s="24"/>
    </row>
    <row r="10" spans="1:9" s="25" customFormat="1" ht="99" customHeight="1" outlineLevel="1" collapsed="1" x14ac:dyDescent="0.35">
      <c r="A10" s="21">
        <f t="shared" si="0"/>
        <v>4</v>
      </c>
      <c r="B10" s="22"/>
      <c r="C10" s="28" t="s">
        <v>283</v>
      </c>
      <c r="D10" s="48" t="s">
        <v>278</v>
      </c>
      <c r="E10" s="20" t="s">
        <v>297</v>
      </c>
      <c r="F10" s="24" t="s">
        <v>279</v>
      </c>
      <c r="G10" s="27" t="s">
        <v>314</v>
      </c>
      <c r="H10" s="27" t="s">
        <v>289</v>
      </c>
    </row>
    <row r="11" spans="1:9" s="25" customFormat="1" ht="80" outlineLevel="1" x14ac:dyDescent="0.35">
      <c r="A11" s="21">
        <f t="shared" si="0"/>
        <v>5</v>
      </c>
      <c r="B11" s="102" t="s">
        <v>20</v>
      </c>
      <c r="C11" s="22" t="s">
        <v>48</v>
      </c>
      <c r="D11" s="48" t="s">
        <v>14</v>
      </c>
      <c r="E11" s="20" t="s">
        <v>306</v>
      </c>
      <c r="F11" s="24" t="s">
        <v>65</v>
      </c>
      <c r="G11" s="27" t="s">
        <v>358</v>
      </c>
      <c r="H11" s="27" t="s">
        <v>288</v>
      </c>
      <c r="I11" s="25" t="s">
        <v>299</v>
      </c>
    </row>
    <row r="12" spans="1:9" s="25" customFormat="1" ht="154.5" customHeight="1" outlineLevel="1" x14ac:dyDescent="0.35">
      <c r="A12" s="21">
        <f t="shared" si="0"/>
        <v>6</v>
      </c>
      <c r="B12" s="22" t="s">
        <v>21</v>
      </c>
      <c r="C12" s="28" t="s">
        <v>282</v>
      </c>
      <c r="D12" s="48" t="s">
        <v>15</v>
      </c>
      <c r="E12" s="20" t="s">
        <v>300</v>
      </c>
      <c r="F12" s="24" t="s">
        <v>65</v>
      </c>
      <c r="G12" s="27" t="s">
        <v>359</v>
      </c>
      <c r="H12" s="23" t="s">
        <v>287</v>
      </c>
    </row>
    <row r="13" spans="1:9" s="25" customFormat="1" ht="96" outlineLevel="1" x14ac:dyDescent="0.35">
      <c r="A13" s="21">
        <f t="shared" si="0"/>
        <v>7</v>
      </c>
      <c r="B13" s="22" t="s">
        <v>49</v>
      </c>
      <c r="C13" s="28" t="s">
        <v>286</v>
      </c>
      <c r="D13" s="58" t="s">
        <v>50</v>
      </c>
      <c r="E13" s="20" t="s">
        <v>298</v>
      </c>
      <c r="F13" s="24" t="s">
        <v>293</v>
      </c>
      <c r="G13" s="27" t="s">
        <v>313</v>
      </c>
      <c r="H13" s="27" t="s">
        <v>354</v>
      </c>
    </row>
    <row r="14" spans="1:9" s="25" customFormat="1" ht="63.5" customHeight="1" outlineLevel="1" x14ac:dyDescent="0.35">
      <c r="A14" s="21">
        <f t="shared" si="0"/>
        <v>8</v>
      </c>
      <c r="B14" s="22">
        <v>150000004</v>
      </c>
      <c r="C14" s="22" t="s">
        <v>51</v>
      </c>
      <c r="D14" s="48" t="s">
        <v>23</v>
      </c>
      <c r="E14" s="20" t="s">
        <v>292</v>
      </c>
      <c r="F14" s="24" t="s">
        <v>64</v>
      </c>
      <c r="G14" s="27" t="s">
        <v>315</v>
      </c>
      <c r="H14" s="24"/>
    </row>
    <row r="15" spans="1:9" s="25" customFormat="1" outlineLevel="1" x14ac:dyDescent="0.35">
      <c r="A15" s="21">
        <f t="shared" si="0"/>
        <v>9</v>
      </c>
      <c r="B15" s="22" t="s">
        <v>24</v>
      </c>
      <c r="C15" s="22" t="s">
        <v>52</v>
      </c>
      <c r="D15" s="48" t="s">
        <v>22</v>
      </c>
      <c r="E15" s="20" t="s">
        <v>59</v>
      </c>
      <c r="F15" s="24" t="s">
        <v>294</v>
      </c>
      <c r="G15" s="99" t="s">
        <v>319</v>
      </c>
      <c r="H15" s="24"/>
    </row>
    <row r="16" spans="1:9" s="25" customFormat="1" outlineLevel="1" x14ac:dyDescent="0.35">
      <c r="A16" s="21">
        <f t="shared" si="0"/>
        <v>10</v>
      </c>
      <c r="B16" s="22">
        <v>150000005</v>
      </c>
      <c r="C16" s="22" t="s">
        <v>53</v>
      </c>
      <c r="D16" s="48" t="s">
        <v>25</v>
      </c>
      <c r="E16" s="20" t="s">
        <v>309</v>
      </c>
      <c r="F16" s="24" t="s">
        <v>294</v>
      </c>
      <c r="G16" s="99" t="s">
        <v>319</v>
      </c>
      <c r="H16" s="24" t="s">
        <v>257</v>
      </c>
    </row>
    <row r="17" spans="1:9" s="25" customFormat="1" outlineLevel="1" x14ac:dyDescent="0.35">
      <c r="A17" s="21">
        <f t="shared" si="0"/>
        <v>11</v>
      </c>
      <c r="B17" s="22" t="s">
        <v>26</v>
      </c>
      <c r="C17" s="22" t="s">
        <v>54</v>
      </c>
      <c r="D17" s="48" t="s">
        <v>27</v>
      </c>
      <c r="E17" s="20" t="s">
        <v>62</v>
      </c>
      <c r="F17" s="24" t="s">
        <v>294</v>
      </c>
      <c r="G17" s="99" t="s">
        <v>319</v>
      </c>
      <c r="H17" s="105" t="s">
        <v>63</v>
      </c>
      <c r="I17" s="210" t="s">
        <v>476</v>
      </c>
    </row>
    <row r="18" spans="1:9" s="25" customFormat="1" outlineLevel="1" x14ac:dyDescent="0.35">
      <c r="A18" s="21">
        <f t="shared" si="0"/>
        <v>12</v>
      </c>
      <c r="B18" s="22" t="s">
        <v>28</v>
      </c>
      <c r="C18" s="22" t="s">
        <v>55</v>
      </c>
      <c r="D18" s="48" t="s">
        <v>29</v>
      </c>
      <c r="E18" s="20" t="s">
        <v>30</v>
      </c>
      <c r="F18" s="24" t="s">
        <v>294</v>
      </c>
      <c r="G18" s="99" t="s">
        <v>319</v>
      </c>
      <c r="H18" s="24"/>
    </row>
    <row r="19" spans="1:9" s="25" customFormat="1" ht="32" outlineLevel="1" x14ac:dyDescent="0.35">
      <c r="A19" s="21">
        <f t="shared" si="0"/>
        <v>13</v>
      </c>
      <c r="B19" s="22" t="s">
        <v>31</v>
      </c>
      <c r="C19" s="22" t="s">
        <v>56</v>
      </c>
      <c r="D19" s="48" t="s">
        <v>32</v>
      </c>
      <c r="E19" s="20" t="s">
        <v>60</v>
      </c>
      <c r="F19" s="23" t="s">
        <v>64</v>
      </c>
      <c r="G19" s="27" t="s">
        <v>315</v>
      </c>
      <c r="H19" s="24" t="s">
        <v>61</v>
      </c>
    </row>
    <row r="20" spans="1:9" s="25" customFormat="1" ht="32" outlineLevel="1" x14ac:dyDescent="0.35">
      <c r="A20" s="21">
        <f t="shared" si="0"/>
        <v>14</v>
      </c>
      <c r="B20" s="22" t="s">
        <v>33</v>
      </c>
      <c r="C20" s="22" t="s">
        <v>57</v>
      </c>
      <c r="D20" s="48" t="s">
        <v>19</v>
      </c>
      <c r="E20" s="20" t="s">
        <v>320</v>
      </c>
      <c r="F20" s="24" t="s">
        <v>294</v>
      </c>
      <c r="G20" s="100" t="s">
        <v>316</v>
      </c>
      <c r="H20" s="24"/>
      <c r="I20" s="210" t="s">
        <v>476</v>
      </c>
    </row>
    <row r="21" spans="1:9" s="25" customFormat="1" ht="48" outlineLevel="1" x14ac:dyDescent="0.35">
      <c r="A21" s="21">
        <f t="shared" si="0"/>
        <v>15</v>
      </c>
      <c r="B21" s="22" t="s">
        <v>34</v>
      </c>
      <c r="C21" s="22" t="s">
        <v>58</v>
      </c>
      <c r="D21" s="48" t="s">
        <v>35</v>
      </c>
      <c r="E21" s="20" t="s">
        <v>66</v>
      </c>
      <c r="F21" s="24" t="s">
        <v>36</v>
      </c>
      <c r="G21" s="27" t="s">
        <v>312</v>
      </c>
      <c r="H21" s="24" t="s">
        <v>259</v>
      </c>
    </row>
    <row r="22" spans="1:9" s="25" customFormat="1" ht="69" customHeight="1" outlineLevel="1" x14ac:dyDescent="0.35">
      <c r="A22" s="21">
        <f t="shared" si="0"/>
        <v>16</v>
      </c>
      <c r="B22" s="22">
        <v>150000017</v>
      </c>
      <c r="C22" s="22" t="s">
        <v>260</v>
      </c>
      <c r="D22" s="48" t="s">
        <v>261</v>
      </c>
      <c r="E22" s="20" t="s">
        <v>262</v>
      </c>
      <c r="F22" s="24" t="s">
        <v>293</v>
      </c>
      <c r="G22" s="100" t="s">
        <v>311</v>
      </c>
      <c r="H22" s="23" t="s">
        <v>296</v>
      </c>
    </row>
    <row r="23" spans="1:9" s="2" customFormat="1" x14ac:dyDescent="0.35">
      <c r="A23" s="16" t="s">
        <v>5</v>
      </c>
      <c r="B23" s="16"/>
      <c r="C23" s="16"/>
      <c r="D23" s="17" t="s">
        <v>9</v>
      </c>
      <c r="E23" s="18"/>
      <c r="F23" s="19"/>
      <c r="G23" s="19"/>
      <c r="H23" s="19"/>
    </row>
    <row r="24" spans="1:9" s="30" customFormat="1" ht="48" outlineLevel="1" x14ac:dyDescent="0.35">
      <c r="A24" s="21">
        <f t="shared" ref="A24:A29" si="1">ROW()-ROW($A$23)</f>
        <v>1</v>
      </c>
      <c r="B24" s="22" t="s">
        <v>37</v>
      </c>
      <c r="C24" s="22" t="s">
        <v>237</v>
      </c>
      <c r="D24" s="23" t="s">
        <v>38</v>
      </c>
      <c r="E24" s="20" t="s">
        <v>248</v>
      </c>
      <c r="F24" s="24" t="s">
        <v>64</v>
      </c>
      <c r="G24" s="27" t="s">
        <v>317</v>
      </c>
      <c r="H24" s="29"/>
    </row>
    <row r="25" spans="1:9" s="30" customFormat="1" ht="32" outlineLevel="1" x14ac:dyDescent="0.35">
      <c r="A25" s="21">
        <f t="shared" si="1"/>
        <v>2</v>
      </c>
      <c r="B25" s="22">
        <v>150000189</v>
      </c>
      <c r="C25" s="22" t="s">
        <v>238</v>
      </c>
      <c r="D25" s="23" t="s">
        <v>68</v>
      </c>
      <c r="E25" s="20" t="s">
        <v>284</v>
      </c>
      <c r="F25" s="24" t="s">
        <v>64</v>
      </c>
      <c r="G25" s="24" t="s">
        <v>246</v>
      </c>
      <c r="H25" s="23" t="s">
        <v>247</v>
      </c>
    </row>
    <row r="26" spans="1:9" s="30" customFormat="1" ht="32" outlineLevel="1" x14ac:dyDescent="0.35">
      <c r="A26" s="21">
        <f t="shared" si="1"/>
        <v>3</v>
      </c>
      <c r="B26" s="22" t="s">
        <v>39</v>
      </c>
      <c r="C26" s="22" t="s">
        <v>239</v>
      </c>
      <c r="D26" s="23" t="s">
        <v>67</v>
      </c>
      <c r="E26" s="20" t="s">
        <v>285</v>
      </c>
      <c r="F26" s="24" t="s">
        <v>64</v>
      </c>
      <c r="G26" s="24" t="s">
        <v>246</v>
      </c>
      <c r="H26" s="29"/>
    </row>
    <row r="27" spans="1:9" s="30" customFormat="1" outlineLevel="1" x14ac:dyDescent="0.35">
      <c r="A27" s="21">
        <f t="shared" si="1"/>
        <v>4</v>
      </c>
      <c r="B27" s="22" t="s">
        <v>40</v>
      </c>
      <c r="C27" s="22" t="s">
        <v>240</v>
      </c>
      <c r="D27" s="23" t="s">
        <v>41</v>
      </c>
      <c r="E27" s="20" t="s">
        <v>194</v>
      </c>
      <c r="F27" s="24" t="s">
        <v>64</v>
      </c>
      <c r="G27" s="24" t="s">
        <v>249</v>
      </c>
      <c r="H27" s="29"/>
    </row>
    <row r="28" spans="1:9" s="30" customFormat="1" ht="32" outlineLevel="1" x14ac:dyDescent="0.35">
      <c r="A28" s="21">
        <f t="shared" si="1"/>
        <v>5</v>
      </c>
      <c r="B28" s="101" t="s">
        <v>44</v>
      </c>
      <c r="C28" s="101" t="s">
        <v>242</v>
      </c>
      <c r="D28" s="103" t="s">
        <v>45</v>
      </c>
      <c r="E28" s="104" t="s">
        <v>196</v>
      </c>
      <c r="F28" s="105" t="s">
        <v>295</v>
      </c>
      <c r="G28" s="106" t="s">
        <v>310</v>
      </c>
      <c r="H28" s="29"/>
    </row>
    <row r="29" spans="1:9" s="30" customFormat="1" ht="32" outlineLevel="1" x14ac:dyDescent="0.35">
      <c r="A29" s="21">
        <f t="shared" si="1"/>
        <v>6</v>
      </c>
      <c r="B29" s="22" t="s">
        <v>42</v>
      </c>
      <c r="C29" s="22" t="s">
        <v>241</v>
      </c>
      <c r="D29" s="23" t="s">
        <v>43</v>
      </c>
      <c r="E29" s="20" t="s">
        <v>195</v>
      </c>
      <c r="F29" s="24"/>
      <c r="G29" s="23" t="s">
        <v>250</v>
      </c>
      <c r="H29" s="29"/>
    </row>
    <row r="30" spans="1:9" x14ac:dyDescent="0.35">
      <c r="A30" s="51" t="s">
        <v>10</v>
      </c>
      <c r="B30" s="51"/>
      <c r="C30" s="51"/>
      <c r="D30" s="47" t="s">
        <v>11</v>
      </c>
      <c r="E30" s="54"/>
      <c r="F30" s="55"/>
      <c r="G30" s="55"/>
      <c r="H30" s="55"/>
    </row>
    <row r="31" spans="1:9" s="2" customFormat="1" x14ac:dyDescent="0.35">
      <c r="A31" s="16" t="s">
        <v>4</v>
      </c>
      <c r="B31" s="16"/>
      <c r="C31" s="16"/>
      <c r="D31" s="17" t="s">
        <v>253</v>
      </c>
      <c r="E31" s="18"/>
      <c r="F31" s="19"/>
      <c r="G31" s="19" t="s">
        <v>251</v>
      </c>
      <c r="H31" s="19"/>
    </row>
    <row r="32" spans="1:9" s="25" customFormat="1" outlineLevel="1" x14ac:dyDescent="0.35">
      <c r="A32" s="21">
        <f>ROW()-ROW($A$31)</f>
        <v>1</v>
      </c>
      <c r="B32" s="22" t="s">
        <v>77</v>
      </c>
      <c r="C32" s="22" t="s">
        <v>222</v>
      </c>
      <c r="D32" s="24" t="s">
        <v>78</v>
      </c>
      <c r="E32" s="26" t="s">
        <v>209</v>
      </c>
      <c r="F32" s="24"/>
      <c r="G32" s="24" t="s">
        <v>251</v>
      </c>
      <c r="H32" s="24" t="s">
        <v>210</v>
      </c>
    </row>
    <row r="33" spans="1:8" s="25" customFormat="1" outlineLevel="1" x14ac:dyDescent="0.35">
      <c r="A33" s="21">
        <f t="shared" ref="A33:A57" si="2">ROW()-ROW($A$31)</f>
        <v>2</v>
      </c>
      <c r="B33" s="22" t="s">
        <v>69</v>
      </c>
      <c r="C33" s="22" t="s">
        <v>223</v>
      </c>
      <c r="D33" s="24" t="s">
        <v>70</v>
      </c>
      <c r="E33" s="26" t="s">
        <v>119</v>
      </c>
      <c r="F33" s="24"/>
      <c r="G33" s="24" t="s">
        <v>251</v>
      </c>
      <c r="H33" s="24"/>
    </row>
    <row r="34" spans="1:8" s="25" customFormat="1" outlineLevel="1" x14ac:dyDescent="0.35">
      <c r="A34" s="21">
        <f t="shared" si="2"/>
        <v>3</v>
      </c>
      <c r="B34" s="22" t="s">
        <v>73</v>
      </c>
      <c r="C34" s="22" t="s">
        <v>224</v>
      </c>
      <c r="D34" s="23" t="s">
        <v>74</v>
      </c>
      <c r="E34" s="26" t="s">
        <v>120</v>
      </c>
      <c r="F34" s="24"/>
      <c r="G34" s="24" t="s">
        <v>251</v>
      </c>
      <c r="H34" s="24"/>
    </row>
    <row r="35" spans="1:8" s="25" customFormat="1" outlineLevel="1" x14ac:dyDescent="0.35">
      <c r="A35" s="21">
        <f t="shared" si="2"/>
        <v>4</v>
      </c>
      <c r="B35" s="22" t="s">
        <v>75</v>
      </c>
      <c r="C35" s="22" t="s">
        <v>225</v>
      </c>
      <c r="D35" s="24" t="s">
        <v>76</v>
      </c>
      <c r="E35" s="26" t="s">
        <v>121</v>
      </c>
      <c r="F35" s="24"/>
      <c r="G35" s="24" t="s">
        <v>251</v>
      </c>
      <c r="H35" s="23" t="s">
        <v>200</v>
      </c>
    </row>
    <row r="36" spans="1:8" s="25" customFormat="1" outlineLevel="1" x14ac:dyDescent="0.35">
      <c r="A36" s="21">
        <f t="shared" si="2"/>
        <v>5</v>
      </c>
      <c r="B36" s="22" t="s">
        <v>122</v>
      </c>
      <c r="C36" s="22" t="s">
        <v>226</v>
      </c>
      <c r="D36" s="24" t="s">
        <v>123</v>
      </c>
      <c r="E36" s="26" t="s">
        <v>124</v>
      </c>
      <c r="F36" s="24"/>
      <c r="G36" s="24" t="s">
        <v>251</v>
      </c>
      <c r="H36" s="24"/>
    </row>
    <row r="37" spans="1:8" s="25" customFormat="1" outlineLevel="1" x14ac:dyDescent="0.35">
      <c r="A37" s="21">
        <f t="shared" si="2"/>
        <v>6</v>
      </c>
      <c r="B37" s="22" t="s">
        <v>125</v>
      </c>
      <c r="C37" s="22" t="s">
        <v>227</v>
      </c>
      <c r="D37" s="24" t="s">
        <v>126</v>
      </c>
      <c r="E37" s="26" t="s">
        <v>127</v>
      </c>
      <c r="F37" s="24"/>
      <c r="G37" s="24" t="s">
        <v>251</v>
      </c>
      <c r="H37" s="24"/>
    </row>
    <row r="38" spans="1:8" s="25" customFormat="1" outlineLevel="1" x14ac:dyDescent="0.35">
      <c r="A38" s="21">
        <f t="shared" si="2"/>
        <v>7</v>
      </c>
      <c r="B38" s="22" t="s">
        <v>128</v>
      </c>
      <c r="C38" s="22" t="s">
        <v>228</v>
      </c>
      <c r="D38" s="24" t="s">
        <v>129</v>
      </c>
      <c r="E38" s="26" t="s">
        <v>130</v>
      </c>
      <c r="F38" s="24"/>
      <c r="G38" s="24" t="s">
        <v>251</v>
      </c>
      <c r="H38" s="24"/>
    </row>
    <row r="39" spans="1:8" s="25" customFormat="1" outlineLevel="1" x14ac:dyDescent="0.35">
      <c r="A39" s="21">
        <f t="shared" si="2"/>
        <v>8</v>
      </c>
      <c r="B39" s="22" t="s">
        <v>131</v>
      </c>
      <c r="C39" s="22" t="s">
        <v>229</v>
      </c>
      <c r="D39" s="24" t="s">
        <v>132</v>
      </c>
      <c r="E39" s="26" t="s">
        <v>201</v>
      </c>
      <c r="F39" s="24"/>
      <c r="G39" s="24" t="s">
        <v>251</v>
      </c>
      <c r="H39" s="24"/>
    </row>
    <row r="40" spans="1:8" s="25" customFormat="1" outlineLevel="1" x14ac:dyDescent="0.35">
      <c r="A40" s="21">
        <f t="shared" si="2"/>
        <v>9</v>
      </c>
      <c r="B40" s="22" t="s">
        <v>133</v>
      </c>
      <c r="C40" s="22" t="s">
        <v>230</v>
      </c>
      <c r="D40" s="24" t="s">
        <v>134</v>
      </c>
      <c r="E40" s="26" t="s">
        <v>202</v>
      </c>
      <c r="F40" s="24"/>
      <c r="G40" s="24" t="s">
        <v>251</v>
      </c>
      <c r="H40" s="24"/>
    </row>
    <row r="41" spans="1:8" s="25" customFormat="1" outlineLevel="1" x14ac:dyDescent="0.35">
      <c r="A41" s="21">
        <f t="shared" si="2"/>
        <v>10</v>
      </c>
      <c r="B41" s="22" t="s">
        <v>135</v>
      </c>
      <c r="C41" s="22" t="s">
        <v>231</v>
      </c>
      <c r="D41" s="24" t="s">
        <v>136</v>
      </c>
      <c r="E41" s="26" t="s">
        <v>205</v>
      </c>
      <c r="F41" s="24"/>
      <c r="G41" s="24" t="s">
        <v>251</v>
      </c>
      <c r="H41" s="24"/>
    </row>
    <row r="42" spans="1:8" s="25" customFormat="1" outlineLevel="1" x14ac:dyDescent="0.35">
      <c r="A42" s="21">
        <f t="shared" si="2"/>
        <v>11</v>
      </c>
      <c r="B42" s="22" t="s">
        <v>137</v>
      </c>
      <c r="C42" s="22" t="s">
        <v>232</v>
      </c>
      <c r="D42" s="24" t="s">
        <v>138</v>
      </c>
      <c r="E42" s="26" t="s">
        <v>203</v>
      </c>
      <c r="F42" s="24"/>
      <c r="G42" s="24" t="s">
        <v>251</v>
      </c>
      <c r="H42" s="24"/>
    </row>
    <row r="43" spans="1:8" s="25" customFormat="1" outlineLevel="1" x14ac:dyDescent="0.35">
      <c r="A43" s="21">
        <f t="shared" si="2"/>
        <v>12</v>
      </c>
      <c r="B43" s="22" t="s">
        <v>139</v>
      </c>
      <c r="C43" s="22" t="s">
        <v>233</v>
      </c>
      <c r="D43" s="24" t="s">
        <v>140</v>
      </c>
      <c r="E43" s="26" t="s">
        <v>204</v>
      </c>
      <c r="F43" s="24"/>
      <c r="G43" s="24" t="s">
        <v>251</v>
      </c>
      <c r="H43" s="24"/>
    </row>
    <row r="44" spans="1:8" s="25" customFormat="1" outlineLevel="1" x14ac:dyDescent="0.35">
      <c r="A44" s="21">
        <f t="shared" si="2"/>
        <v>13</v>
      </c>
      <c r="B44" s="22" t="s">
        <v>141</v>
      </c>
      <c r="C44" s="22" t="s">
        <v>234</v>
      </c>
      <c r="D44" s="24" t="s">
        <v>142</v>
      </c>
      <c r="E44" s="26" t="s">
        <v>206</v>
      </c>
      <c r="F44" s="24"/>
      <c r="G44" s="24" t="s">
        <v>251</v>
      </c>
      <c r="H44" s="24"/>
    </row>
    <row r="45" spans="1:8" s="25" customFormat="1" outlineLevel="1" x14ac:dyDescent="0.35">
      <c r="A45" s="21">
        <f t="shared" si="2"/>
        <v>14</v>
      </c>
      <c r="B45" s="22" t="s">
        <v>143</v>
      </c>
      <c r="C45" s="22" t="s">
        <v>235</v>
      </c>
      <c r="D45" s="24" t="s">
        <v>144</v>
      </c>
      <c r="E45" s="26" t="s">
        <v>207</v>
      </c>
      <c r="F45" s="24"/>
      <c r="G45" s="24" t="s">
        <v>251</v>
      </c>
      <c r="H45" s="24"/>
    </row>
    <row r="46" spans="1:8" s="25" customFormat="1" outlineLevel="1" x14ac:dyDescent="0.35">
      <c r="A46" s="21">
        <f t="shared" si="2"/>
        <v>15</v>
      </c>
      <c r="B46" s="22" t="s">
        <v>145</v>
      </c>
      <c r="C46" s="22" t="s">
        <v>236</v>
      </c>
      <c r="D46" s="24" t="s">
        <v>146</v>
      </c>
      <c r="E46" s="26" t="s">
        <v>208</v>
      </c>
      <c r="F46" s="24"/>
      <c r="G46" s="24" t="s">
        <v>251</v>
      </c>
      <c r="H46" s="24"/>
    </row>
    <row r="47" spans="1:8" s="2" customFormat="1" x14ac:dyDescent="0.35">
      <c r="A47" s="16" t="s">
        <v>5</v>
      </c>
      <c r="B47" s="16"/>
      <c r="C47" s="16"/>
      <c r="D47" s="17" t="s">
        <v>254</v>
      </c>
      <c r="E47" s="18"/>
      <c r="F47" s="19"/>
      <c r="G47" s="19" t="s">
        <v>251</v>
      </c>
      <c r="H47" s="19"/>
    </row>
    <row r="48" spans="1:8" s="25" customFormat="1" outlineLevel="1" x14ac:dyDescent="0.35">
      <c r="A48" s="21">
        <f t="shared" si="2"/>
        <v>17</v>
      </c>
      <c r="B48" s="22" t="s">
        <v>107</v>
      </c>
      <c r="C48" s="22" t="s">
        <v>221</v>
      </c>
      <c r="D48" s="24" t="s">
        <v>108</v>
      </c>
      <c r="E48" s="26" t="s">
        <v>155</v>
      </c>
      <c r="F48" s="24"/>
      <c r="G48" s="24" t="s">
        <v>318</v>
      </c>
      <c r="H48" s="24"/>
    </row>
    <row r="49" spans="1:8" s="25" customFormat="1" ht="48" outlineLevel="1" x14ac:dyDescent="0.35">
      <c r="A49" s="21">
        <f t="shared" si="2"/>
        <v>18</v>
      </c>
      <c r="B49" s="22" t="s">
        <v>89</v>
      </c>
      <c r="C49" s="22" t="s">
        <v>147</v>
      </c>
      <c r="D49" s="24" t="s">
        <v>90</v>
      </c>
      <c r="E49" s="26" t="s">
        <v>211</v>
      </c>
      <c r="F49" s="24"/>
      <c r="G49" s="27" t="s">
        <v>317</v>
      </c>
      <c r="H49" s="24"/>
    </row>
    <row r="50" spans="1:8" s="25" customFormat="1" ht="32" outlineLevel="1" x14ac:dyDescent="0.35">
      <c r="A50" s="21">
        <f t="shared" si="2"/>
        <v>19</v>
      </c>
      <c r="B50" s="22" t="s">
        <v>91</v>
      </c>
      <c r="C50" s="22" t="s">
        <v>148</v>
      </c>
      <c r="D50" s="24" t="s">
        <v>92</v>
      </c>
      <c r="E50" s="20" t="s">
        <v>212</v>
      </c>
      <c r="F50" s="24"/>
      <c r="G50" s="24" t="s">
        <v>315</v>
      </c>
      <c r="H50" s="24"/>
    </row>
    <row r="51" spans="1:8" s="25" customFormat="1" outlineLevel="1" x14ac:dyDescent="0.35">
      <c r="A51" s="21">
        <f t="shared" si="2"/>
        <v>20</v>
      </c>
      <c r="B51" s="22" t="s">
        <v>93</v>
      </c>
      <c r="C51" s="22" t="s">
        <v>149</v>
      </c>
      <c r="D51" s="24" t="s">
        <v>94</v>
      </c>
      <c r="E51" s="26" t="s">
        <v>213</v>
      </c>
      <c r="F51" s="24"/>
      <c r="G51" s="24" t="s">
        <v>315</v>
      </c>
      <c r="H51" s="24"/>
    </row>
    <row r="52" spans="1:8" s="25" customFormat="1" ht="32" outlineLevel="1" x14ac:dyDescent="0.35">
      <c r="A52" s="21">
        <f t="shared" si="2"/>
        <v>21</v>
      </c>
      <c r="B52" s="22" t="s">
        <v>95</v>
      </c>
      <c r="C52" s="22" t="s">
        <v>150</v>
      </c>
      <c r="D52" s="24" t="s">
        <v>96</v>
      </c>
      <c r="E52" s="20" t="s">
        <v>214</v>
      </c>
      <c r="F52" s="24"/>
      <c r="G52" s="24" t="s">
        <v>315</v>
      </c>
      <c r="H52" s="24"/>
    </row>
    <row r="53" spans="1:8" s="25" customFormat="1" outlineLevel="1" x14ac:dyDescent="0.35">
      <c r="A53" s="21">
        <f t="shared" si="2"/>
        <v>22</v>
      </c>
      <c r="B53" s="22" t="s">
        <v>97</v>
      </c>
      <c r="C53" s="22" t="s">
        <v>151</v>
      </c>
      <c r="D53" s="24" t="s">
        <v>98</v>
      </c>
      <c r="E53" s="26" t="s">
        <v>215</v>
      </c>
      <c r="F53" s="24"/>
      <c r="G53" s="24" t="s">
        <v>315</v>
      </c>
      <c r="H53" s="24"/>
    </row>
    <row r="54" spans="1:8" s="25" customFormat="1" outlineLevel="1" x14ac:dyDescent="0.35">
      <c r="A54" s="21">
        <f t="shared" si="2"/>
        <v>23</v>
      </c>
      <c r="B54" s="22" t="s">
        <v>99</v>
      </c>
      <c r="C54" s="22" t="s">
        <v>152</v>
      </c>
      <c r="D54" s="24" t="s">
        <v>100</v>
      </c>
      <c r="E54" s="26" t="s">
        <v>216</v>
      </c>
      <c r="F54" s="24"/>
      <c r="G54" s="24" t="s">
        <v>315</v>
      </c>
      <c r="H54" s="24"/>
    </row>
    <row r="55" spans="1:8" s="25" customFormat="1" ht="48" outlineLevel="1" x14ac:dyDescent="0.35">
      <c r="A55" s="21">
        <f t="shared" si="2"/>
        <v>24</v>
      </c>
      <c r="B55" s="22" t="s">
        <v>101</v>
      </c>
      <c r="C55" s="22" t="s">
        <v>153</v>
      </c>
      <c r="D55" s="24" t="s">
        <v>102</v>
      </c>
      <c r="E55" s="20" t="s">
        <v>217</v>
      </c>
      <c r="F55" s="24"/>
      <c r="G55" s="27" t="s">
        <v>317</v>
      </c>
      <c r="H55" s="24"/>
    </row>
    <row r="56" spans="1:8" s="25" customFormat="1" outlineLevel="1" x14ac:dyDescent="0.35">
      <c r="A56" s="21">
        <f t="shared" si="2"/>
        <v>25</v>
      </c>
      <c r="B56" s="22" t="s">
        <v>103</v>
      </c>
      <c r="C56" s="22" t="s">
        <v>154</v>
      </c>
      <c r="D56" s="24" t="s">
        <v>104</v>
      </c>
      <c r="E56" s="20" t="s">
        <v>218</v>
      </c>
      <c r="F56" s="24"/>
      <c r="G56" s="24" t="s">
        <v>315</v>
      </c>
      <c r="H56" s="24"/>
    </row>
    <row r="57" spans="1:8" s="25" customFormat="1" outlineLevel="1" x14ac:dyDescent="0.35">
      <c r="A57" s="21">
        <f t="shared" si="2"/>
        <v>26</v>
      </c>
      <c r="B57" s="22" t="s">
        <v>105</v>
      </c>
      <c r="C57" s="22" t="s">
        <v>220</v>
      </c>
      <c r="D57" s="24" t="s">
        <v>106</v>
      </c>
      <c r="E57" s="20" t="s">
        <v>219</v>
      </c>
      <c r="F57" s="24"/>
      <c r="G57" s="24" t="s">
        <v>315</v>
      </c>
      <c r="H57" s="24"/>
    </row>
    <row r="58" spans="1:8" s="2" customFormat="1" x14ac:dyDescent="0.35">
      <c r="A58" s="16" t="s">
        <v>255</v>
      </c>
      <c r="B58" s="16"/>
      <c r="C58" s="16"/>
      <c r="D58" s="17" t="s">
        <v>12</v>
      </c>
      <c r="E58" s="18"/>
      <c r="F58" s="19"/>
      <c r="G58" s="19" t="s">
        <v>251</v>
      </c>
      <c r="H58" s="19"/>
    </row>
    <row r="59" spans="1:8" s="25" customFormat="1" outlineLevel="1" x14ac:dyDescent="0.35">
      <c r="A59" s="21">
        <f>ROW()-ROW($A$58)</f>
        <v>1</v>
      </c>
      <c r="B59" s="22" t="s">
        <v>81</v>
      </c>
      <c r="C59" s="22"/>
      <c r="D59" s="24" t="s">
        <v>82</v>
      </c>
      <c r="E59" s="26"/>
      <c r="F59" s="24" t="s">
        <v>293</v>
      </c>
      <c r="G59" s="24" t="s">
        <v>318</v>
      </c>
      <c r="H59" s="23" t="s">
        <v>245</v>
      </c>
    </row>
    <row r="60" spans="1:8" s="25" customFormat="1" ht="32" outlineLevel="1" x14ac:dyDescent="0.35">
      <c r="A60" s="21">
        <f t="shared" ref="A60:A68" si="3">ROW()-ROW($A$58)</f>
        <v>2</v>
      </c>
      <c r="B60" s="22" t="s">
        <v>79</v>
      </c>
      <c r="C60" s="22"/>
      <c r="D60" s="24" t="s">
        <v>80</v>
      </c>
      <c r="E60" s="26"/>
      <c r="F60" s="24" t="s">
        <v>293</v>
      </c>
      <c r="G60" s="99" t="s">
        <v>319</v>
      </c>
      <c r="H60" s="23" t="s">
        <v>303</v>
      </c>
    </row>
    <row r="61" spans="1:8" s="25" customFormat="1" outlineLevel="1" x14ac:dyDescent="0.35">
      <c r="A61" s="21">
        <f t="shared" si="3"/>
        <v>3</v>
      </c>
      <c r="B61" s="22" t="s">
        <v>87</v>
      </c>
      <c r="C61" s="22"/>
      <c r="D61" s="24" t="s">
        <v>88</v>
      </c>
      <c r="E61" s="26" t="s">
        <v>243</v>
      </c>
      <c r="F61" s="24" t="s">
        <v>295</v>
      </c>
      <c r="G61" s="99" t="s">
        <v>319</v>
      </c>
      <c r="H61" s="24" t="s">
        <v>302</v>
      </c>
    </row>
    <row r="62" spans="1:8" s="25" customFormat="1" ht="32" outlineLevel="1" x14ac:dyDescent="0.35">
      <c r="A62" s="21">
        <f t="shared" si="3"/>
        <v>4</v>
      </c>
      <c r="B62" s="22" t="s">
        <v>85</v>
      </c>
      <c r="C62" s="22"/>
      <c r="D62" s="24" t="s">
        <v>86</v>
      </c>
      <c r="E62" s="20" t="s">
        <v>301</v>
      </c>
      <c r="F62" s="24"/>
      <c r="G62" s="24" t="s">
        <v>251</v>
      </c>
      <c r="H62" s="24"/>
    </row>
    <row r="63" spans="1:8" s="25" customFormat="1" outlineLevel="1" x14ac:dyDescent="0.35">
      <c r="A63" s="21">
        <f t="shared" si="3"/>
        <v>5</v>
      </c>
      <c r="B63" s="22" t="s">
        <v>83</v>
      </c>
      <c r="C63" s="22"/>
      <c r="D63" s="24" t="s">
        <v>84</v>
      </c>
      <c r="E63" s="26"/>
      <c r="F63" s="24"/>
      <c r="G63" s="24" t="s">
        <v>251</v>
      </c>
      <c r="H63" s="24"/>
    </row>
    <row r="64" spans="1:8" s="25" customFormat="1" outlineLevel="1" x14ac:dyDescent="0.35">
      <c r="A64" s="21">
        <f t="shared" si="3"/>
        <v>6</v>
      </c>
      <c r="B64" s="22" t="s">
        <v>109</v>
      </c>
      <c r="C64" s="22"/>
      <c r="D64" s="24" t="s">
        <v>110</v>
      </c>
      <c r="E64" s="26"/>
      <c r="F64" s="24"/>
      <c r="G64" s="24" t="s">
        <v>251</v>
      </c>
      <c r="H64" s="24"/>
    </row>
    <row r="65" spans="1:8" s="25" customFormat="1" outlineLevel="1" x14ac:dyDescent="0.35">
      <c r="A65" s="21">
        <f t="shared" si="3"/>
        <v>7</v>
      </c>
      <c r="B65" s="22" t="s">
        <v>111</v>
      </c>
      <c r="C65" s="22"/>
      <c r="D65" s="24" t="s">
        <v>112</v>
      </c>
      <c r="E65" s="26"/>
      <c r="F65" s="24"/>
      <c r="G65" s="24" t="s">
        <v>251</v>
      </c>
      <c r="H65" s="24"/>
    </row>
    <row r="66" spans="1:8" s="25" customFormat="1" outlineLevel="1" x14ac:dyDescent="0.35">
      <c r="A66" s="21">
        <f t="shared" si="3"/>
        <v>8</v>
      </c>
      <c r="B66" s="22" t="s">
        <v>113</v>
      </c>
      <c r="C66" s="22"/>
      <c r="D66" s="24" t="s">
        <v>114</v>
      </c>
      <c r="E66" s="26"/>
      <c r="F66" s="24"/>
      <c r="G66" s="24" t="s">
        <v>251</v>
      </c>
      <c r="H66" s="24"/>
    </row>
    <row r="67" spans="1:8" s="25" customFormat="1" outlineLevel="1" x14ac:dyDescent="0.35">
      <c r="A67" s="21">
        <f t="shared" si="3"/>
        <v>9</v>
      </c>
      <c r="B67" s="22" t="s">
        <v>115</v>
      </c>
      <c r="C67" s="22"/>
      <c r="D67" s="24" t="s">
        <v>116</v>
      </c>
      <c r="E67" s="26" t="s">
        <v>244</v>
      </c>
      <c r="F67" s="24"/>
      <c r="G67" s="24" t="s">
        <v>251</v>
      </c>
      <c r="H67" s="24"/>
    </row>
    <row r="68" spans="1:8" s="25" customFormat="1" outlineLevel="1" x14ac:dyDescent="0.35">
      <c r="A68" s="21">
        <f t="shared" si="3"/>
        <v>10</v>
      </c>
      <c r="B68" s="22" t="s">
        <v>117</v>
      </c>
      <c r="C68" s="22"/>
      <c r="D68" s="24" t="s">
        <v>118</v>
      </c>
      <c r="E68" s="26"/>
      <c r="F68" s="24"/>
      <c r="G68" s="24" t="s">
        <v>251</v>
      </c>
      <c r="H68" s="24"/>
    </row>
    <row r="69" spans="1:8" x14ac:dyDescent="0.35">
      <c r="A69" s="51" t="s">
        <v>13</v>
      </c>
      <c r="B69" s="51"/>
      <c r="C69" s="51"/>
      <c r="D69" s="47" t="s">
        <v>46</v>
      </c>
      <c r="E69" s="54"/>
      <c r="F69" s="55"/>
      <c r="G69" s="55"/>
      <c r="H69" s="55"/>
    </row>
    <row r="70" spans="1:8" s="25" customFormat="1" ht="32" outlineLevel="1" x14ac:dyDescent="0.35">
      <c r="A70" s="21">
        <f>ROW()-ROW($A$69)</f>
        <v>1</v>
      </c>
      <c r="B70" s="22" t="s">
        <v>171</v>
      </c>
      <c r="C70" s="22" t="s">
        <v>184</v>
      </c>
      <c r="D70" s="26" t="s">
        <v>172</v>
      </c>
      <c r="E70" s="20" t="s">
        <v>198</v>
      </c>
      <c r="F70" s="24"/>
      <c r="G70" s="24" t="s">
        <v>252</v>
      </c>
      <c r="H70" s="24"/>
    </row>
    <row r="71" spans="1:8" s="25" customFormat="1" ht="32" outlineLevel="1" x14ac:dyDescent="0.35">
      <c r="A71" s="21">
        <f t="shared" ref="A71:A79" si="4">ROW()-ROW($A$69)</f>
        <v>2</v>
      </c>
      <c r="B71" s="22" t="s">
        <v>173</v>
      </c>
      <c r="C71" s="22" t="s">
        <v>185</v>
      </c>
      <c r="D71" s="26" t="s">
        <v>174</v>
      </c>
      <c r="E71" s="20" t="s">
        <v>199</v>
      </c>
      <c r="F71" s="24"/>
      <c r="G71" s="24" t="s">
        <v>252</v>
      </c>
      <c r="H71" s="24"/>
    </row>
    <row r="72" spans="1:8" s="25" customFormat="1" outlineLevel="1" x14ac:dyDescent="0.35">
      <c r="A72" s="21">
        <f t="shared" si="4"/>
        <v>3</v>
      </c>
      <c r="B72" s="22" t="s">
        <v>159</v>
      </c>
      <c r="C72" s="22" t="s">
        <v>178</v>
      </c>
      <c r="D72" s="26" t="s">
        <v>160</v>
      </c>
      <c r="E72" s="26" t="s">
        <v>187</v>
      </c>
      <c r="F72" s="24"/>
      <c r="G72" s="24" t="s">
        <v>252</v>
      </c>
      <c r="H72" s="24"/>
    </row>
    <row r="73" spans="1:8" s="25" customFormat="1" outlineLevel="1" x14ac:dyDescent="0.35">
      <c r="A73" s="21">
        <f t="shared" si="4"/>
        <v>4</v>
      </c>
      <c r="B73" s="22" t="s">
        <v>157</v>
      </c>
      <c r="C73" s="22" t="s">
        <v>177</v>
      </c>
      <c r="D73" s="26" t="s">
        <v>158</v>
      </c>
      <c r="E73" s="26" t="s">
        <v>188</v>
      </c>
      <c r="F73" s="24"/>
      <c r="G73" s="24" t="s">
        <v>252</v>
      </c>
      <c r="H73" s="24"/>
    </row>
    <row r="74" spans="1:8" s="25" customFormat="1" outlineLevel="1" x14ac:dyDescent="0.35">
      <c r="A74" s="21">
        <f t="shared" si="4"/>
        <v>5</v>
      </c>
      <c r="B74" s="22" t="s">
        <v>169</v>
      </c>
      <c r="C74" s="22" t="s">
        <v>183</v>
      </c>
      <c r="D74" s="26" t="s">
        <v>170</v>
      </c>
      <c r="E74" s="26" t="s">
        <v>189</v>
      </c>
      <c r="F74" s="24"/>
      <c r="G74" s="24" t="s">
        <v>252</v>
      </c>
      <c r="H74" s="24"/>
    </row>
    <row r="75" spans="1:8" s="25" customFormat="1" outlineLevel="1" x14ac:dyDescent="0.35">
      <c r="A75" s="21">
        <f t="shared" si="4"/>
        <v>6</v>
      </c>
      <c r="B75" s="22" t="s">
        <v>165</v>
      </c>
      <c r="C75" s="22" t="s">
        <v>181</v>
      </c>
      <c r="D75" s="26" t="s">
        <v>166</v>
      </c>
      <c r="E75" s="26" t="s">
        <v>190</v>
      </c>
      <c r="F75" s="24"/>
      <c r="G75" s="24" t="s">
        <v>252</v>
      </c>
      <c r="H75" s="24"/>
    </row>
    <row r="76" spans="1:8" s="25" customFormat="1" outlineLevel="1" x14ac:dyDescent="0.35">
      <c r="A76" s="21">
        <f t="shared" si="4"/>
        <v>7</v>
      </c>
      <c r="B76" s="22" t="s">
        <v>167</v>
      </c>
      <c r="C76" s="22" t="s">
        <v>182</v>
      </c>
      <c r="D76" s="26" t="s">
        <v>168</v>
      </c>
      <c r="E76" s="26" t="s">
        <v>191</v>
      </c>
      <c r="F76" s="24"/>
      <c r="G76" s="24" t="s">
        <v>252</v>
      </c>
      <c r="H76" s="24"/>
    </row>
    <row r="77" spans="1:8" s="25" customFormat="1" outlineLevel="1" x14ac:dyDescent="0.35">
      <c r="A77" s="21">
        <f t="shared" si="4"/>
        <v>8</v>
      </c>
      <c r="B77" s="22" t="s">
        <v>161</v>
      </c>
      <c r="C77" s="22" t="s">
        <v>179</v>
      </c>
      <c r="D77" s="26" t="s">
        <v>162</v>
      </c>
      <c r="E77" s="26" t="s">
        <v>193</v>
      </c>
      <c r="F77" s="24"/>
      <c r="G77" s="24" t="s">
        <v>252</v>
      </c>
      <c r="H77" s="24"/>
    </row>
    <row r="78" spans="1:8" s="25" customFormat="1" outlineLevel="1" x14ac:dyDescent="0.35">
      <c r="A78" s="21">
        <f t="shared" si="4"/>
        <v>9</v>
      </c>
      <c r="B78" s="22" t="s">
        <v>163</v>
      </c>
      <c r="C78" s="22" t="s">
        <v>180</v>
      </c>
      <c r="D78" s="26" t="s">
        <v>164</v>
      </c>
      <c r="E78" s="26" t="s">
        <v>192</v>
      </c>
      <c r="F78" s="24"/>
      <c r="G78" s="24" t="s">
        <v>252</v>
      </c>
      <c r="H78" s="24"/>
    </row>
    <row r="79" spans="1:8" s="25" customFormat="1" outlineLevel="1" x14ac:dyDescent="0.35">
      <c r="A79" s="21">
        <f t="shared" si="4"/>
        <v>10</v>
      </c>
      <c r="B79" s="22" t="s">
        <v>175</v>
      </c>
      <c r="C79" s="22" t="s">
        <v>186</v>
      </c>
      <c r="D79" s="26" t="s">
        <v>176</v>
      </c>
      <c r="E79" s="26" t="s">
        <v>197</v>
      </c>
      <c r="F79" s="24"/>
      <c r="G79" s="24" t="s">
        <v>252</v>
      </c>
      <c r="H79" s="24"/>
    </row>
    <row r="80" spans="1:8" s="25" customFormat="1" x14ac:dyDescent="0.35">
      <c r="A80" s="31"/>
      <c r="B80" s="32"/>
      <c r="C80" s="32"/>
      <c r="D80" s="33"/>
      <c r="E80" s="34"/>
      <c r="F80" s="35"/>
      <c r="G80" s="35"/>
      <c r="H80" s="35"/>
    </row>
    <row r="81" spans="1:8" s="25" customFormat="1" x14ac:dyDescent="0.35">
      <c r="A81" s="36"/>
      <c r="B81" s="37"/>
      <c r="C81" s="37"/>
      <c r="D81" s="38"/>
      <c r="E81" s="39"/>
      <c r="F81" s="40"/>
      <c r="G81" s="40"/>
      <c r="H81" s="40"/>
    </row>
    <row r="82" spans="1:8" s="25" customFormat="1" x14ac:dyDescent="0.35">
      <c r="A82" s="41"/>
      <c r="B82" s="41"/>
      <c r="C82" s="41"/>
      <c r="D82" s="42"/>
      <c r="E82" s="43"/>
      <c r="F82" s="44"/>
      <c r="G82" s="44"/>
      <c r="H82" s="44"/>
    </row>
  </sheetData>
  <hyperlinks>
    <hyperlink ref="D11" location="'02. HÌNH ẢNH _ CHAI PET'!B26" display="Chai B1" xr:uid="{1E3B54D1-E178-4966-89E9-45E1FEF65BA5}"/>
    <hyperlink ref="D12" location="'02. HÌNH ẢNH _ CHAI PET'!B44" display="Chai B1 không phân loại" xr:uid="{91E40258-1C6F-40C2-81FD-05B58AE47255}"/>
    <hyperlink ref="D14" location="'02. HÌNH ẢNH _ CHAI PET'!B63" display="Chai PET B2.1" xr:uid="{EFFC9693-9795-4DC0-9808-E1792E31982C}"/>
    <hyperlink ref="D15" location="'02. HÌNH ẢNH _ CHAI PET'!B81" display="Chai PET B2.2" xr:uid="{99CB7547-EE87-49E0-A910-24825A289D58}"/>
    <hyperlink ref="D16" location="'02. HÌNH ẢNH _ CHAI PET'!B95" display="Chai PET B3" xr:uid="{ABEAD36A-D0F6-46D1-ABDB-37849EB5BD1F}"/>
    <hyperlink ref="D17" location="'02. HÌNH ẢNH _ CHAI PET'!B114" display="Chai PET B4" xr:uid="{4DB4D3F8-0413-4C69-86B7-5E94D1F1AB32}"/>
    <hyperlink ref="D18" location="'02. HÌNH ẢNH _ CHAI PET'!B131" display="Chai PET B5" xr:uid="{3DEAA263-78FC-4677-8E28-889B1572389F}"/>
    <hyperlink ref="D19" location="'02. HÌNH ẢNH _ CHAI PET'!B146" display="Chai PET B6.1" xr:uid="{744F5F25-F6F0-452C-878D-E7001926BA64}"/>
    <hyperlink ref="D20" location="'02. HÌNH ẢNH _ CHAI PET'!B163" display="Chai PET B6.2" xr:uid="{FE02E7B2-0D89-4D67-A5CC-339FAE5338B8}"/>
    <hyperlink ref="D10" location="'02. HÌNH ẢNH _ CHAI PET'!B234" display="Chai PET B1.4" xr:uid="{F86F0679-AFD1-4831-B3FF-1FF00EB7C81D}"/>
    <hyperlink ref="D21" location="'02. HÌNH ẢNH _ CHAI PET'!B187" display="Chai PET B7.1" xr:uid="{13D304A5-90F9-4569-A1DE-EE28A3A22AFA}"/>
    <hyperlink ref="D22" location="'02. HÌNH ẢNH _ CHAI PET'!B201" display="Chai PET B7.2" xr:uid="{E1EEC993-738A-45FA-856A-F7CF4016A354}"/>
    <hyperlink ref="D13" location="'02. HÌNH ẢNH _ CHAI PET'!B273" display="Chai PET B1.3" xr:uid="{9C0EC291-DDC9-4196-BD36-7BC6B92822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Cảnh báo giá mua</vt:lpstr>
      <vt:lpstr>Sheet3</vt:lpstr>
      <vt:lpstr>BOM&amp;NRV</vt:lpstr>
      <vt:lpstr>GAP</vt:lpstr>
      <vt:lpstr>So sánh thiệt hại</vt:lpstr>
      <vt:lpstr>Giá mua Chai-Vảy</vt:lpstr>
      <vt:lpstr>Giá mua Chai-Vảy (Giá giảm)</vt:lpstr>
      <vt:lpstr>Hiệu suất</vt:lpstr>
      <vt:lpstr>H_Tỷ lệ HH&amp;PS</vt:lpstr>
      <vt:lpstr>H_Tỷ lệ HH&amp;PS (-PS)</vt:lpstr>
      <vt:lpstr>Chart</vt:lpstr>
      <vt:lpstr>Hảo_R&amp;D</vt:lpstr>
      <vt:lpstr>Hảo_R&amp;D (Vảy sạch)</vt:lpstr>
      <vt:lpstr>Hảo_R&amp;D (Vảy sạch) (-PS)</vt:lpstr>
      <vt:lpstr>Hảo_R&amp;D (Vảy sạch) (giảm giá)</vt:lpstr>
      <vt:lpstr>Hảo_R&amp;D (Hạt)</vt:lpstr>
      <vt:lpstr>Hảo_R&amp;D (Hạt) (full stage)-Chai</vt:lpstr>
      <vt:lpstr>Hảo_R&amp;D (Hạt) (full stage)-MN</vt:lpstr>
      <vt:lpstr>Hảo_R&amp;D (Hạt-Full stage-Mix)</vt:lpstr>
      <vt:lpstr>Phượng_QC</vt:lpstr>
      <vt:lpstr>01. ĐỊNH NGHĨA</vt:lpstr>
      <vt:lpstr>'H_Tỷ lệ HH&amp;PS (-PS)'!Print_Area</vt:lpstr>
      <vt:lpstr>'Hảo_R&amp;D (Vảy sạch) (-PS)'!Print_Area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Tâm, Lưu Thị Minh</dc:creator>
  <cp:lastModifiedBy>Cư, Lê Hoành</cp:lastModifiedBy>
  <cp:lastPrinted>2026-04-29T04:47:22Z</cp:lastPrinted>
  <dcterms:created xsi:type="dcterms:W3CDTF">2025-01-15T02:42:05Z</dcterms:created>
  <dcterms:modified xsi:type="dcterms:W3CDTF">2026-05-07T14:26:15Z</dcterms:modified>
</cp:coreProperties>
</file>