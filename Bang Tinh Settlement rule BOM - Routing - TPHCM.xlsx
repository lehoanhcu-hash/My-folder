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EDBFB5D-7511-4596-B02B-B4EDD5A562F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OM" sheetId="1" r:id="rId1"/>
    <sheet name="ROUTING" sheetId="2" r:id="rId2"/>
    <sheet name="Invest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I5" i="2"/>
  <c r="H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7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7" i="1"/>
  <c r="M31" i="1"/>
  <c r="N28" i="1" s="1"/>
  <c r="N14" i="1"/>
  <c r="N11" i="1"/>
  <c r="N10" i="1"/>
  <c r="N7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6" i="1"/>
  <c r="H9" i="1"/>
  <c r="H8" i="1"/>
  <c r="H27" i="1"/>
  <c r="F21" i="1"/>
  <c r="E6" i="1"/>
  <c r="F31" i="1"/>
  <c r="F26" i="1" s="1"/>
  <c r="G26" i="1"/>
  <c r="G31" i="1"/>
  <c r="H28" i="1"/>
  <c r="H31" i="1"/>
  <c r="D30" i="1"/>
  <c r="D29" i="1"/>
  <c r="D28" i="1"/>
  <c r="F28" i="1" s="1"/>
  <c r="D27" i="1"/>
  <c r="F27" i="1" s="1"/>
  <c r="N27" i="1" l="1"/>
  <c r="D31" i="1"/>
  <c r="G21" i="1" l="1"/>
  <c r="F8" i="1"/>
  <c r="F12" i="1"/>
  <c r="H12" i="1" s="1"/>
  <c r="M7" i="1"/>
  <c r="M13" i="1" l="1"/>
  <c r="M9" i="1"/>
  <c r="M11" i="1"/>
  <c r="M10" i="1"/>
  <c r="M14" i="1"/>
  <c r="F9" i="1"/>
  <c r="E21" i="1"/>
  <c r="F11" i="1"/>
  <c r="F13" i="1"/>
  <c r="H13" i="1" s="1"/>
  <c r="F10" i="1"/>
  <c r="H10" i="1" s="1"/>
  <c r="F14" i="1"/>
  <c r="H14" i="1" s="1"/>
  <c r="F7" i="1"/>
  <c r="M21" i="1" l="1"/>
  <c r="N8" i="1" s="1"/>
  <c r="H11" i="1"/>
  <c r="N15" i="1" l="1"/>
  <c r="N17" i="1"/>
  <c r="N16" i="1"/>
  <c r="N12" i="1"/>
  <c r="N13" i="1"/>
  <c r="N9" i="1"/>
  <c r="I15" i="2" l="1"/>
  <c r="F28" i="2" l="1"/>
  <c r="F29" i="2"/>
  <c r="F22" i="2"/>
  <c r="F23" i="2"/>
  <c r="F24" i="2"/>
  <c r="F32" i="2"/>
  <c r="F31" i="2"/>
  <c r="F30" i="2"/>
  <c r="F27" i="2"/>
  <c r="J26" i="2"/>
  <c r="I26" i="2"/>
  <c r="F21" i="2"/>
  <c r="F20" i="2"/>
  <c r="F19" i="2"/>
  <c r="F18" i="2"/>
  <c r="F17" i="2"/>
  <c r="F16" i="2"/>
  <c r="J15" i="2"/>
  <c r="D15" i="2"/>
  <c r="F13" i="2"/>
  <c r="F12" i="2"/>
  <c r="F11" i="2"/>
  <c r="F10" i="2"/>
  <c r="F9" i="2"/>
  <c r="F8" i="2"/>
  <c r="F7" i="2"/>
  <c r="F6" i="2"/>
  <c r="D20" i="1" l="1"/>
  <c r="D21" i="1" s="1"/>
  <c r="H21" i="1"/>
  <c r="I7" i="1" s="1"/>
  <c r="J7" i="1" l="1"/>
  <c r="K7" i="1" s="1"/>
  <c r="I12" i="1"/>
  <c r="J12" i="1" s="1"/>
  <c r="K12" i="1" s="1"/>
  <c r="I8" i="1"/>
  <c r="J8" i="1" s="1"/>
  <c r="K8" i="1" s="1"/>
  <c r="I9" i="1"/>
  <c r="I14" i="1"/>
  <c r="J14" i="1" s="1"/>
  <c r="K14" i="1" s="1"/>
  <c r="I10" i="1"/>
  <c r="J10" i="1" s="1"/>
  <c r="K10" i="1" s="1"/>
  <c r="I13" i="1"/>
  <c r="I26" i="1" s="1"/>
  <c r="I11" i="1"/>
  <c r="J11" i="1" s="1"/>
  <c r="K11" i="1" s="1"/>
  <c r="J13" i="1" l="1"/>
  <c r="K13" i="1" s="1"/>
  <c r="J9" i="1"/>
  <c r="K9" i="1" s="1"/>
  <c r="K6" i="1" s="1"/>
  <c r="J6" i="1"/>
  <c r="I21" i="1"/>
  <c r="I28" i="1" l="1"/>
  <c r="J28" i="1" s="1"/>
  <c r="K28" i="1" s="1"/>
  <c r="I27" i="1"/>
  <c r="K27" i="1" l="1"/>
  <c r="J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<sst xmlns="http://schemas.openxmlformats.org/spreadsheetml/2006/main" count="164" uniqueCount="94">
  <si>
    <t>SOÁT XÉT LẠI BOM SAU 3 THÁNG CHẠY THỬ</t>
  </si>
  <si>
    <t>1000445</t>
  </si>
  <si>
    <t>Tròn</t>
  </si>
  <si>
    <t>TB</t>
  </si>
  <si>
    <t>Số lượng</t>
  </si>
  <si>
    <t>Tỷ lệ</t>
  </si>
  <si>
    <t>150000001</t>
  </si>
  <si>
    <t>Chai PET B0</t>
  </si>
  <si>
    <t>160000002</t>
  </si>
  <si>
    <t>Chai PET B2.2</t>
  </si>
  <si>
    <t>160000004</t>
  </si>
  <si>
    <t>Chai PET B5</t>
  </si>
  <si>
    <t>160000005</t>
  </si>
  <si>
    <t>Chai PET B6.2</t>
  </si>
  <si>
    <t>160000063</t>
  </si>
  <si>
    <t>Chai PET B4</t>
  </si>
  <si>
    <t>160000007</t>
  </si>
  <si>
    <t>Nắp HD Ép Các Màu HDE-06</t>
  </si>
  <si>
    <t>160000006</t>
  </si>
  <si>
    <t>800000006</t>
  </si>
  <si>
    <t>1000446</t>
  </si>
  <si>
    <t>Ép kiện</t>
  </si>
  <si>
    <t>150000003</t>
  </si>
  <si>
    <t>Chai PET (ép kiện)</t>
  </si>
  <si>
    <t>160000084</t>
  </si>
  <si>
    <t>Chai PET B7.2</t>
  </si>
  <si>
    <t>1000448</t>
  </si>
  <si>
    <t>Tuyển</t>
  </si>
  <si>
    <t>152000009</t>
  </si>
  <si>
    <t>Chai PET B1 Không Phân Loại</t>
  </si>
  <si>
    <t>Settlement rule - BOM</t>
  </si>
  <si>
    <t>Settlement rule - ROUTING</t>
  </si>
  <si>
    <t>1H sx</t>
  </si>
  <si>
    <t>LAB01</t>
  </si>
  <si>
    <t>Nhân công trực tiếp</t>
  </si>
  <si>
    <t>LAB03</t>
  </si>
  <si>
    <t>Nhân công gián tiếp</t>
  </si>
  <si>
    <t>ELE01</t>
  </si>
  <si>
    <t>DEP01</t>
  </si>
  <si>
    <t>Điện</t>
  </si>
  <si>
    <t>Khấu hao</t>
  </si>
  <si>
    <t>OTHE01</t>
  </si>
  <si>
    <t>Sản xuất chung</t>
  </si>
  <si>
    <t>ROUTING HIỆN TẠI</t>
  </si>
  <si>
    <t>Đvt</t>
  </si>
  <si>
    <t>h</t>
  </si>
  <si>
    <t>Kw/h</t>
  </si>
  <si>
    <t>160000062</t>
  </si>
  <si>
    <t>Hao Hụt - Tạp chất</t>
  </si>
  <si>
    <t>Hao hụt - nhãn chai PET</t>
  </si>
  <si>
    <t>160000059</t>
  </si>
  <si>
    <t>Hao hụt vô hình</t>
  </si>
  <si>
    <t>Chai PET B1.1</t>
  </si>
  <si>
    <t>160000001</t>
  </si>
  <si>
    <t>TỔNG</t>
  </si>
  <si>
    <t>Giá bán hiện tại</t>
  </si>
  <si>
    <t>Ghi chú</t>
  </si>
  <si>
    <t>Hệ số quy đổi</t>
  </si>
  <si>
    <t>BOM - KẾ HOẠCH</t>
  </si>
  <si>
    <t>Hide</t>
  </si>
  <si>
    <t>Hệ số quy đổi giá bán</t>
  </si>
  <si>
    <t>Chai PET B7.1</t>
  </si>
  <si>
    <t>Cổ Chai PET</t>
  </si>
  <si>
    <t>Chai PET xá</t>
  </si>
  <si>
    <t>Chai PET B6.1</t>
  </si>
  <si>
    <t>Chai PET B1.3</t>
  </si>
  <si>
    <t>160000081</t>
  </si>
  <si>
    <t>(1)</t>
  </si>
  <si>
    <t>(2)</t>
  </si>
  <si>
    <t>(3)= (1)*(2)</t>
  </si>
  <si>
    <t>(4)</t>
  </si>
  <si>
    <t>160000027</t>
  </si>
  <si>
    <t>Vảy PET B6.2_A6</t>
  </si>
  <si>
    <t xml:space="preserve">Vảy nắp hỗn hợp B6.2 </t>
  </si>
  <si>
    <t>Phó sản bụi cám</t>
  </si>
  <si>
    <t>Sản lượng thành phẩm thực tế</t>
  </si>
  <si>
    <t>Sản lượng thành phẩm quy đổi</t>
  </si>
  <si>
    <t>Giá trị nguyên liệu phân bổ cho thành phẩm quy đổi</t>
  </si>
  <si>
    <t>CÔNG ĐOẠN PHÂN LOẠI CHAI</t>
  </si>
  <si>
    <t>CÔNG ĐOẠN BĂM CHAI B6.2</t>
  </si>
  <si>
    <t>(4) = Tổng giá trị NVL /(Tổng số lượng TP quy đổi) * Sl Tp quy đổi.
(5) = Giá trị nguyên liệu phân bổ cho thành phẩm quy đổi / Tổng giá trị nguyên liệu phân bổ cho thành phẩm quy đổi</t>
  </si>
  <si>
    <t xml:space="preserve">I. </t>
  </si>
  <si>
    <t>II.</t>
  </si>
  <si>
    <t>BẢNG TÍNH SETTLEMENT RULE BOM - ROUTING (co-product)</t>
  </si>
  <si>
    <t>GT NVL</t>
  </si>
  <si>
    <t>CFSX</t>
  </si>
  <si>
    <t>GT SP Trạm</t>
  </si>
  <si>
    <t>LG</t>
  </si>
  <si>
    <t>%</t>
  </si>
  <si>
    <r>
      <t>•</t>
    </r>
    <r>
      <rPr>
        <sz val="20"/>
        <color rgb="FF000000"/>
        <rFont val="Arial"/>
        <family val="2"/>
      </rPr>
      <t>CSHT:    1,3 tỷ VNĐ</t>
    </r>
  </si>
  <si>
    <r>
      <t>•</t>
    </r>
    <r>
      <rPr>
        <b/>
        <sz val="20"/>
        <color rgb="FF000000"/>
        <rFont val="Arial"/>
        <family val="2"/>
      </rPr>
      <t>Tổng:  16,5 tỷ VNĐ</t>
    </r>
  </si>
  <si>
    <r>
      <t>•</t>
    </r>
    <r>
      <rPr>
        <sz val="20"/>
        <color rgb="FF000000"/>
        <rFont val="Arial"/>
        <family val="2"/>
      </rPr>
      <t xml:space="preserve">MMTB: 15,2 </t>
    </r>
  </si>
  <si>
    <t>Đvt: tỷ VNĐ</t>
  </si>
  <si>
    <t>Nhân lực KTTC: 3 người (KTT, KTTH, KT kho)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</si>
</sst>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9" tint="-0.249977111117893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70C0"/>
      <name val="Calibri"/>
      <family val="2"/>
      <scheme val="minor"/>
    </font>
    <font>
      <b/>
      <sz val="16"/>
      <name val="Arial"/>
      <family val="2"/>
    </font>
    <font>
      <b/>
      <sz val="9"/>
      <color indexed="81"/>
      <name val="Tahoma"/>
      <family val="2"/>
    </font>
    <font>
      <sz val="22"/>
      <color rgb="FFFFFFFF"/>
      <name val="Arial"/>
      <family val="2"/>
    </font>
    <font>
      <sz val="20"/>
      <color rgb="FF000000"/>
      <name val="Arial"/>
      <family val="2"/>
    </font>
    <font>
      <b/>
      <sz val="20"/>
      <color rgb="FF000000"/>
      <name val="Arial"/>
      <family val="2"/>
    </font>
    <font>
      <sz val="1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/>
      <diagonal/>
    </border>
    <border>
      <left style="thick">
        <color theme="1"/>
      </left>
      <right/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hair">
        <color theme="0" tint="-0.499984740745262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thick">
        <color theme="1"/>
      </bottom>
      <diagonal/>
    </border>
    <border>
      <left style="thick">
        <color rgb="FFC00000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theme="1"/>
      </right>
      <top/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/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rgb="FFC00000"/>
      </left>
      <right style="thin">
        <color theme="1"/>
      </right>
      <top style="hair">
        <color theme="0" tint="-0.499984740745262"/>
      </top>
      <bottom style="thick">
        <color rgb="FFC00000"/>
      </bottom>
      <diagonal/>
    </border>
    <border>
      <left style="thin">
        <color theme="1"/>
      </left>
      <right style="thick">
        <color rgb="FFC00000"/>
      </right>
      <top style="hair">
        <color theme="0" tint="-0.499984740745262"/>
      </top>
      <bottom style="thick">
        <color rgb="FFC00000"/>
      </bottom>
      <diagonal/>
    </border>
    <border>
      <left style="thick">
        <color rgb="FFC00000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ck">
        <color rgb="FFC00000"/>
      </right>
      <top/>
      <bottom style="thin">
        <color indexed="64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16">
    <xf numFmtId="0" fontId="0" fillId="0" borderId="0" xfId="0"/>
    <xf numFmtId="0" fontId="2" fillId="0" borderId="0" xfId="0" applyFont="1" applyAlignment="1">
      <alignment vertical="top"/>
    </xf>
    <xf numFmtId="49" fontId="4" fillId="0" borderId="2" xfId="4" applyNumberFormat="1" applyFont="1" applyBorder="1" applyAlignment="1">
      <alignment vertical="top"/>
    </xf>
    <xf numFmtId="0" fontId="4" fillId="0" borderId="2" xfId="4" applyFont="1" applyBorder="1" applyAlignment="1">
      <alignment vertical="top" wrapText="1"/>
    </xf>
    <xf numFmtId="164" fontId="4" fillId="0" borderId="2" xfId="1" applyNumberFormat="1" applyFont="1" applyBorder="1" applyAlignment="1">
      <alignment vertical="top"/>
    </xf>
    <xf numFmtId="49" fontId="2" fillId="0" borderId="3" xfId="4" applyNumberFormat="1" applyBorder="1" applyAlignment="1">
      <alignment vertical="top"/>
    </xf>
    <xf numFmtId="0" fontId="2" fillId="0" borderId="3" xfId="4" applyBorder="1" applyAlignment="1">
      <alignment vertical="top" wrapText="1"/>
    </xf>
    <xf numFmtId="164" fontId="2" fillId="0" borderId="3" xfId="1" applyNumberFormat="1" applyFont="1" applyBorder="1" applyAlignment="1">
      <alignment vertical="top"/>
    </xf>
    <xf numFmtId="49" fontId="2" fillId="0" borderId="4" xfId="4" applyNumberFormat="1" applyBorder="1" applyAlignment="1">
      <alignment vertical="top"/>
    </xf>
    <xf numFmtId="0" fontId="2" fillId="0" borderId="4" xfId="4" applyBorder="1" applyAlignment="1">
      <alignment vertical="top" wrapText="1"/>
    </xf>
    <xf numFmtId="164" fontId="2" fillId="0" borderId="4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165" fontId="4" fillId="2" borderId="6" xfId="2" applyNumberFormat="1" applyFont="1" applyFill="1" applyBorder="1" applyAlignment="1">
      <alignment vertical="top"/>
    </xf>
    <xf numFmtId="165" fontId="2" fillId="2" borderId="7" xfId="2" applyNumberFormat="1" applyFont="1" applyFill="1" applyBorder="1" applyAlignment="1">
      <alignment vertical="top"/>
    </xf>
    <xf numFmtId="165" fontId="2" fillId="2" borderId="8" xfId="2" applyNumberFormat="1" applyFont="1" applyFill="1" applyBorder="1" applyAlignment="1">
      <alignment vertical="top"/>
    </xf>
    <xf numFmtId="49" fontId="3" fillId="3" borderId="1" xfId="3" applyNumberFormat="1" applyFont="1" applyFill="1" applyBorder="1"/>
    <xf numFmtId="0" fontId="3" fillId="3" borderId="1" xfId="3" applyFont="1" applyFill="1" applyBorder="1" applyAlignment="1">
      <alignment wrapText="1"/>
    </xf>
    <xf numFmtId="164" fontId="4" fillId="0" borderId="9" xfId="1" applyNumberFormat="1" applyFont="1" applyBorder="1" applyAlignment="1">
      <alignment vertical="top"/>
    </xf>
    <xf numFmtId="164" fontId="2" fillId="0" borderId="10" xfId="1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165" fontId="2" fillId="0" borderId="7" xfId="2" applyNumberFormat="1" applyFont="1" applyBorder="1" applyAlignment="1">
      <alignment vertical="top"/>
    </xf>
    <xf numFmtId="165" fontId="2" fillId="0" borderId="12" xfId="2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165" fontId="2" fillId="0" borderId="8" xfId="2" applyNumberFormat="1" applyFont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  <xf numFmtId="0" fontId="7" fillId="3" borderId="14" xfId="0" applyFont="1" applyFill="1" applyBorder="1" applyAlignment="1">
      <alignment horizontal="center" vertical="top"/>
    </xf>
    <xf numFmtId="164" fontId="4" fillId="2" borderId="15" xfId="1" applyNumberFormat="1" applyFont="1" applyFill="1" applyBorder="1" applyAlignment="1">
      <alignment vertical="top"/>
    </xf>
    <xf numFmtId="164" fontId="2" fillId="2" borderId="16" xfId="1" applyNumberFormat="1" applyFont="1" applyFill="1" applyBorder="1" applyAlignment="1">
      <alignment vertical="top"/>
    </xf>
    <xf numFmtId="0" fontId="7" fillId="3" borderId="17" xfId="0" applyFont="1" applyFill="1" applyBorder="1" applyAlignment="1">
      <alignment horizontal="center" vertical="top"/>
    </xf>
    <xf numFmtId="164" fontId="2" fillId="2" borderId="18" xfId="1" applyNumberFormat="1" applyFont="1" applyFill="1" applyBorder="1" applyAlignment="1">
      <alignment vertical="top"/>
    </xf>
    <xf numFmtId="0" fontId="7" fillId="3" borderId="20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vertical="top"/>
    </xf>
    <xf numFmtId="165" fontId="2" fillId="2" borderId="21" xfId="2" applyNumberFormat="1" applyFont="1" applyFill="1" applyBorder="1" applyAlignment="1">
      <alignment vertical="top"/>
    </xf>
    <xf numFmtId="0" fontId="7" fillId="3" borderId="22" xfId="0" applyFont="1" applyFill="1" applyBorder="1" applyAlignment="1">
      <alignment horizontal="center" vertical="top"/>
    </xf>
    <xf numFmtId="0" fontId="7" fillId="3" borderId="23" xfId="0" applyFont="1" applyFill="1" applyBorder="1" applyAlignment="1">
      <alignment horizontal="center" vertical="top"/>
    </xf>
    <xf numFmtId="9" fontId="4" fillId="4" borderId="24" xfId="2" applyFont="1" applyFill="1" applyBorder="1" applyAlignment="1">
      <alignment vertical="top"/>
    </xf>
    <xf numFmtId="9" fontId="4" fillId="4" borderId="25" xfId="2" applyFont="1" applyFill="1" applyBorder="1" applyAlignment="1">
      <alignment vertical="top"/>
    </xf>
    <xf numFmtId="9" fontId="2" fillId="4" borderId="26" xfId="2" applyFont="1" applyFill="1" applyBorder="1" applyAlignment="1">
      <alignment vertical="top"/>
    </xf>
    <xf numFmtId="9" fontId="2" fillId="4" borderId="27" xfId="2" applyFont="1" applyFill="1" applyBorder="1" applyAlignment="1">
      <alignment vertical="top"/>
    </xf>
    <xf numFmtId="9" fontId="2" fillId="4" borderId="28" xfId="2" applyFont="1" applyFill="1" applyBorder="1" applyAlignment="1">
      <alignment vertical="top"/>
    </xf>
    <xf numFmtId="9" fontId="2" fillId="4" borderId="29" xfId="2" applyFont="1" applyFill="1" applyBorder="1" applyAlignment="1">
      <alignment vertical="top"/>
    </xf>
    <xf numFmtId="0" fontId="7" fillId="3" borderId="30" xfId="0" applyFont="1" applyFill="1" applyBorder="1" applyAlignment="1">
      <alignment horizontal="center" vertical="top"/>
    </xf>
    <xf numFmtId="0" fontId="7" fillId="3" borderId="31" xfId="0" applyFont="1" applyFill="1" applyBorder="1" applyAlignment="1">
      <alignment horizontal="center" vertical="top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43" fontId="2" fillId="0" borderId="0" xfId="1" applyFont="1" applyAlignment="1">
      <alignment vertical="top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49" fontId="9" fillId="0" borderId="3" xfId="4" applyNumberFormat="1" applyFont="1" applyBorder="1" applyAlignment="1">
      <alignment vertical="top"/>
    </xf>
    <xf numFmtId="0" fontId="9" fillId="0" borderId="3" xfId="4" applyFont="1" applyBorder="1" applyAlignment="1">
      <alignment vertical="top" wrapText="1"/>
    </xf>
    <xf numFmtId="164" fontId="9" fillId="0" borderId="0" xfId="1" applyNumberFormat="1" applyFont="1" applyAlignment="1">
      <alignment vertical="top"/>
    </xf>
    <xf numFmtId="0" fontId="10" fillId="0" borderId="0" xfId="0" applyFont="1" applyAlignment="1">
      <alignment vertical="top"/>
    </xf>
    <xf numFmtId="43" fontId="8" fillId="2" borderId="0" xfId="1" applyFont="1" applyFill="1" applyBorder="1" applyAlignment="1">
      <alignment vertical="top"/>
    </xf>
    <xf numFmtId="164" fontId="10" fillId="0" borderId="0" xfId="1" applyNumberFormat="1" applyFont="1" applyAlignment="1">
      <alignment vertical="top"/>
    </xf>
    <xf numFmtId="43" fontId="10" fillId="0" borderId="0" xfId="1" applyFont="1" applyAlignment="1">
      <alignment vertical="top"/>
    </xf>
    <xf numFmtId="164" fontId="2" fillId="0" borderId="0" xfId="1" applyNumberFormat="1" applyFont="1" applyAlignment="1">
      <alignment horizontal="center" vertical="center"/>
    </xf>
    <xf numFmtId="49" fontId="4" fillId="0" borderId="3" xfId="4" applyNumberFormat="1" applyFont="1" applyBorder="1" applyAlignment="1">
      <alignment vertical="top"/>
    </xf>
    <xf numFmtId="0" fontId="4" fillId="0" borderId="3" xfId="4" applyFont="1" applyBorder="1" applyAlignment="1">
      <alignment vertical="top" wrapText="1"/>
    </xf>
    <xf numFmtId="49" fontId="8" fillId="0" borderId="4" xfId="4" applyNumberFormat="1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 wrapText="1"/>
    </xf>
    <xf numFmtId="9" fontId="4" fillId="0" borderId="3" xfId="2" applyFont="1" applyFill="1" applyBorder="1" applyAlignment="1">
      <alignment vertical="top"/>
    </xf>
    <xf numFmtId="9" fontId="2" fillId="0" borderId="3" xfId="2" applyFont="1" applyFill="1" applyBorder="1" applyAlignment="1">
      <alignment vertical="top"/>
    </xf>
    <xf numFmtId="9" fontId="9" fillId="0" borderId="3" xfId="2" applyFont="1" applyFill="1" applyBorder="1" applyAlignment="1">
      <alignment vertical="top"/>
    </xf>
    <xf numFmtId="164" fontId="4" fillId="0" borderId="3" xfId="1" applyNumberFormat="1" applyFont="1" applyFill="1" applyBorder="1" applyAlignment="1">
      <alignment vertical="top"/>
    </xf>
    <xf numFmtId="43" fontId="4" fillId="0" borderId="3" xfId="1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top"/>
    </xf>
    <xf numFmtId="165" fontId="2" fillId="0" borderId="3" xfId="2" applyNumberFormat="1" applyFont="1" applyFill="1" applyBorder="1" applyAlignment="1">
      <alignment vertical="top"/>
    </xf>
    <xf numFmtId="43" fontId="2" fillId="0" borderId="3" xfId="1" applyFont="1" applyFill="1" applyBorder="1" applyAlignment="1">
      <alignment vertical="top"/>
    </xf>
    <xf numFmtId="164" fontId="9" fillId="0" borderId="3" xfId="1" applyNumberFormat="1" applyFont="1" applyFill="1" applyBorder="1" applyAlignment="1">
      <alignment vertical="top"/>
    </xf>
    <xf numFmtId="165" fontId="9" fillId="0" borderId="3" xfId="2" applyNumberFormat="1" applyFont="1" applyFill="1" applyBorder="1" applyAlignment="1">
      <alignment vertical="top"/>
    </xf>
    <xf numFmtId="43" fontId="9" fillId="0" borderId="3" xfId="1" applyFont="1" applyFill="1" applyBorder="1" applyAlignment="1">
      <alignment vertical="top"/>
    </xf>
    <xf numFmtId="49" fontId="3" fillId="0" borderId="9" xfId="3" applyNumberFormat="1" applyFont="1" applyBorder="1"/>
    <xf numFmtId="0" fontId="8" fillId="0" borderId="9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9" xfId="3" applyFont="1" applyBorder="1" applyAlignment="1">
      <alignment wrapText="1"/>
    </xf>
    <xf numFmtId="0" fontId="4" fillId="0" borderId="9" xfId="0" applyFont="1" applyBorder="1" applyAlignment="1">
      <alignment horizontal="center" vertical="top"/>
    </xf>
    <xf numFmtId="0" fontId="4" fillId="0" borderId="4" xfId="4" applyFont="1" applyBorder="1" applyAlignment="1">
      <alignment vertical="top" wrapText="1"/>
    </xf>
    <xf numFmtId="43" fontId="4" fillId="0" borderId="4" xfId="1" applyFont="1" applyFill="1" applyBorder="1" applyAlignment="1">
      <alignment vertical="top"/>
    </xf>
    <xf numFmtId="165" fontId="4" fillId="0" borderId="4" xfId="1" applyNumberFormat="1" applyFont="1" applyFill="1" applyBorder="1" applyAlignment="1">
      <alignment vertical="top"/>
    </xf>
    <xf numFmtId="164" fontId="4" fillId="0" borderId="4" xfId="1" applyNumberFormat="1" applyFont="1" applyFill="1" applyBorder="1" applyAlignment="1">
      <alignment vertical="top"/>
    </xf>
    <xf numFmtId="9" fontId="4" fillId="0" borderId="4" xfId="2" applyFont="1" applyFill="1" applyBorder="1" applyAlignment="1">
      <alignment vertical="top"/>
    </xf>
    <xf numFmtId="0" fontId="4" fillId="0" borderId="9" xfId="0" quotePrefix="1" applyFont="1" applyBorder="1" applyAlignment="1">
      <alignment horizontal="center" vertical="top"/>
    </xf>
    <xf numFmtId="0" fontId="12" fillId="0" borderId="0" xfId="0" applyFont="1" applyAlignment="1">
      <alignment horizontal="centerContinuous" vertical="top"/>
    </xf>
    <xf numFmtId="0" fontId="4" fillId="3" borderId="1" xfId="0" applyFont="1" applyFill="1" applyBorder="1" applyAlignment="1">
      <alignment horizontal="center" vertical="center"/>
    </xf>
    <xf numFmtId="164" fontId="4" fillId="0" borderId="9" xfId="1" quotePrefix="1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center" wrapText="1"/>
    </xf>
    <xf numFmtId="43" fontId="4" fillId="0" borderId="9" xfId="0" quotePrefix="1" applyNumberFormat="1" applyFont="1" applyBorder="1" applyAlignment="1">
      <alignment horizontal="center" vertical="top"/>
    </xf>
    <xf numFmtId="164" fontId="4" fillId="0" borderId="9" xfId="0" quotePrefix="1" applyNumberFormat="1" applyFont="1" applyBorder="1" applyAlignment="1">
      <alignment horizontal="center" vertical="top"/>
    </xf>
    <xf numFmtId="164" fontId="2" fillId="0" borderId="0" xfId="0" applyNumberFormat="1" applyFont="1" applyAlignment="1">
      <alignment vertical="top"/>
    </xf>
    <xf numFmtId="10" fontId="2" fillId="0" borderId="0" xfId="2" applyNumberFormat="1" applyFont="1" applyAlignment="1">
      <alignment vertical="top"/>
    </xf>
    <xf numFmtId="164" fontId="2" fillId="5" borderId="0" xfId="1" applyNumberFormat="1" applyFont="1" applyFill="1" applyAlignment="1">
      <alignment horizontal="center" vertical="center" wrapText="1"/>
    </xf>
    <xf numFmtId="164" fontId="2" fillId="5" borderId="0" xfId="1" applyNumberFormat="1" applyFont="1" applyFill="1" applyAlignment="1">
      <alignment vertical="top"/>
    </xf>
    <xf numFmtId="43" fontId="2" fillId="5" borderId="0" xfId="1" applyFont="1" applyFill="1" applyAlignment="1">
      <alignment vertical="top"/>
    </xf>
    <xf numFmtId="43" fontId="9" fillId="5" borderId="0" xfId="1" applyFont="1" applyFill="1" applyAlignment="1">
      <alignment vertical="top"/>
    </xf>
    <xf numFmtId="43" fontId="10" fillId="5" borderId="0" xfId="1" applyFont="1" applyFill="1" applyAlignment="1">
      <alignment vertical="top"/>
    </xf>
    <xf numFmtId="164" fontId="2" fillId="6" borderId="0" xfId="1" applyNumberFormat="1" applyFont="1" applyFill="1" applyAlignment="1">
      <alignment horizontal="center" vertical="center" wrapText="1"/>
    </xf>
    <xf numFmtId="164" fontId="2" fillId="6" borderId="0" xfId="1" applyNumberFormat="1" applyFont="1" applyFill="1" applyAlignment="1">
      <alignment vertical="top"/>
    </xf>
    <xf numFmtId="43" fontId="2" fillId="6" borderId="0" xfId="1" applyFont="1" applyFill="1" applyAlignment="1">
      <alignment vertical="top"/>
    </xf>
    <xf numFmtId="9" fontId="2" fillId="0" borderId="10" xfId="2" applyFont="1" applyFill="1" applyBorder="1" applyAlignment="1">
      <alignment horizontal="center" vertical="top" wrapText="1"/>
    </xf>
    <xf numFmtId="9" fontId="2" fillId="0" borderId="2" xfId="2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0" borderId="10" xfId="2" applyFont="1" applyFill="1" applyBorder="1" applyAlignment="1">
      <alignment horizontal="left" vertical="center" wrapText="1"/>
    </xf>
    <xf numFmtId="9" fontId="2" fillId="0" borderId="34" xfId="2" applyFont="1" applyFill="1" applyBorder="1" applyAlignment="1">
      <alignment horizontal="left" vertical="center" wrapText="1"/>
    </xf>
    <xf numFmtId="9" fontId="2" fillId="0" borderId="2" xfId="2" applyFont="1" applyFill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4" fillId="0" borderId="0" xfId="0" applyFont="1" applyAlignment="1">
      <alignment horizontal="justify" vertical="center" readingOrder="1"/>
    </xf>
    <xf numFmtId="0" fontId="17" fillId="0" borderId="0" xfId="0" applyFont="1" applyAlignment="1">
      <alignment horizontal="left" vertical="center" readingOrder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1"/>
  <sheetViews>
    <sheetView topLeftCell="F1" zoomScale="85" zoomScaleNormal="85" workbookViewId="0">
      <pane ySplit="5" topLeftCell="A6" activePane="bottomLeft" state="frozen"/>
      <selection pane="bottomLeft" activeCell="I10" sqref="I10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5" width="10.81640625" style="1" customWidth="1"/>
    <col min="6" max="6" width="12.54296875" style="1" customWidth="1"/>
    <col min="7" max="8" width="13.1796875" style="1" customWidth="1"/>
    <col min="9" max="9" width="15.26953125" style="1" customWidth="1"/>
    <col min="10" max="10" width="14" style="1" customWidth="1"/>
    <col min="11" max="11" width="13.54296875" style="1" customWidth="1"/>
    <col min="12" max="12" width="23" style="1" customWidth="1"/>
    <col min="13" max="13" width="11.453125" style="11" customWidth="1" outlineLevel="1"/>
    <col min="14" max="14" width="8.7265625" style="11" customWidth="1" outlineLevel="1"/>
    <col min="15" max="16" width="8.7265625" style="11"/>
    <col min="17" max="17" width="9.1796875" style="1" bestFit="1" customWidth="1"/>
    <col min="18" max="18" width="11" style="1" bestFit="1" customWidth="1"/>
    <col min="19" max="16384" width="8.7265625" style="1"/>
  </cols>
  <sheetData>
    <row r="1" spans="2:20" ht="11.5" customHeight="1" x14ac:dyDescent="0.35"/>
    <row r="2" spans="2:20" ht="30" customHeight="1" x14ac:dyDescent="0.35">
      <c r="B2" s="85" t="s">
        <v>83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2:20" ht="13" x14ac:dyDescent="0.35">
      <c r="D3" s="105"/>
      <c r="E3" s="105"/>
      <c r="F3" s="47"/>
      <c r="G3" s="47"/>
      <c r="H3" s="47"/>
      <c r="I3" s="47"/>
      <c r="J3" s="104"/>
      <c r="K3" s="104"/>
      <c r="M3" s="106" t="s">
        <v>59</v>
      </c>
      <c r="N3" s="106"/>
    </row>
    <row r="4" spans="2:20" s="60" customFormat="1" ht="58.5" customHeight="1" x14ac:dyDescent="0.35">
      <c r="B4" s="86" t="s">
        <v>81</v>
      </c>
      <c r="C4" s="88" t="s">
        <v>78</v>
      </c>
      <c r="D4" s="103" t="s">
        <v>58</v>
      </c>
      <c r="E4" s="103"/>
      <c r="F4" s="76" t="s">
        <v>75</v>
      </c>
      <c r="G4" s="76" t="s">
        <v>57</v>
      </c>
      <c r="H4" s="76" t="s">
        <v>76</v>
      </c>
      <c r="I4" s="76" t="s">
        <v>77</v>
      </c>
      <c r="J4" s="75" t="s">
        <v>30</v>
      </c>
      <c r="K4" s="75" t="s">
        <v>31</v>
      </c>
      <c r="L4" s="75" t="s">
        <v>56</v>
      </c>
      <c r="M4" s="61" t="s">
        <v>55</v>
      </c>
      <c r="N4" s="93" t="s">
        <v>60</v>
      </c>
      <c r="O4" s="56"/>
      <c r="P4" s="56" t="s">
        <v>84</v>
      </c>
      <c r="Q4" s="60" t="s">
        <v>85</v>
      </c>
      <c r="R4" s="60" t="s">
        <v>86</v>
      </c>
      <c r="S4" s="60" t="s">
        <v>87</v>
      </c>
      <c r="T4" s="60" t="s">
        <v>88</v>
      </c>
    </row>
    <row r="5" spans="2:20" ht="13" x14ac:dyDescent="0.3">
      <c r="B5" s="73"/>
      <c r="C5" s="77"/>
      <c r="D5" s="78" t="s">
        <v>4</v>
      </c>
      <c r="E5" s="78" t="s">
        <v>5</v>
      </c>
      <c r="F5" s="84" t="s">
        <v>67</v>
      </c>
      <c r="G5" s="84" t="s">
        <v>68</v>
      </c>
      <c r="H5" s="84" t="s">
        <v>69</v>
      </c>
      <c r="I5" s="84" t="s">
        <v>70</v>
      </c>
      <c r="J5" s="78" t="s">
        <v>5</v>
      </c>
      <c r="K5" s="78" t="s">
        <v>5</v>
      </c>
      <c r="L5" s="74"/>
      <c r="N5" s="94"/>
    </row>
    <row r="6" spans="2:20" ht="13" outlineLevel="1" x14ac:dyDescent="0.35">
      <c r="B6" s="57" t="s">
        <v>6</v>
      </c>
      <c r="C6" s="58" t="s">
        <v>63</v>
      </c>
      <c r="D6" s="65">
        <v>1000</v>
      </c>
      <c r="E6" s="62">
        <f>SUM(E7:E20)</f>
        <v>1.0000000000000002</v>
      </c>
      <c r="F6" s="62"/>
      <c r="G6" s="66"/>
      <c r="H6" s="66"/>
      <c r="I6" s="65">
        <f>D6*10000</f>
        <v>10000000</v>
      </c>
      <c r="J6" s="62">
        <f>SUM(J7:J19)</f>
        <v>1</v>
      </c>
      <c r="K6" s="62">
        <f>SUM(K7:K19)</f>
        <v>1</v>
      </c>
      <c r="L6" s="62"/>
      <c r="N6" s="94"/>
      <c r="Q6" s="11">
        <v>3000</v>
      </c>
    </row>
    <row r="7" spans="2:20" ht="20.25" customHeight="1" outlineLevel="1" x14ac:dyDescent="0.35">
      <c r="B7" s="5" t="s">
        <v>53</v>
      </c>
      <c r="C7" s="6" t="s">
        <v>52</v>
      </c>
      <c r="D7" s="67">
        <v>540</v>
      </c>
      <c r="E7" s="68">
        <v>0.54</v>
      </c>
      <c r="F7" s="67">
        <f>D7</f>
        <v>540</v>
      </c>
      <c r="G7" s="69">
        <v>1.25</v>
      </c>
      <c r="H7" s="69">
        <f>F7*G7</f>
        <v>675</v>
      </c>
      <c r="I7" s="67">
        <f t="shared" ref="I7:I14" si="0">$I$6/$H$21*H7</f>
        <v>6422454.8049476696</v>
      </c>
      <c r="J7" s="63">
        <f t="shared" ref="J7:J14" si="1">I7/$I$6</f>
        <v>0.64224548049476693</v>
      </c>
      <c r="K7" s="63">
        <f>J7</f>
        <v>0.64224548049476693</v>
      </c>
      <c r="L7" s="107" t="s">
        <v>80</v>
      </c>
      <c r="M7" s="11">
        <f>ROUND(11000+11000*14%+4000,-2)</f>
        <v>16500</v>
      </c>
      <c r="N7" s="95">
        <f>M7/$M$21</f>
        <v>1.2222222222222223</v>
      </c>
      <c r="P7" s="11">
        <f>I7/F7</f>
        <v>11893.434823977166</v>
      </c>
      <c r="Q7" s="11">
        <f>$Q$6*K7</f>
        <v>1926.7364414843007</v>
      </c>
      <c r="R7" s="91">
        <f>P7+Q7</f>
        <v>13820.171265461468</v>
      </c>
      <c r="S7" s="91">
        <f>M7-R7</f>
        <v>2679.8287345385324</v>
      </c>
      <c r="T7" s="92">
        <f>S7/M7</f>
        <v>0.16241386269930499</v>
      </c>
    </row>
    <row r="8" spans="2:20" ht="15" customHeight="1" outlineLevel="1" x14ac:dyDescent="0.35">
      <c r="B8" s="5" t="s">
        <v>66</v>
      </c>
      <c r="C8" s="6" t="s">
        <v>65</v>
      </c>
      <c r="D8" s="67"/>
      <c r="E8" s="68"/>
      <c r="F8" s="67">
        <f>D8</f>
        <v>0</v>
      </c>
      <c r="G8" s="69"/>
      <c r="H8" s="69">
        <f>F8*G8</f>
        <v>0</v>
      </c>
      <c r="I8" s="67">
        <f t="shared" si="0"/>
        <v>0</v>
      </c>
      <c r="J8" s="63">
        <f t="shared" si="1"/>
        <v>0</v>
      </c>
      <c r="K8" s="63">
        <f t="shared" ref="K8:K14" si="2">J8</f>
        <v>0</v>
      </c>
      <c r="L8" s="108"/>
      <c r="N8" s="95">
        <f t="shared" ref="N8:N13" si="3">M8/$M$21</f>
        <v>0</v>
      </c>
      <c r="P8" s="11" t="e">
        <f t="shared" ref="P8:P21" si="4">I8/F8</f>
        <v>#DIV/0!</v>
      </c>
      <c r="Q8" s="11">
        <f t="shared" ref="Q8:Q20" si="5">$Q$6*K8</f>
        <v>0</v>
      </c>
      <c r="R8" s="91" t="e">
        <f t="shared" ref="R8:R20" si="6">P8+Q8</f>
        <v>#DIV/0!</v>
      </c>
      <c r="S8" s="91" t="e">
        <f t="shared" ref="S8:S20" si="7">M8-R8</f>
        <v>#DIV/0!</v>
      </c>
      <c r="T8" s="92" t="e">
        <f t="shared" ref="T8:T21" si="8">S8/M8</f>
        <v>#DIV/0!</v>
      </c>
    </row>
    <row r="9" spans="2:20" ht="15" customHeight="1" outlineLevel="1" x14ac:dyDescent="0.35">
      <c r="B9" s="5" t="s">
        <v>8</v>
      </c>
      <c r="C9" s="6" t="s">
        <v>9</v>
      </c>
      <c r="D9" s="67">
        <v>30</v>
      </c>
      <c r="E9" s="68">
        <v>0.03</v>
      </c>
      <c r="F9" s="67">
        <f t="shared" ref="F9:F14" si="9">D9</f>
        <v>30</v>
      </c>
      <c r="G9" s="69">
        <v>1.1000000000000001</v>
      </c>
      <c r="H9" s="69">
        <f>F9*G9</f>
        <v>33</v>
      </c>
      <c r="I9" s="67">
        <f t="shared" si="0"/>
        <v>313986.67935299716</v>
      </c>
      <c r="J9" s="63">
        <f t="shared" si="1"/>
        <v>3.1398667935299718E-2</v>
      </c>
      <c r="K9" s="63">
        <f t="shared" si="2"/>
        <v>3.1398667935299718E-2</v>
      </c>
      <c r="L9" s="108"/>
      <c r="M9" s="11">
        <f>ROUND(11000+11000*14%+2500,-2)</f>
        <v>15000</v>
      </c>
      <c r="N9" s="95">
        <f t="shared" si="3"/>
        <v>1.1111111111111112</v>
      </c>
      <c r="P9" s="11">
        <f t="shared" si="4"/>
        <v>10466.222645099906</v>
      </c>
      <c r="Q9" s="11">
        <f t="shared" si="5"/>
        <v>94.196003805899153</v>
      </c>
      <c r="R9" s="91">
        <f t="shared" si="6"/>
        <v>10560.418648905805</v>
      </c>
      <c r="S9" s="91">
        <f t="shared" si="7"/>
        <v>4439.5813510941953</v>
      </c>
      <c r="T9" s="92">
        <f t="shared" si="8"/>
        <v>0.29597209007294634</v>
      </c>
    </row>
    <row r="10" spans="2:20" ht="15" customHeight="1" outlineLevel="1" x14ac:dyDescent="0.35">
      <c r="B10" s="5" t="s">
        <v>14</v>
      </c>
      <c r="C10" s="6" t="s">
        <v>15</v>
      </c>
      <c r="D10" s="67">
        <v>20</v>
      </c>
      <c r="E10" s="68">
        <v>0.02</v>
      </c>
      <c r="F10" s="67">
        <f>D10</f>
        <v>20</v>
      </c>
      <c r="G10" s="69">
        <v>1</v>
      </c>
      <c r="H10" s="69">
        <f>F10*G10</f>
        <v>20</v>
      </c>
      <c r="I10" s="67">
        <f t="shared" si="0"/>
        <v>190294.95718363466</v>
      </c>
      <c r="J10" s="63">
        <f t="shared" si="1"/>
        <v>1.9029495718363466E-2</v>
      </c>
      <c r="K10" s="63">
        <f t="shared" si="2"/>
        <v>1.9029495718363466E-2</v>
      </c>
      <c r="L10" s="108"/>
      <c r="M10" s="11">
        <f>ROUND(11000+11000*14%+1000,-2)</f>
        <v>13500</v>
      </c>
      <c r="N10" s="95">
        <f>M10/$M$21</f>
        <v>1</v>
      </c>
      <c r="P10" s="11">
        <f t="shared" si="4"/>
        <v>9514.7478591817326</v>
      </c>
      <c r="Q10" s="11">
        <f t="shared" si="5"/>
        <v>57.088487155090398</v>
      </c>
      <c r="R10" s="91">
        <f t="shared" si="6"/>
        <v>9571.8363463368223</v>
      </c>
      <c r="S10" s="91">
        <f t="shared" si="7"/>
        <v>3928.1636536631777</v>
      </c>
      <c r="T10" s="92">
        <f t="shared" si="8"/>
        <v>0.29097508545653167</v>
      </c>
    </row>
    <row r="11" spans="2:20" ht="15" customHeight="1" outlineLevel="1" x14ac:dyDescent="0.35">
      <c r="B11" s="5" t="s">
        <v>10</v>
      </c>
      <c r="C11" s="6" t="s">
        <v>11</v>
      </c>
      <c r="D11" s="67">
        <v>20</v>
      </c>
      <c r="E11" s="68">
        <v>0.02</v>
      </c>
      <c r="F11" s="67">
        <f t="shared" si="9"/>
        <v>20</v>
      </c>
      <c r="G11" s="69">
        <v>1</v>
      </c>
      <c r="H11" s="69">
        <f t="shared" ref="H11:H14" si="10">F11*G11</f>
        <v>20</v>
      </c>
      <c r="I11" s="67">
        <f t="shared" si="0"/>
        <v>190294.95718363466</v>
      </c>
      <c r="J11" s="63">
        <f t="shared" si="1"/>
        <v>1.9029495718363466E-2</v>
      </c>
      <c r="K11" s="63">
        <f t="shared" si="2"/>
        <v>1.9029495718363466E-2</v>
      </c>
      <c r="L11" s="108"/>
      <c r="M11" s="11">
        <f>ROUND(11000+11000*14%+1000,-2)</f>
        <v>13500</v>
      </c>
      <c r="N11" s="95">
        <f>M11/$M$21</f>
        <v>1</v>
      </c>
      <c r="P11" s="11">
        <f t="shared" si="4"/>
        <v>9514.7478591817326</v>
      </c>
      <c r="Q11" s="11">
        <f t="shared" si="5"/>
        <v>57.088487155090398</v>
      </c>
      <c r="R11" s="91">
        <f t="shared" si="6"/>
        <v>9571.8363463368223</v>
      </c>
      <c r="S11" s="91">
        <f t="shared" si="7"/>
        <v>3928.1636536631777</v>
      </c>
      <c r="T11" s="92">
        <f t="shared" si="8"/>
        <v>0.29097508545653167</v>
      </c>
    </row>
    <row r="12" spans="2:20" ht="15" customHeight="1" outlineLevel="1" x14ac:dyDescent="0.35">
      <c r="B12" s="5"/>
      <c r="C12" s="6" t="s">
        <v>64</v>
      </c>
      <c r="D12" s="67"/>
      <c r="E12" s="68"/>
      <c r="F12" s="67">
        <f t="shared" ref="F12" si="11">D12</f>
        <v>0</v>
      </c>
      <c r="G12" s="69"/>
      <c r="H12" s="69">
        <f t="shared" ref="H12" si="12">F12*G12</f>
        <v>0</v>
      </c>
      <c r="I12" s="67">
        <f t="shared" si="0"/>
        <v>0</v>
      </c>
      <c r="J12" s="63">
        <f t="shared" si="1"/>
        <v>0</v>
      </c>
      <c r="K12" s="63">
        <f t="shared" si="2"/>
        <v>0</v>
      </c>
      <c r="L12" s="108"/>
      <c r="N12" s="95">
        <f t="shared" si="3"/>
        <v>0</v>
      </c>
      <c r="P12" s="11" t="e">
        <f t="shared" si="4"/>
        <v>#DIV/0!</v>
      </c>
      <c r="Q12" s="11">
        <f t="shared" si="5"/>
        <v>0</v>
      </c>
      <c r="R12" s="91" t="e">
        <f t="shared" si="6"/>
        <v>#DIV/0!</v>
      </c>
      <c r="S12" s="91" t="e">
        <f t="shared" si="7"/>
        <v>#DIV/0!</v>
      </c>
      <c r="T12" s="92" t="e">
        <f t="shared" si="8"/>
        <v>#DIV/0!</v>
      </c>
    </row>
    <row r="13" spans="2:20" ht="15" customHeight="1" outlineLevel="1" x14ac:dyDescent="0.35">
      <c r="B13" s="5" t="s">
        <v>12</v>
      </c>
      <c r="C13" s="6" t="s">
        <v>13</v>
      </c>
      <c r="D13" s="67">
        <v>270</v>
      </c>
      <c r="E13" s="68">
        <v>0.27</v>
      </c>
      <c r="F13" s="67">
        <f t="shared" si="9"/>
        <v>270</v>
      </c>
      <c r="G13" s="69">
        <v>1.1000000000000001</v>
      </c>
      <c r="H13" s="69">
        <f t="shared" si="10"/>
        <v>297</v>
      </c>
      <c r="I13" s="67">
        <f t="shared" si="0"/>
        <v>2825880.1141769746</v>
      </c>
      <c r="J13" s="63">
        <f t="shared" si="1"/>
        <v>0.28258801141769746</v>
      </c>
      <c r="K13" s="63">
        <f t="shared" si="2"/>
        <v>0.28258801141769746</v>
      </c>
      <c r="L13" s="108"/>
      <c r="M13" s="11">
        <f>ROUND(11000+11000*14%+2500,-2)</f>
        <v>15000</v>
      </c>
      <c r="N13" s="95">
        <f t="shared" si="3"/>
        <v>1.1111111111111112</v>
      </c>
      <c r="P13" s="11">
        <f t="shared" si="4"/>
        <v>10466.222645099906</v>
      </c>
      <c r="Q13" s="11">
        <f t="shared" si="5"/>
        <v>847.7640342530924</v>
      </c>
      <c r="R13" s="91">
        <f t="shared" si="6"/>
        <v>11313.986679352998</v>
      </c>
      <c r="S13" s="91">
        <f t="shared" si="7"/>
        <v>3686.0133206470018</v>
      </c>
      <c r="T13" s="92">
        <f t="shared" si="8"/>
        <v>0.24573422137646678</v>
      </c>
    </row>
    <row r="14" spans="2:20" ht="15" customHeight="1" outlineLevel="1" x14ac:dyDescent="0.35">
      <c r="B14" s="5" t="s">
        <v>16</v>
      </c>
      <c r="C14" s="6" t="s">
        <v>17</v>
      </c>
      <c r="D14" s="67">
        <v>10</v>
      </c>
      <c r="E14" s="68">
        <v>0.01</v>
      </c>
      <c r="F14" s="67">
        <f t="shared" si="9"/>
        <v>10</v>
      </c>
      <c r="G14" s="69">
        <v>0.6</v>
      </c>
      <c r="H14" s="69">
        <f t="shared" si="10"/>
        <v>6</v>
      </c>
      <c r="I14" s="67">
        <f t="shared" si="0"/>
        <v>57088.487155090392</v>
      </c>
      <c r="J14" s="63">
        <f t="shared" si="1"/>
        <v>5.708848715509039E-3</v>
      </c>
      <c r="K14" s="63">
        <f t="shared" si="2"/>
        <v>5.708848715509039E-3</v>
      </c>
      <c r="L14" s="109"/>
      <c r="M14" s="11">
        <f>ROUND(11000+11000*14%-5000,-2)</f>
        <v>7500</v>
      </c>
      <c r="N14" s="95">
        <f>M14/$M$21</f>
        <v>0.55555555555555558</v>
      </c>
      <c r="P14" s="11">
        <f t="shared" si="4"/>
        <v>5708.8487155090388</v>
      </c>
      <c r="Q14" s="11">
        <f t="shared" si="5"/>
        <v>17.126546146527119</v>
      </c>
      <c r="R14" s="91">
        <f t="shared" si="6"/>
        <v>5725.9752616555661</v>
      </c>
      <c r="S14" s="91">
        <f t="shared" si="7"/>
        <v>1774.0247383444339</v>
      </c>
      <c r="T14" s="92">
        <f t="shared" si="8"/>
        <v>0.23653663177925785</v>
      </c>
    </row>
    <row r="15" spans="2:20" outlineLevel="1" x14ac:dyDescent="0.35">
      <c r="B15" s="5"/>
      <c r="C15" s="6" t="s">
        <v>61</v>
      </c>
      <c r="D15" s="67"/>
      <c r="E15" s="68">
        <v>0</v>
      </c>
      <c r="F15" s="67"/>
      <c r="G15" s="69"/>
      <c r="H15" s="69"/>
      <c r="I15" s="67"/>
      <c r="J15" s="63"/>
      <c r="K15" s="63"/>
      <c r="L15" s="63"/>
      <c r="N15" s="95">
        <f t="shared" ref="N15:N17" si="13">M15/$M$21</f>
        <v>0</v>
      </c>
      <c r="P15" s="11" t="e">
        <f t="shared" si="4"/>
        <v>#DIV/0!</v>
      </c>
      <c r="Q15" s="11">
        <f t="shared" si="5"/>
        <v>0</v>
      </c>
      <c r="R15" s="91" t="e">
        <f t="shared" si="6"/>
        <v>#DIV/0!</v>
      </c>
      <c r="S15" s="91" t="e">
        <f t="shared" si="7"/>
        <v>#DIV/0!</v>
      </c>
      <c r="T15" s="92" t="e">
        <f t="shared" si="8"/>
        <v>#DIV/0!</v>
      </c>
    </row>
    <row r="16" spans="2:20" outlineLevel="1" x14ac:dyDescent="0.35">
      <c r="B16" s="5" t="s">
        <v>24</v>
      </c>
      <c r="C16" s="6" t="s">
        <v>25</v>
      </c>
      <c r="D16" s="67"/>
      <c r="E16" s="68">
        <v>0</v>
      </c>
      <c r="F16" s="67"/>
      <c r="G16" s="69"/>
      <c r="H16" s="69"/>
      <c r="I16" s="67"/>
      <c r="J16" s="63"/>
      <c r="K16" s="63"/>
      <c r="L16" s="63"/>
      <c r="N16" s="95">
        <f t="shared" si="13"/>
        <v>0</v>
      </c>
      <c r="P16" s="11" t="e">
        <f t="shared" si="4"/>
        <v>#DIV/0!</v>
      </c>
      <c r="Q16" s="11">
        <f t="shared" si="5"/>
        <v>0</v>
      </c>
      <c r="R16" s="91" t="e">
        <f t="shared" si="6"/>
        <v>#DIV/0!</v>
      </c>
      <c r="S16" s="91" t="e">
        <f t="shared" si="7"/>
        <v>#DIV/0!</v>
      </c>
      <c r="T16" s="92" t="e">
        <f t="shared" si="8"/>
        <v>#DIV/0!</v>
      </c>
    </row>
    <row r="17" spans="2:20" outlineLevel="1" x14ac:dyDescent="0.35">
      <c r="B17" s="5" t="s">
        <v>47</v>
      </c>
      <c r="C17" s="6" t="s">
        <v>62</v>
      </c>
      <c r="D17" s="67"/>
      <c r="E17" s="68">
        <v>0</v>
      </c>
      <c r="F17" s="67"/>
      <c r="G17" s="69"/>
      <c r="H17" s="69"/>
      <c r="I17" s="67"/>
      <c r="J17" s="63"/>
      <c r="K17" s="63"/>
      <c r="L17" s="63"/>
      <c r="N17" s="95">
        <f t="shared" si="13"/>
        <v>0</v>
      </c>
      <c r="P17" s="11" t="e">
        <f t="shared" si="4"/>
        <v>#DIV/0!</v>
      </c>
      <c r="Q17" s="11">
        <f t="shared" si="5"/>
        <v>0</v>
      </c>
      <c r="R17" s="91" t="e">
        <f t="shared" si="6"/>
        <v>#DIV/0!</v>
      </c>
      <c r="S17" s="91" t="e">
        <f t="shared" si="7"/>
        <v>#DIV/0!</v>
      </c>
      <c r="T17" s="92" t="e">
        <f t="shared" si="8"/>
        <v>#DIV/0!</v>
      </c>
    </row>
    <row r="18" spans="2:20" outlineLevel="1" x14ac:dyDescent="0.35">
      <c r="B18" s="5" t="s">
        <v>18</v>
      </c>
      <c r="C18" s="6" t="s">
        <v>48</v>
      </c>
      <c r="D18" s="67">
        <v>10</v>
      </c>
      <c r="E18" s="68">
        <v>0.01</v>
      </c>
      <c r="F18" s="67"/>
      <c r="G18" s="69"/>
      <c r="H18" s="69"/>
      <c r="I18" s="68"/>
      <c r="J18" s="63"/>
      <c r="K18" s="63"/>
      <c r="L18" s="63"/>
      <c r="N18" s="95"/>
      <c r="P18" s="11" t="e">
        <f t="shared" si="4"/>
        <v>#DIV/0!</v>
      </c>
      <c r="Q18" s="11">
        <f t="shared" si="5"/>
        <v>0</v>
      </c>
      <c r="R18" s="91" t="e">
        <f t="shared" si="6"/>
        <v>#DIV/0!</v>
      </c>
      <c r="S18" s="91" t="e">
        <f t="shared" si="7"/>
        <v>#DIV/0!</v>
      </c>
      <c r="T18" s="92" t="e">
        <f t="shared" si="8"/>
        <v>#DIV/0!</v>
      </c>
    </row>
    <row r="19" spans="2:20" s="48" customFormat="1" outlineLevel="1" x14ac:dyDescent="0.35">
      <c r="B19" s="49" t="s">
        <v>19</v>
      </c>
      <c r="C19" s="50" t="s">
        <v>49</v>
      </c>
      <c r="D19" s="70">
        <v>60</v>
      </c>
      <c r="E19" s="71">
        <v>0.06</v>
      </c>
      <c r="F19" s="67"/>
      <c r="G19" s="72"/>
      <c r="H19" s="72"/>
      <c r="I19" s="71"/>
      <c r="J19" s="63"/>
      <c r="K19" s="63"/>
      <c r="L19" s="64"/>
      <c r="M19" s="11"/>
      <c r="N19" s="96"/>
      <c r="O19" s="51"/>
      <c r="P19" s="11" t="e">
        <f t="shared" si="4"/>
        <v>#DIV/0!</v>
      </c>
      <c r="Q19" s="11">
        <f t="shared" si="5"/>
        <v>0</v>
      </c>
      <c r="R19" s="91" t="e">
        <f t="shared" si="6"/>
        <v>#DIV/0!</v>
      </c>
      <c r="S19" s="91" t="e">
        <f t="shared" si="7"/>
        <v>#DIV/0!</v>
      </c>
      <c r="T19" s="92" t="e">
        <f t="shared" si="8"/>
        <v>#DIV/0!</v>
      </c>
    </row>
    <row r="20" spans="2:20" s="48" customFormat="1" outlineLevel="1" x14ac:dyDescent="0.35">
      <c r="B20" s="49"/>
      <c r="C20" s="50" t="s">
        <v>51</v>
      </c>
      <c r="D20" s="72">
        <f>D6-SUM(D7:D19)</f>
        <v>40</v>
      </c>
      <c r="E20" s="71">
        <v>0.04</v>
      </c>
      <c r="F20" s="67"/>
      <c r="G20" s="72"/>
      <c r="H20" s="72"/>
      <c r="I20" s="71"/>
      <c r="J20" s="64"/>
      <c r="K20" s="64"/>
      <c r="L20" s="64"/>
      <c r="M20" s="51"/>
      <c r="N20" s="96"/>
      <c r="O20" s="51"/>
      <c r="P20" s="11" t="e">
        <f t="shared" si="4"/>
        <v>#DIV/0!</v>
      </c>
      <c r="Q20" s="11">
        <f t="shared" si="5"/>
        <v>0</v>
      </c>
      <c r="R20" s="91" t="e">
        <f t="shared" si="6"/>
        <v>#DIV/0!</v>
      </c>
      <c r="S20" s="91" t="e">
        <f t="shared" si="7"/>
        <v>#DIV/0!</v>
      </c>
      <c r="T20" s="92" t="e">
        <f t="shared" si="8"/>
        <v>#DIV/0!</v>
      </c>
    </row>
    <row r="21" spans="2:20" s="52" customFormat="1" ht="13" outlineLevel="1" x14ac:dyDescent="0.35">
      <c r="B21" s="59"/>
      <c r="C21" s="79" t="s">
        <v>54</v>
      </c>
      <c r="D21" s="80">
        <f t="shared" ref="D21:I21" si="14">SUM(D7:D20)</f>
        <v>1000</v>
      </c>
      <c r="E21" s="81">
        <f t="shared" si="14"/>
        <v>1.0000000000000002</v>
      </c>
      <c r="F21" s="80">
        <f>SUM(F7:F20)</f>
        <v>890</v>
      </c>
      <c r="G21" s="80">
        <f t="shared" si="14"/>
        <v>6.0499999999999989</v>
      </c>
      <c r="H21" s="82">
        <f t="shared" si="14"/>
        <v>1051</v>
      </c>
      <c r="I21" s="82">
        <f t="shared" si="14"/>
        <v>10000000.000000002</v>
      </c>
      <c r="J21" s="83"/>
      <c r="K21" s="83"/>
      <c r="L21" s="83"/>
      <c r="M21" s="53">
        <f>AVERAGE(M7:M19)</f>
        <v>13500</v>
      </c>
      <c r="N21" s="97"/>
      <c r="O21" s="54"/>
      <c r="P21" s="11">
        <f t="shared" si="4"/>
        <v>11235.955056179777</v>
      </c>
      <c r="T21" s="92">
        <f t="shared" si="8"/>
        <v>0</v>
      </c>
    </row>
    <row r="22" spans="2:20" x14ac:dyDescent="0.35">
      <c r="P22" s="11">
        <f>10000/(F21/1000)-P21</f>
        <v>0</v>
      </c>
    </row>
    <row r="24" spans="2:20" s="60" customFormat="1" ht="54.75" customHeight="1" x14ac:dyDescent="0.35">
      <c r="B24" s="86" t="s">
        <v>82</v>
      </c>
      <c r="C24" s="86" t="s">
        <v>79</v>
      </c>
      <c r="D24" s="103" t="s">
        <v>58</v>
      </c>
      <c r="E24" s="103"/>
      <c r="F24" s="76" t="s">
        <v>75</v>
      </c>
      <c r="G24" s="76" t="s">
        <v>57</v>
      </c>
      <c r="H24" s="76" t="s">
        <v>76</v>
      </c>
      <c r="I24" s="76" t="s">
        <v>77</v>
      </c>
      <c r="J24" s="75" t="s">
        <v>30</v>
      </c>
      <c r="K24" s="75" t="s">
        <v>31</v>
      </c>
      <c r="L24" s="75" t="s">
        <v>56</v>
      </c>
      <c r="M24" s="61" t="s">
        <v>55</v>
      </c>
      <c r="N24" s="98" t="s">
        <v>60</v>
      </c>
      <c r="O24" s="56"/>
      <c r="P24" s="56"/>
    </row>
    <row r="25" spans="2:20" ht="13" x14ac:dyDescent="0.3">
      <c r="B25" s="73"/>
      <c r="C25" s="77"/>
      <c r="D25" s="78" t="s">
        <v>4</v>
      </c>
      <c r="E25" s="78" t="s">
        <v>5</v>
      </c>
      <c r="F25" s="84" t="s">
        <v>67</v>
      </c>
      <c r="G25" s="84" t="s">
        <v>68</v>
      </c>
      <c r="H25" s="84" t="s">
        <v>69</v>
      </c>
      <c r="I25" s="84" t="s">
        <v>70</v>
      </c>
      <c r="J25" s="78" t="s">
        <v>5</v>
      </c>
      <c r="K25" s="78" t="s">
        <v>5</v>
      </c>
      <c r="L25" s="74"/>
      <c r="N25" s="99"/>
    </row>
    <row r="26" spans="2:20" ht="13" x14ac:dyDescent="0.3">
      <c r="B26" s="77" t="s">
        <v>12</v>
      </c>
      <c r="C26" s="77" t="s">
        <v>13</v>
      </c>
      <c r="D26" s="78">
        <v>600</v>
      </c>
      <c r="E26" s="78"/>
      <c r="F26" s="90">
        <f>SUM(F27:F31)</f>
        <v>1080</v>
      </c>
      <c r="G26" s="89">
        <f>SUM(G27:G31)</f>
        <v>4.0999999999999996</v>
      </c>
      <c r="H26" s="84"/>
      <c r="I26" s="87">
        <f>I13/F13*D26</f>
        <v>6279733.5870599439</v>
      </c>
      <c r="J26" s="78"/>
      <c r="K26" s="78"/>
      <c r="L26" s="74"/>
      <c r="N26" s="99"/>
    </row>
    <row r="27" spans="2:20" ht="38.25" customHeight="1" outlineLevel="1" x14ac:dyDescent="0.35">
      <c r="B27" s="5" t="s">
        <v>71</v>
      </c>
      <c r="C27" s="6" t="s">
        <v>72</v>
      </c>
      <c r="D27" s="67">
        <f>D26*E27</f>
        <v>510</v>
      </c>
      <c r="E27" s="68">
        <v>0.85</v>
      </c>
      <c r="F27" s="67">
        <f>D27</f>
        <v>510</v>
      </c>
      <c r="G27" s="69">
        <v>1.35</v>
      </c>
      <c r="H27" s="69">
        <f>F27*G27</f>
        <v>688.5</v>
      </c>
      <c r="I27" s="67">
        <f>$I$26/$H$31*H27</f>
        <v>6093864.0939968592</v>
      </c>
      <c r="J27" s="63">
        <f>I27/$I$26</f>
        <v>0.97040169133192389</v>
      </c>
      <c r="K27" s="63">
        <f>J27</f>
        <v>0.97040169133192389</v>
      </c>
      <c r="L27" s="101" t="s">
        <v>80</v>
      </c>
      <c r="M27" s="11">
        <v>18500</v>
      </c>
      <c r="N27" s="100">
        <f>M27/$M$31</f>
        <v>1.3214285714285714</v>
      </c>
    </row>
    <row r="28" spans="2:20" ht="15" customHeight="1" outlineLevel="1" x14ac:dyDescent="0.35">
      <c r="B28" s="5" t="s">
        <v>50</v>
      </c>
      <c r="C28" s="6" t="s">
        <v>73</v>
      </c>
      <c r="D28" s="67">
        <f>D26*E28</f>
        <v>30</v>
      </c>
      <c r="E28" s="68">
        <v>0.05</v>
      </c>
      <c r="F28" s="67">
        <f>D28</f>
        <v>30</v>
      </c>
      <c r="G28" s="69">
        <v>0.7</v>
      </c>
      <c r="H28" s="69">
        <f>F28*G28</f>
        <v>21</v>
      </c>
      <c r="I28" s="67">
        <f>$I$26/$H$31*H28</f>
        <v>185869.49306308504</v>
      </c>
      <c r="J28" s="63">
        <f>I28/$I$26</f>
        <v>2.9598308668076112E-2</v>
      </c>
      <c r="K28" s="63">
        <f>J28</f>
        <v>2.9598308668076112E-2</v>
      </c>
      <c r="L28" s="102"/>
      <c r="M28" s="11">
        <v>9500</v>
      </c>
      <c r="N28" s="100">
        <f>M28/$M$31</f>
        <v>0.6785714285714286</v>
      </c>
    </row>
    <row r="29" spans="2:20" outlineLevel="1" x14ac:dyDescent="0.35">
      <c r="B29" s="5"/>
      <c r="C29" s="6" t="s">
        <v>74</v>
      </c>
      <c r="D29" s="67">
        <f>D26*5%</f>
        <v>30</v>
      </c>
      <c r="E29" s="68"/>
      <c r="F29" s="67"/>
      <c r="G29" s="69"/>
      <c r="H29" s="69"/>
      <c r="I29" s="67"/>
      <c r="J29" s="63"/>
      <c r="K29" s="63"/>
      <c r="L29" s="63"/>
      <c r="N29" s="46"/>
    </row>
    <row r="30" spans="2:20" outlineLevel="1" x14ac:dyDescent="0.35">
      <c r="B30" s="5"/>
      <c r="C30" s="6" t="s">
        <v>51</v>
      </c>
      <c r="D30" s="67">
        <f>D26*5%</f>
        <v>30</v>
      </c>
      <c r="E30" s="68"/>
      <c r="F30" s="67"/>
      <c r="G30" s="69"/>
      <c r="H30" s="69"/>
      <c r="I30" s="67"/>
      <c r="J30" s="63"/>
      <c r="K30" s="63"/>
      <c r="L30" s="63"/>
      <c r="N30" s="46"/>
    </row>
    <row r="31" spans="2:20" s="52" customFormat="1" ht="13" outlineLevel="1" x14ac:dyDescent="0.35">
      <c r="B31" s="59"/>
      <c r="C31" s="79" t="s">
        <v>54</v>
      </c>
      <c r="D31" s="80">
        <f>SUM(D27:D30)</f>
        <v>600</v>
      </c>
      <c r="E31" s="81"/>
      <c r="F31" s="82">
        <f>SUM(F27:F30)</f>
        <v>540</v>
      </c>
      <c r="G31" s="82">
        <f t="shared" ref="G31" si="15">SUM(G27:G30)</f>
        <v>2.0499999999999998</v>
      </c>
      <c r="H31" s="82">
        <f>SUM(H27:H30)</f>
        <v>709.5</v>
      </c>
      <c r="I31" s="82"/>
      <c r="J31" s="83"/>
      <c r="K31" s="83"/>
      <c r="L31" s="83"/>
      <c r="M31" s="53">
        <f>AVERAGE(M27:M30)</f>
        <v>14000</v>
      </c>
      <c r="N31" s="55"/>
      <c r="O31" s="54"/>
      <c r="P31" s="54"/>
    </row>
  </sheetData>
  <mergeCells count="7">
    <mergeCell ref="L27:L28"/>
    <mergeCell ref="D4:E4"/>
    <mergeCell ref="J3:K3"/>
    <mergeCell ref="D3:E3"/>
    <mergeCell ref="M3:N3"/>
    <mergeCell ref="D24:E24"/>
    <mergeCell ref="L7:L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3"/>
  <sheetViews>
    <sheetView zoomScale="80" zoomScaleNormal="80" workbookViewId="0">
      <pane ySplit="4" topLeftCell="A5" activePane="bottomLeft" state="frozen"/>
      <selection pane="bottomLeft" activeCell="C17" sqref="C17"/>
    </sheetView>
  </sheetViews>
  <sheetFormatPr defaultColWidth="8.7265625" defaultRowHeight="12.5" outlineLevelRow="1" outlineLevelCol="1" x14ac:dyDescent="0.35"/>
  <cols>
    <col min="1" max="1" width="3.54296875" style="1" customWidth="1"/>
    <col min="2" max="2" width="11" style="1" customWidth="1"/>
    <col min="3" max="3" width="27.453125" style="1" customWidth="1"/>
    <col min="4" max="4" width="8.7265625" style="1" customWidth="1" outlineLevel="1"/>
    <col min="5" max="5" width="11.1796875" style="11" customWidth="1"/>
    <col min="6" max="6" width="11.1796875" style="1" customWidth="1"/>
    <col min="7" max="8" width="10.81640625" style="1" customWidth="1"/>
    <col min="9" max="9" width="12.453125" style="1" customWidth="1"/>
    <col min="10" max="10" width="15.54296875" style="1" customWidth="1"/>
    <col min="11" max="16384" width="8.7265625" style="1"/>
  </cols>
  <sheetData>
    <row r="1" spans="2:10" ht="11.5" customHeight="1" x14ac:dyDescent="0.35"/>
    <row r="2" spans="2:10" ht="11.5" customHeight="1" thickBot="1" x14ac:dyDescent="0.4">
      <c r="G2" s="1" t="s">
        <v>32</v>
      </c>
    </row>
    <row r="3" spans="2:10" ht="42.65" customHeight="1" thickTop="1" thickBot="1" x14ac:dyDescent="0.4">
      <c r="E3" s="110" t="s">
        <v>43</v>
      </c>
      <c r="F3" s="111"/>
      <c r="G3" s="112" t="s">
        <v>0</v>
      </c>
      <c r="H3" s="113"/>
      <c r="I3" s="44" t="s">
        <v>30</v>
      </c>
      <c r="J3" s="45" t="s">
        <v>31</v>
      </c>
    </row>
    <row r="4" spans="2:10" ht="13" x14ac:dyDescent="0.3">
      <c r="B4" s="15" t="s">
        <v>1</v>
      </c>
      <c r="C4" s="16" t="s">
        <v>2</v>
      </c>
      <c r="D4" s="25" t="s">
        <v>44</v>
      </c>
      <c r="E4" s="24" t="s">
        <v>4</v>
      </c>
      <c r="F4" s="25" t="s">
        <v>5</v>
      </c>
      <c r="G4" s="26" t="s">
        <v>4</v>
      </c>
      <c r="H4" s="31" t="s">
        <v>5</v>
      </c>
      <c r="I4" s="42" t="s">
        <v>5</v>
      </c>
      <c r="J4" s="43" t="s">
        <v>5</v>
      </c>
    </row>
    <row r="5" spans="2:10" ht="13" outlineLevel="1" x14ac:dyDescent="0.35">
      <c r="B5" s="2" t="s">
        <v>6</v>
      </c>
      <c r="C5" s="3" t="s">
        <v>7</v>
      </c>
      <c r="D5" s="12"/>
      <c r="E5" s="17">
        <v>1000</v>
      </c>
      <c r="F5" s="19"/>
      <c r="G5" s="27">
        <v>1400</v>
      </c>
      <c r="H5" s="32"/>
      <c r="I5" s="36">
        <f>SUM(I6:I13)</f>
        <v>1</v>
      </c>
      <c r="J5" s="37">
        <v>0.98</v>
      </c>
    </row>
    <row r="6" spans="2:10" outlineLevel="1" x14ac:dyDescent="0.35">
      <c r="B6" s="5" t="s">
        <v>33</v>
      </c>
      <c r="C6" s="6" t="s">
        <v>34</v>
      </c>
      <c r="D6" s="13" t="s">
        <v>45</v>
      </c>
      <c r="E6" s="7"/>
      <c r="F6" s="20">
        <f t="shared" ref="F6:F13" si="0">E6/$E$5</f>
        <v>0</v>
      </c>
      <c r="G6" s="28">
        <v>15</v>
      </c>
      <c r="H6" s="13"/>
      <c r="I6" s="38">
        <v>0.95</v>
      </c>
      <c r="J6" s="39">
        <v>0.97</v>
      </c>
    </row>
    <row r="7" spans="2:10" outlineLevel="1" x14ac:dyDescent="0.35">
      <c r="B7" s="5" t="s">
        <v>35</v>
      </c>
      <c r="C7" s="6" t="s">
        <v>36</v>
      </c>
      <c r="D7" s="13" t="s">
        <v>45</v>
      </c>
      <c r="E7" s="7"/>
      <c r="F7" s="20">
        <f t="shared" si="0"/>
        <v>0</v>
      </c>
      <c r="G7" s="28">
        <v>1</v>
      </c>
      <c r="H7" s="13"/>
      <c r="I7" s="38">
        <v>0</v>
      </c>
      <c r="J7" s="39">
        <v>0</v>
      </c>
    </row>
    <row r="8" spans="2:10" outlineLevel="1" x14ac:dyDescent="0.35">
      <c r="B8" s="5" t="s">
        <v>37</v>
      </c>
      <c r="C8" s="6" t="s">
        <v>39</v>
      </c>
      <c r="D8" s="13" t="s">
        <v>46</v>
      </c>
      <c r="E8" s="7"/>
      <c r="F8" s="20">
        <f t="shared" si="0"/>
        <v>0</v>
      </c>
      <c r="G8" s="28">
        <v>35</v>
      </c>
      <c r="H8" s="13"/>
      <c r="I8" s="38">
        <v>0.02</v>
      </c>
      <c r="J8" s="39">
        <v>0.01</v>
      </c>
    </row>
    <row r="9" spans="2:10" outlineLevel="1" x14ac:dyDescent="0.35">
      <c r="B9" s="5" t="s">
        <v>38</v>
      </c>
      <c r="C9" s="6" t="s">
        <v>40</v>
      </c>
      <c r="D9" s="13" t="s">
        <v>45</v>
      </c>
      <c r="E9" s="7"/>
      <c r="F9" s="20">
        <f t="shared" si="0"/>
        <v>0</v>
      </c>
      <c r="G9" s="28">
        <v>1</v>
      </c>
      <c r="H9" s="13"/>
      <c r="I9" s="38">
        <v>0</v>
      </c>
      <c r="J9" s="39">
        <v>0</v>
      </c>
    </row>
    <row r="10" spans="2:10" outlineLevel="1" x14ac:dyDescent="0.35">
      <c r="B10" s="5" t="s">
        <v>41</v>
      </c>
      <c r="C10" s="6" t="s">
        <v>42</v>
      </c>
      <c r="D10" s="13" t="s">
        <v>45</v>
      </c>
      <c r="E10" s="7"/>
      <c r="F10" s="20">
        <f t="shared" si="0"/>
        <v>0</v>
      </c>
      <c r="G10" s="28">
        <v>1</v>
      </c>
      <c r="H10" s="13"/>
      <c r="I10" s="38">
        <v>0.02</v>
      </c>
      <c r="J10" s="39">
        <v>0.01</v>
      </c>
    </row>
    <row r="11" spans="2:10" outlineLevel="1" x14ac:dyDescent="0.35">
      <c r="B11" s="5"/>
      <c r="C11" s="6"/>
      <c r="D11" s="13"/>
      <c r="E11" s="7"/>
      <c r="F11" s="20">
        <f t="shared" si="0"/>
        <v>0</v>
      </c>
      <c r="G11" s="28"/>
      <c r="H11" s="13"/>
      <c r="I11" s="38">
        <v>0.01</v>
      </c>
      <c r="J11" s="39">
        <v>0</v>
      </c>
    </row>
    <row r="12" spans="2:10" outlineLevel="1" x14ac:dyDescent="0.35">
      <c r="B12" s="5"/>
      <c r="C12" s="6"/>
      <c r="D12" s="13"/>
      <c r="E12" s="7"/>
      <c r="F12" s="20">
        <f t="shared" si="0"/>
        <v>0</v>
      </c>
      <c r="G12" s="28"/>
      <c r="H12" s="13"/>
      <c r="I12" s="38">
        <v>0</v>
      </c>
      <c r="J12" s="39">
        <v>0.01</v>
      </c>
    </row>
    <row r="13" spans="2:10" ht="13" outlineLevel="1" thickBot="1" x14ac:dyDescent="0.4">
      <c r="B13" s="5"/>
      <c r="C13" s="6"/>
      <c r="D13" s="13"/>
      <c r="E13" s="18"/>
      <c r="F13" s="21">
        <f t="shared" si="0"/>
        <v>0</v>
      </c>
      <c r="G13" s="28"/>
      <c r="H13" s="13"/>
      <c r="I13" s="38">
        <v>0</v>
      </c>
      <c r="J13" s="39">
        <v>0</v>
      </c>
    </row>
    <row r="14" spans="2:10" ht="13" x14ac:dyDescent="0.3">
      <c r="B14" s="15" t="s">
        <v>20</v>
      </c>
      <c r="C14" s="16" t="s">
        <v>21</v>
      </c>
      <c r="D14" s="25" t="s">
        <v>3</v>
      </c>
      <c r="E14" s="24" t="s">
        <v>4</v>
      </c>
      <c r="F14" s="25" t="s">
        <v>5</v>
      </c>
      <c r="G14" s="29" t="s">
        <v>4</v>
      </c>
      <c r="H14" s="25" t="s">
        <v>5</v>
      </c>
      <c r="I14" s="34" t="s">
        <v>5</v>
      </c>
      <c r="J14" s="35" t="s">
        <v>5</v>
      </c>
    </row>
    <row r="15" spans="2:10" ht="13" outlineLevel="1" x14ac:dyDescent="0.35">
      <c r="B15" s="2" t="s">
        <v>22</v>
      </c>
      <c r="C15" s="3" t="s">
        <v>23</v>
      </c>
      <c r="D15" s="12" t="e">
        <f>#REF!/#REF!</f>
        <v>#REF!</v>
      </c>
      <c r="E15" s="4">
        <v>1000</v>
      </c>
      <c r="F15" s="22"/>
      <c r="G15" s="27">
        <v>1300</v>
      </c>
      <c r="H15" s="32"/>
      <c r="I15" s="36">
        <f>SUM(I16:I24)</f>
        <v>1</v>
      </c>
      <c r="J15" s="37">
        <f>SUM(J16:J24)</f>
        <v>1</v>
      </c>
    </row>
    <row r="16" spans="2:10" outlineLevel="1" x14ac:dyDescent="0.35">
      <c r="B16" s="5" t="s">
        <v>33</v>
      </c>
      <c r="C16" s="6" t="s">
        <v>34</v>
      </c>
      <c r="D16" s="13"/>
      <c r="E16" s="7">
        <v>700</v>
      </c>
      <c r="F16" s="20">
        <f>E16/$E$15</f>
        <v>0.7</v>
      </c>
      <c r="G16" s="28">
        <v>14</v>
      </c>
      <c r="H16" s="13"/>
      <c r="I16" s="38">
        <v>0.8</v>
      </c>
      <c r="J16" s="39">
        <v>0.97</v>
      </c>
    </row>
    <row r="17" spans="2:10" outlineLevel="1" x14ac:dyDescent="0.35">
      <c r="B17" s="5" t="s">
        <v>35</v>
      </c>
      <c r="C17" s="6" t="s">
        <v>36</v>
      </c>
      <c r="D17" s="13"/>
      <c r="E17" s="7">
        <v>10</v>
      </c>
      <c r="F17" s="20">
        <f t="shared" ref="F17:F24" si="1">E17/$E$15</f>
        <v>0.01</v>
      </c>
      <c r="G17" s="28">
        <v>1</v>
      </c>
      <c r="H17" s="13"/>
      <c r="I17" s="38">
        <v>0</v>
      </c>
      <c r="J17" s="39">
        <v>0</v>
      </c>
    </row>
    <row r="18" spans="2:10" outlineLevel="1" x14ac:dyDescent="0.35">
      <c r="B18" s="5" t="s">
        <v>37</v>
      </c>
      <c r="C18" s="6" t="s">
        <v>39</v>
      </c>
      <c r="D18" s="13"/>
      <c r="E18" s="7">
        <v>80</v>
      </c>
      <c r="F18" s="20">
        <f t="shared" si="1"/>
        <v>0.08</v>
      </c>
      <c r="G18" s="28">
        <v>40</v>
      </c>
      <c r="H18" s="13"/>
      <c r="I18" s="38">
        <v>0.15</v>
      </c>
      <c r="J18" s="39">
        <v>0</v>
      </c>
    </row>
    <row r="19" spans="2:10" outlineLevel="1" x14ac:dyDescent="0.35">
      <c r="B19" s="5" t="s">
        <v>38</v>
      </c>
      <c r="C19" s="6" t="s">
        <v>40</v>
      </c>
      <c r="D19" s="13"/>
      <c r="E19" s="7"/>
      <c r="F19" s="20">
        <f t="shared" si="1"/>
        <v>0</v>
      </c>
      <c r="G19" s="28">
        <v>1</v>
      </c>
      <c r="H19" s="13"/>
      <c r="I19" s="38">
        <v>0</v>
      </c>
      <c r="J19" s="39">
        <v>0</v>
      </c>
    </row>
    <row r="20" spans="2:10" outlineLevel="1" x14ac:dyDescent="0.35">
      <c r="B20" s="5" t="s">
        <v>41</v>
      </c>
      <c r="C20" s="6" t="s">
        <v>42</v>
      </c>
      <c r="D20" s="13"/>
      <c r="E20" s="7">
        <v>15</v>
      </c>
      <c r="F20" s="20">
        <f t="shared" si="1"/>
        <v>1.4999999999999999E-2</v>
      </c>
      <c r="G20" s="28">
        <v>1</v>
      </c>
      <c r="H20" s="13"/>
      <c r="I20" s="38">
        <v>0.02</v>
      </c>
      <c r="J20" s="39">
        <v>0.01</v>
      </c>
    </row>
    <row r="21" spans="2:10" outlineLevel="1" x14ac:dyDescent="0.35">
      <c r="B21" s="5"/>
      <c r="C21" s="6"/>
      <c r="D21" s="13"/>
      <c r="E21" s="7">
        <v>25</v>
      </c>
      <c r="F21" s="20">
        <f>E21/$E$15</f>
        <v>2.5000000000000001E-2</v>
      </c>
      <c r="G21" s="28"/>
      <c r="H21" s="13"/>
      <c r="I21" s="38">
        <v>0.02</v>
      </c>
      <c r="J21" s="39">
        <v>0.01</v>
      </c>
    </row>
    <row r="22" spans="2:10" ht="32.15" customHeight="1" outlineLevel="1" x14ac:dyDescent="0.35">
      <c r="B22" s="5"/>
      <c r="C22" s="6"/>
      <c r="D22" s="13"/>
      <c r="E22" s="7">
        <v>20</v>
      </c>
      <c r="F22" s="20">
        <f>E22/$E$15</f>
        <v>0.02</v>
      </c>
      <c r="G22" s="28"/>
      <c r="H22" s="13"/>
      <c r="I22" s="38">
        <v>0.01</v>
      </c>
      <c r="J22" s="39">
        <v>0</v>
      </c>
    </row>
    <row r="23" spans="2:10" outlineLevel="1" x14ac:dyDescent="0.35">
      <c r="B23" s="5"/>
      <c r="C23" s="6"/>
      <c r="D23" s="13"/>
      <c r="E23" s="7">
        <v>40</v>
      </c>
      <c r="F23" s="20">
        <f t="shared" si="1"/>
        <v>0.04</v>
      </c>
      <c r="G23" s="28"/>
      <c r="H23" s="13"/>
      <c r="I23" s="38">
        <v>0</v>
      </c>
      <c r="J23" s="39">
        <v>0.01</v>
      </c>
    </row>
    <row r="24" spans="2:10" ht="13" outlineLevel="1" thickBot="1" x14ac:dyDescent="0.4">
      <c r="B24" s="5"/>
      <c r="C24" s="6"/>
      <c r="D24" s="13"/>
      <c r="E24" s="18">
        <v>70</v>
      </c>
      <c r="F24" s="21">
        <f t="shared" si="1"/>
        <v>7.0000000000000007E-2</v>
      </c>
      <c r="G24" s="28"/>
      <c r="H24" s="13"/>
      <c r="I24" s="38">
        <v>0</v>
      </c>
      <c r="J24" s="39">
        <v>0</v>
      </c>
    </row>
    <row r="25" spans="2:10" ht="13" x14ac:dyDescent="0.3">
      <c r="B25" s="15" t="s">
        <v>26</v>
      </c>
      <c r="C25" s="16" t="s">
        <v>27</v>
      </c>
      <c r="D25" s="25" t="s">
        <v>3</v>
      </c>
      <c r="E25" s="24" t="s">
        <v>4</v>
      </c>
      <c r="F25" s="25" t="s">
        <v>5</v>
      </c>
      <c r="G25" s="29" t="s">
        <v>4</v>
      </c>
      <c r="H25" s="25" t="s">
        <v>5</v>
      </c>
      <c r="I25" s="34" t="s">
        <v>5</v>
      </c>
      <c r="J25" s="35" t="s">
        <v>5</v>
      </c>
    </row>
    <row r="26" spans="2:10" ht="13" x14ac:dyDescent="0.35">
      <c r="B26" s="2" t="s">
        <v>28</v>
      </c>
      <c r="C26" s="3" t="s">
        <v>29</v>
      </c>
      <c r="D26" s="12" t="e">
        <f>#REF!/#REF!</f>
        <v>#REF!</v>
      </c>
      <c r="E26" s="4">
        <v>1000</v>
      </c>
      <c r="F26" s="22"/>
      <c r="G26" s="27">
        <v>2000</v>
      </c>
      <c r="H26" s="32"/>
      <c r="I26" s="36">
        <f>SUM(I27:I32)</f>
        <v>1.1200000000000001</v>
      </c>
      <c r="J26" s="37">
        <f>SUM(J27:J32)</f>
        <v>1</v>
      </c>
    </row>
    <row r="27" spans="2:10" x14ac:dyDescent="0.35">
      <c r="B27" s="5" t="s">
        <v>33</v>
      </c>
      <c r="C27" s="6" t="s">
        <v>34</v>
      </c>
      <c r="D27" s="13"/>
      <c r="E27" s="7"/>
      <c r="F27" s="20">
        <f>E27/E$26</f>
        <v>0</v>
      </c>
      <c r="G27" s="28">
        <v>9</v>
      </c>
      <c r="H27" s="13"/>
      <c r="I27" s="38">
        <v>0.92</v>
      </c>
      <c r="J27" s="39">
        <v>1</v>
      </c>
    </row>
    <row r="28" spans="2:10" x14ac:dyDescent="0.35">
      <c r="B28" s="5" t="s">
        <v>35</v>
      </c>
      <c r="C28" s="6" t="s">
        <v>36</v>
      </c>
      <c r="D28" s="13"/>
      <c r="E28" s="7"/>
      <c r="F28" s="20">
        <f t="shared" ref="F28" si="2">E28/E$26</f>
        <v>0</v>
      </c>
      <c r="G28" s="28">
        <v>1</v>
      </c>
      <c r="H28" s="13"/>
      <c r="I28" s="38">
        <v>0.06</v>
      </c>
      <c r="J28" s="39">
        <v>0</v>
      </c>
    </row>
    <row r="29" spans="2:10" x14ac:dyDescent="0.35">
      <c r="B29" s="5" t="s">
        <v>37</v>
      </c>
      <c r="C29" s="6" t="s">
        <v>39</v>
      </c>
      <c r="D29" s="13"/>
      <c r="E29" s="7"/>
      <c r="F29" s="20">
        <f t="shared" ref="F29" si="3">E29/E$26</f>
        <v>0</v>
      </c>
      <c r="G29" s="28">
        <v>30</v>
      </c>
      <c r="H29" s="13"/>
      <c r="I29" s="38">
        <v>0.06</v>
      </c>
      <c r="J29" s="39">
        <v>0</v>
      </c>
    </row>
    <row r="30" spans="2:10" x14ac:dyDescent="0.35">
      <c r="B30" s="5" t="s">
        <v>38</v>
      </c>
      <c r="C30" s="6" t="s">
        <v>40</v>
      </c>
      <c r="D30" s="13"/>
      <c r="E30" s="7"/>
      <c r="F30" s="20">
        <f t="shared" ref="F30:F32" si="4">E30/E$26</f>
        <v>0</v>
      </c>
      <c r="G30" s="28">
        <v>1</v>
      </c>
      <c r="H30" s="13"/>
      <c r="I30" s="38">
        <v>0.06</v>
      </c>
      <c r="J30" s="39">
        <v>0</v>
      </c>
    </row>
    <row r="31" spans="2:10" x14ac:dyDescent="0.35">
      <c r="B31" s="5" t="s">
        <v>41</v>
      </c>
      <c r="C31" s="6" t="s">
        <v>42</v>
      </c>
      <c r="D31" s="13"/>
      <c r="E31" s="7"/>
      <c r="F31" s="20">
        <f t="shared" si="4"/>
        <v>0</v>
      </c>
      <c r="G31" s="28">
        <v>1</v>
      </c>
      <c r="H31" s="13"/>
      <c r="I31" s="38"/>
      <c r="J31" s="39">
        <v>0</v>
      </c>
    </row>
    <row r="32" spans="2:10" ht="13" thickBot="1" x14ac:dyDescent="0.4">
      <c r="B32" s="8"/>
      <c r="C32" s="9"/>
      <c r="D32" s="14"/>
      <c r="E32" s="10"/>
      <c r="F32" s="23">
        <f t="shared" si="4"/>
        <v>0</v>
      </c>
      <c r="G32" s="30"/>
      <c r="H32" s="33"/>
      <c r="I32" s="40">
        <v>0.02</v>
      </c>
      <c r="J32" s="41">
        <v>0</v>
      </c>
    </row>
    <row r="33" ht="13" thickTop="1" x14ac:dyDescent="0.35"/>
  </sheetData>
  <mergeCells count="2">
    <mergeCell ref="E3:F3"/>
    <mergeCell ref="G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5E89-7B38-4AD4-9AB0-CBA67A8933BA}">
  <dimension ref="B2:B7"/>
  <sheetViews>
    <sheetView tabSelected="1" workbookViewId="0">
      <selection activeCell="B6" sqref="B6"/>
    </sheetView>
  </sheetViews>
  <sheetFormatPr defaultRowHeight="14.5" x14ac:dyDescent="0.35"/>
  <cols>
    <col min="2" max="2" width="67.1796875" customWidth="1"/>
  </cols>
  <sheetData>
    <row r="2" spans="2:2" x14ac:dyDescent="0.35">
      <c r="B2" t="s">
        <v>92</v>
      </c>
    </row>
    <row r="3" spans="2:2" ht="27.5" x14ac:dyDescent="0.35">
      <c r="B3" s="114" t="s">
        <v>91</v>
      </c>
    </row>
    <row r="4" spans="2:2" ht="27.5" x14ac:dyDescent="0.35">
      <c r="B4" s="114" t="s">
        <v>89</v>
      </c>
    </row>
    <row r="5" spans="2:2" ht="27.5" x14ac:dyDescent="0.35">
      <c r="B5" s="114" t="s">
        <v>90</v>
      </c>
    </row>
    <row r="7" spans="2:2" ht="22.5" x14ac:dyDescent="0.35">
      <c r="B7" s="115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02ce9a2cf4966ec69a1b358f4d4b9d99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53998a36049a3ee9df92b0976465d5cf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FB695-EBB1-4568-A5C6-F2488C1BB68C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da0191db-049f-49dc-a4a6-d804a7c1caa4"/>
    <ds:schemaRef ds:uri="http://purl.org/dc/terms/"/>
    <ds:schemaRef ds:uri="0df09a27-9771-47e1-b9df-a49ccb752b2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4445BB4-DE60-482C-8C9F-47304BF269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429F17-0262-41E4-BFB9-B5DB961E8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ROUTING</vt:lpstr>
      <vt:lpstr>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