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15.xml" ContentType="application/vnd.openxmlformats-officedocument.drawingml.chart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ml.chartshapes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ml.chartshapes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omments3.xml" ContentType="application/vnd.openxmlformats-officedocument.spreadsheetml.comments+xml"/>
  <Override PartName="/xl/charts/chart22.xml" ContentType="application/vnd.openxmlformats-officedocument.drawingml.chart+xml"/>
  <Override PartName="/xl/drawings/drawing19.xml" ContentType="application/vnd.openxmlformats-officedocument.drawingml.chartshapes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ata\GĐ Tài chính\KQHĐKD\03. KQHDKD_Danh gửi Cư\"/>
    </mc:Choice>
  </mc:AlternateContent>
  <xr:revisionPtr revIDLastSave="0" documentId="13_ncr:1_{E298B206-8F8A-4E98-9C72-94D849526CC1}" xr6:coauthVersionLast="47" xr6:coauthVersionMax="47" xr10:uidLastSave="{00000000-0000-0000-0000-000000000000}"/>
  <bookViews>
    <workbookView xWindow="0" yWindow="360" windowWidth="19420" windowHeight="10300" tabRatio="890" firstSheet="1" activeTab="8" xr2:uid="{04F2CB0D-BF99-408C-AF7F-C7B3D4D73C10}"/>
  </bookViews>
  <sheets>
    <sheet name="Mth" sheetId="10" state="hidden" r:id="rId1"/>
    <sheet name="S6" sheetId="2" r:id="rId2"/>
    <sheet name="S7" sheetId="1" r:id="rId3"/>
    <sheet name="S8" sheetId="3" r:id="rId4"/>
    <sheet name="BĐ-LG EXW-v2" sheetId="4" r:id="rId5"/>
    <sheet name="S10" sheetId="11" r:id="rId6"/>
    <sheet name="BĐ-LG EXW-v2 (PDM)" sheetId="13" r:id="rId7"/>
    <sheet name="Sheet3" sheetId="14" r:id="rId8"/>
    <sheet name="Sheet3 (2)" sheetId="15" r:id="rId9"/>
    <sheet name="S11" sheetId="12" r:id="rId10"/>
    <sheet name="Giải trình" sheetId="8" r:id="rId11"/>
  </sheets>
  <definedNames>
    <definedName name="mth">Mth!$B$2</definedName>
    <definedName name="year">Mth!$B$1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5" l="1"/>
  <c r="R10" i="15"/>
  <c r="R9" i="15"/>
  <c r="R8" i="15"/>
  <c r="R7" i="15"/>
  <c r="J10" i="15"/>
  <c r="J11" i="15"/>
  <c r="J9" i="15"/>
  <c r="J8" i="15"/>
  <c r="J7" i="15"/>
  <c r="AA15" i="15"/>
  <c r="AA14" i="15"/>
  <c r="AA13" i="15"/>
  <c r="AA12" i="15"/>
  <c r="AA11" i="15"/>
  <c r="AA10" i="15"/>
  <c r="AA9" i="15"/>
  <c r="AA8" i="15"/>
  <c r="AA7" i="15"/>
  <c r="AA6" i="15"/>
  <c r="Y15" i="15"/>
  <c r="Y14" i="15"/>
  <c r="Y13" i="15"/>
  <c r="Y12" i="15"/>
  <c r="Y11" i="15"/>
  <c r="Y10" i="15"/>
  <c r="Y9" i="15"/>
  <c r="Y8" i="15"/>
  <c r="Y7" i="15"/>
  <c r="Y6" i="15"/>
  <c r="M15" i="15"/>
  <c r="K15" i="15"/>
  <c r="B15" i="15"/>
  <c r="U14" i="15"/>
  <c r="S14" i="15"/>
  <c r="M14" i="15"/>
  <c r="K14" i="15"/>
  <c r="X14" i="15" s="1"/>
  <c r="B14" i="15"/>
  <c r="U13" i="15"/>
  <c r="S13" i="15"/>
  <c r="M13" i="15"/>
  <c r="K13" i="15"/>
  <c r="B13" i="15"/>
  <c r="U12" i="15"/>
  <c r="S12" i="15"/>
  <c r="M12" i="15"/>
  <c r="K12" i="15"/>
  <c r="B12" i="15"/>
  <c r="U11" i="15"/>
  <c r="S11" i="15"/>
  <c r="Q11" i="15"/>
  <c r="P11" i="15"/>
  <c r="M11" i="15"/>
  <c r="K11" i="15"/>
  <c r="I11" i="15"/>
  <c r="H11" i="15"/>
  <c r="E11" i="15"/>
  <c r="C11" i="15"/>
  <c r="B11" i="15"/>
  <c r="U10" i="15"/>
  <c r="S10" i="15"/>
  <c r="Q10" i="15"/>
  <c r="P10" i="15"/>
  <c r="M10" i="15"/>
  <c r="K10" i="15"/>
  <c r="I10" i="15"/>
  <c r="H10" i="15"/>
  <c r="E10" i="15"/>
  <c r="C10" i="15"/>
  <c r="B10" i="15"/>
  <c r="U9" i="15"/>
  <c r="S9" i="15"/>
  <c r="Q9" i="15"/>
  <c r="P9" i="15"/>
  <c r="M9" i="15"/>
  <c r="K9" i="15"/>
  <c r="I9" i="15"/>
  <c r="H9" i="15"/>
  <c r="E9" i="15"/>
  <c r="C9" i="15"/>
  <c r="B9" i="15"/>
  <c r="U8" i="15"/>
  <c r="S8" i="15"/>
  <c r="Q8" i="15"/>
  <c r="P8" i="15"/>
  <c r="M8" i="15"/>
  <c r="K8" i="15"/>
  <c r="I8" i="15"/>
  <c r="H8" i="15"/>
  <c r="E8" i="15"/>
  <c r="C8" i="15"/>
  <c r="B8" i="15"/>
  <c r="U7" i="15"/>
  <c r="S7" i="15"/>
  <c r="Q7" i="15"/>
  <c r="P7" i="15"/>
  <c r="M7" i="15"/>
  <c r="K7" i="15"/>
  <c r="I7" i="15"/>
  <c r="H7" i="15"/>
  <c r="E7" i="15"/>
  <c r="C7" i="15"/>
  <c r="B7" i="15"/>
  <c r="S5" i="14"/>
  <c r="R5" i="14"/>
  <c r="S13" i="14"/>
  <c r="R13" i="14"/>
  <c r="S12" i="14"/>
  <c r="R12" i="14"/>
  <c r="S11" i="14"/>
  <c r="R11" i="14"/>
  <c r="S10" i="14"/>
  <c r="R10" i="14"/>
  <c r="S9" i="14"/>
  <c r="R9" i="14"/>
  <c r="S8" i="14"/>
  <c r="R8" i="14"/>
  <c r="S7" i="14"/>
  <c r="R7" i="14"/>
  <c r="S6" i="14"/>
  <c r="R6" i="14"/>
  <c r="O13" i="14"/>
  <c r="O12" i="14"/>
  <c r="O6" i="14"/>
  <c r="M10" i="14"/>
  <c r="L10" i="14"/>
  <c r="M9" i="14"/>
  <c r="L9" i="14"/>
  <c r="M8" i="14"/>
  <c r="L8" i="14"/>
  <c r="M7" i="14"/>
  <c r="L7" i="14"/>
  <c r="M6" i="14"/>
  <c r="L6" i="14"/>
  <c r="P13" i="14"/>
  <c r="P12" i="14"/>
  <c r="P11" i="14"/>
  <c r="O11" i="14"/>
  <c r="P10" i="14"/>
  <c r="O10" i="14"/>
  <c r="P9" i="14"/>
  <c r="O9" i="14"/>
  <c r="P8" i="14"/>
  <c r="P5" i="14" s="1"/>
  <c r="O8" i="14"/>
  <c r="P7" i="14"/>
  <c r="O7" i="14"/>
  <c r="P6" i="14"/>
  <c r="J6" i="14"/>
  <c r="J7" i="14"/>
  <c r="J5" i="14" s="1"/>
  <c r="J8" i="14"/>
  <c r="J9" i="14"/>
  <c r="J10" i="14"/>
  <c r="J11" i="14"/>
  <c r="J12" i="14"/>
  <c r="J13" i="14"/>
  <c r="J14" i="14"/>
  <c r="I14" i="14"/>
  <c r="I13" i="14"/>
  <c r="I12" i="14"/>
  <c r="I11" i="14"/>
  <c r="B14" i="14"/>
  <c r="B13" i="14"/>
  <c r="B12" i="14"/>
  <c r="B11" i="14"/>
  <c r="I10" i="14"/>
  <c r="I9" i="14"/>
  <c r="I8" i="14"/>
  <c r="I7" i="14"/>
  <c r="I6" i="14"/>
  <c r="I5" i="14" s="1"/>
  <c r="G10" i="14"/>
  <c r="F10" i="14"/>
  <c r="G9" i="14"/>
  <c r="F9" i="14"/>
  <c r="G8" i="14"/>
  <c r="F8" i="14"/>
  <c r="G7" i="14"/>
  <c r="F7" i="14"/>
  <c r="G6" i="14"/>
  <c r="F6" i="14"/>
  <c r="D10" i="14"/>
  <c r="D9" i="14"/>
  <c r="D8" i="14"/>
  <c r="D7" i="14"/>
  <c r="D6" i="14"/>
  <c r="D5" i="14" s="1"/>
  <c r="C10" i="14"/>
  <c r="C9" i="14"/>
  <c r="C8" i="14"/>
  <c r="C7" i="14"/>
  <c r="C6" i="14"/>
  <c r="C5" i="14" s="1"/>
  <c r="B10" i="14"/>
  <c r="B9" i="14"/>
  <c r="B8" i="14"/>
  <c r="B7" i="14"/>
  <c r="B6" i="14"/>
  <c r="B139" i="13"/>
  <c r="A98" i="13"/>
  <c r="A79" i="13"/>
  <c r="B133" i="13" s="1"/>
  <c r="C74" i="13"/>
  <c r="B74" i="13"/>
  <c r="C73" i="13"/>
  <c r="B73" i="13"/>
  <c r="C72" i="13"/>
  <c r="B72" i="13"/>
  <c r="C71" i="13"/>
  <c r="B71" i="13"/>
  <c r="C70" i="13"/>
  <c r="B70" i="13"/>
  <c r="C69" i="13"/>
  <c r="B69" i="13"/>
  <c r="C67" i="13"/>
  <c r="D67" i="13" s="1"/>
  <c r="M54" i="13" s="1"/>
  <c r="U54" i="13" s="1"/>
  <c r="B67" i="13"/>
  <c r="C66" i="13"/>
  <c r="B66" i="13"/>
  <c r="C65" i="13"/>
  <c r="D65" i="13" s="1"/>
  <c r="M22" i="13" s="1"/>
  <c r="B65" i="13"/>
  <c r="C64" i="13"/>
  <c r="D64" i="13" s="1"/>
  <c r="M21" i="13" s="1"/>
  <c r="B64" i="13"/>
  <c r="C63" i="13"/>
  <c r="D63" i="13" s="1"/>
  <c r="B63" i="13"/>
  <c r="C57" i="13"/>
  <c r="D57" i="13" s="1"/>
  <c r="P57" i="13" s="1"/>
  <c r="W57" i="13" s="1"/>
  <c r="B57" i="13"/>
  <c r="N54" i="13"/>
  <c r="N53" i="13"/>
  <c r="G52" i="13"/>
  <c r="F52" i="13"/>
  <c r="U51" i="13"/>
  <c r="G51" i="13"/>
  <c r="F51" i="13"/>
  <c r="G50" i="13"/>
  <c r="F50" i="13"/>
  <c r="C43" i="13"/>
  <c r="B43" i="13"/>
  <c r="C42" i="13"/>
  <c r="B42" i="13"/>
  <c r="B41" i="13"/>
  <c r="C40" i="13"/>
  <c r="B40" i="13"/>
  <c r="D36" i="13"/>
  <c r="D35" i="13"/>
  <c r="D34" i="13"/>
  <c r="N52" i="13" s="1"/>
  <c r="D33" i="13"/>
  <c r="N51" i="13" s="1"/>
  <c r="D32" i="13"/>
  <c r="N50" i="13" s="1"/>
  <c r="N59" i="13" s="1"/>
  <c r="C28" i="13"/>
  <c r="D28" i="13" s="1"/>
  <c r="P28" i="13" s="1"/>
  <c r="Q28" i="13" s="1"/>
  <c r="B28" i="13"/>
  <c r="B58" i="13" s="1"/>
  <c r="D27" i="13"/>
  <c r="O27" i="13" s="1"/>
  <c r="Q27" i="13" s="1"/>
  <c r="C27" i="13"/>
  <c r="B27" i="13"/>
  <c r="C26" i="13"/>
  <c r="C56" i="13" s="1"/>
  <c r="D56" i="13" s="1"/>
  <c r="P56" i="13" s="1"/>
  <c r="W56" i="13" s="1"/>
  <c r="B26" i="13"/>
  <c r="B56" i="13" s="1"/>
  <c r="C25" i="13"/>
  <c r="B25" i="13"/>
  <c r="B55" i="13" s="1"/>
  <c r="M24" i="13"/>
  <c r="C23" i="13"/>
  <c r="B23" i="13"/>
  <c r="B53" i="13" s="1"/>
  <c r="C21" i="13"/>
  <c r="B21" i="13"/>
  <c r="C18" i="13"/>
  <c r="B18" i="13"/>
  <c r="C17" i="13"/>
  <c r="B17" i="13"/>
  <c r="C16" i="13"/>
  <c r="B16" i="13"/>
  <c r="B22" i="13" s="1"/>
  <c r="B52" i="13" s="1"/>
  <c r="C15" i="13"/>
  <c r="B15" i="13"/>
  <c r="C14" i="13"/>
  <c r="B14" i="13"/>
  <c r="D13" i="13"/>
  <c r="C12" i="13"/>
  <c r="B12" i="13"/>
  <c r="B24" i="13" s="1"/>
  <c r="B54" i="13" s="1"/>
  <c r="C11" i="13"/>
  <c r="B11" i="13"/>
  <c r="D10" i="13"/>
  <c r="C10" i="13"/>
  <c r="C41" i="13" s="1"/>
  <c r="B10" i="13"/>
  <c r="C9" i="13"/>
  <c r="M51" i="13" s="1"/>
  <c r="B9" i="13"/>
  <c r="C8" i="13"/>
  <c r="B8" i="13"/>
  <c r="Q87" i="12"/>
  <c r="R87" i="12" s="1"/>
  <c r="S87" i="12" s="1"/>
  <c r="P87" i="12"/>
  <c r="Q86" i="12"/>
  <c r="R86" i="12" s="1"/>
  <c r="S86" i="12" s="1"/>
  <c r="P86" i="12"/>
  <c r="Q85" i="12"/>
  <c r="R85" i="12" s="1"/>
  <c r="S85" i="12" s="1"/>
  <c r="P85" i="12"/>
  <c r="G85" i="12"/>
  <c r="Q84" i="12"/>
  <c r="P84" i="12"/>
  <c r="X83" i="12"/>
  <c r="W83" i="12"/>
  <c r="Q83" i="12"/>
  <c r="R83" i="12" s="1"/>
  <c r="S83" i="12" s="1"/>
  <c r="P83" i="12"/>
  <c r="H83" i="12"/>
  <c r="H84" i="12" s="1"/>
  <c r="W79" i="12"/>
  <c r="X79" i="12" s="1"/>
  <c r="Q79" i="12"/>
  <c r="R79" i="12" s="1"/>
  <c r="S79" i="12" s="1"/>
  <c r="P79" i="12"/>
  <c r="AA78" i="12" s="1"/>
  <c r="Z78" i="12" s="1"/>
  <c r="AE78" i="12" s="1"/>
  <c r="R78" i="12"/>
  <c r="S78" i="12" s="1"/>
  <c r="M78" i="12" a="1"/>
  <c r="W77" i="12"/>
  <c r="X77" i="12" s="1"/>
  <c r="Q77" i="12"/>
  <c r="R77" i="12" s="1"/>
  <c r="S77" i="12" s="1"/>
  <c r="P77" i="12"/>
  <c r="R76" i="12"/>
  <c r="AA76" i="12" s="1"/>
  <c r="X75" i="12"/>
  <c r="W75" i="12"/>
  <c r="Q75" i="12"/>
  <c r="P75" i="12"/>
  <c r="R74" i="12"/>
  <c r="W73" i="12"/>
  <c r="X73" i="12" s="1"/>
  <c r="Q73" i="12"/>
  <c r="R73" i="12" s="1"/>
  <c r="S73" i="12" s="1"/>
  <c r="P73" i="12"/>
  <c r="AA72" i="12"/>
  <c r="S72" i="12"/>
  <c r="R72" i="12"/>
  <c r="W71" i="12"/>
  <c r="X71" i="12" s="1"/>
  <c r="R71" i="12"/>
  <c r="S71" i="12" s="1"/>
  <c r="Q71" i="12"/>
  <c r="P71" i="12"/>
  <c r="AA70" i="12"/>
  <c r="S70" i="12"/>
  <c r="R70" i="12"/>
  <c r="H69" i="12"/>
  <c r="C69" i="12"/>
  <c r="A69" i="12"/>
  <c r="H53" i="12"/>
  <c r="G33" i="12"/>
  <c r="C33" i="12"/>
  <c r="G31" i="12"/>
  <c r="C31" i="12"/>
  <c r="C29" i="12"/>
  <c r="C32" i="12" s="1"/>
  <c r="C34" i="12" s="1"/>
  <c r="G27" i="12"/>
  <c r="H21" i="12" s="1"/>
  <c r="C27" i="12"/>
  <c r="AI24" i="12"/>
  <c r="AH22" i="12"/>
  <c r="AH20" i="12" s="1"/>
  <c r="X22" i="12"/>
  <c r="W22" i="12"/>
  <c r="J22" i="12"/>
  <c r="I22" i="12"/>
  <c r="A22" i="12"/>
  <c r="A83" i="12" s="1"/>
  <c r="AP20" i="12"/>
  <c r="AO20" i="12"/>
  <c r="R18" i="12"/>
  <c r="S18" i="12" s="1"/>
  <c r="W17" i="12"/>
  <c r="AD16" i="12" s="1"/>
  <c r="AC78" i="12" s="1"/>
  <c r="S17" i="12"/>
  <c r="R17" i="12"/>
  <c r="AB16" i="12" s="1"/>
  <c r="AB78" i="12" s="1"/>
  <c r="AP16" i="12"/>
  <c r="AO16" i="12"/>
  <c r="AM16" i="12"/>
  <c r="AI16" i="12"/>
  <c r="AH16" i="12"/>
  <c r="AR16" i="12" s="1"/>
  <c r="AC16" i="12"/>
  <c r="R16" i="12"/>
  <c r="AA16" i="12" s="1"/>
  <c r="R15" i="12"/>
  <c r="S15" i="12" s="1"/>
  <c r="W14" i="12"/>
  <c r="X14" i="12" s="1"/>
  <c r="R14" i="12"/>
  <c r="AB13" i="12" s="1"/>
  <c r="AR13" i="12"/>
  <c r="AP13" i="12"/>
  <c r="AS13" i="12" s="1"/>
  <c r="AO13" i="12"/>
  <c r="AM13" i="12"/>
  <c r="AJ13" i="12"/>
  <c r="AK13" i="12" s="1"/>
  <c r="AI13" i="12"/>
  <c r="AH13" i="12"/>
  <c r="AC13" i="12"/>
  <c r="AA13" i="12"/>
  <c r="S13" i="12"/>
  <c r="R13" i="12"/>
  <c r="R12" i="12"/>
  <c r="AC10" i="12" s="1"/>
  <c r="Z10" i="12" s="1"/>
  <c r="AF10" i="12" s="1"/>
  <c r="X11" i="12"/>
  <c r="W11" i="12"/>
  <c r="R11" i="12"/>
  <c r="S11" i="12" s="1"/>
  <c r="AR10" i="12"/>
  <c r="AP10" i="12"/>
  <c r="AS10" i="12" s="1"/>
  <c r="AO10" i="12"/>
  <c r="AM10" i="12"/>
  <c r="AN10" i="12" s="1"/>
  <c r="AI10" i="12"/>
  <c r="AJ10" i="12" s="1"/>
  <c r="AK10" i="12" s="1"/>
  <c r="AH10" i="12"/>
  <c r="AD10" i="12"/>
  <c r="AC74" i="12" s="1"/>
  <c r="AB10" i="12"/>
  <c r="AA10" i="12"/>
  <c r="S10" i="12"/>
  <c r="R10" i="12"/>
  <c r="R9" i="12"/>
  <c r="AC7" i="12" s="1"/>
  <c r="X8" i="12"/>
  <c r="W8" i="12"/>
  <c r="AD7" i="12" s="1"/>
  <c r="AC72" i="12" s="1"/>
  <c r="R8" i="12"/>
  <c r="S8" i="12" s="1"/>
  <c r="AS7" i="12"/>
  <c r="AR7" i="12"/>
  <c r="AP7" i="12"/>
  <c r="AO7" i="12"/>
  <c r="AM7" i="12"/>
  <c r="AN7" i="12" s="1"/>
  <c r="AI7" i="12"/>
  <c r="AH7" i="12"/>
  <c r="AJ7" i="12" s="1"/>
  <c r="AK7" i="12" s="1"/>
  <c r="AA7" i="12"/>
  <c r="R7" i="12"/>
  <c r="S7" i="12" s="1"/>
  <c r="S6" i="12"/>
  <c r="R6" i="12"/>
  <c r="W5" i="12"/>
  <c r="AD4" i="12" s="1"/>
  <c r="R5" i="12"/>
  <c r="AP4" i="12"/>
  <c r="AP22" i="12" s="1"/>
  <c r="AP23" i="12" s="1"/>
  <c r="AO4" i="12"/>
  <c r="AM4" i="12"/>
  <c r="AI4" i="12"/>
  <c r="AH4" i="12"/>
  <c r="AC4" i="12"/>
  <c r="R4" i="12"/>
  <c r="C3" i="12"/>
  <c r="A3" i="12"/>
  <c r="Z13" i="15" l="1"/>
  <c r="Z14" i="15"/>
  <c r="Z11" i="15"/>
  <c r="Z8" i="15"/>
  <c r="S6" i="15"/>
  <c r="T8" i="15" s="1"/>
  <c r="C6" i="15"/>
  <c r="U6" i="15"/>
  <c r="V13" i="15" s="1"/>
  <c r="K6" i="15"/>
  <c r="L12" i="15" s="1"/>
  <c r="M6" i="15"/>
  <c r="N11" i="15" s="1"/>
  <c r="X9" i="15"/>
  <c r="X12" i="15"/>
  <c r="Z12" i="15"/>
  <c r="Z9" i="15"/>
  <c r="Z10" i="15"/>
  <c r="X7" i="15"/>
  <c r="X13" i="15"/>
  <c r="X10" i="15"/>
  <c r="Z7" i="15"/>
  <c r="X8" i="15"/>
  <c r="X11" i="15"/>
  <c r="E6" i="15"/>
  <c r="O5" i="14"/>
  <c r="C53" i="13"/>
  <c r="D53" i="13" s="1"/>
  <c r="N23" i="13"/>
  <c r="O53" i="13" s="1"/>
  <c r="V53" i="13" s="1"/>
  <c r="D23" i="13"/>
  <c r="F11" i="13"/>
  <c r="H11" i="13" s="1"/>
  <c r="I17" i="13" s="1"/>
  <c r="K23" i="13" s="1"/>
  <c r="G53" i="13"/>
  <c r="D66" i="13"/>
  <c r="M23" i="13" s="1"/>
  <c r="N21" i="13"/>
  <c r="O51" i="13" s="1"/>
  <c r="V51" i="13" s="1"/>
  <c r="D21" i="13"/>
  <c r="C51" i="13"/>
  <c r="D51" i="13" s="1"/>
  <c r="F53" i="13"/>
  <c r="H53" i="13" s="1"/>
  <c r="K53" i="13" s="1"/>
  <c r="S53" i="13" s="1"/>
  <c r="P29" i="13"/>
  <c r="C39" i="13"/>
  <c r="C38" i="13" s="1"/>
  <c r="C47" i="13" s="1"/>
  <c r="C48" i="13" s="1"/>
  <c r="C7" i="13"/>
  <c r="G8" i="13"/>
  <c r="M50" i="13"/>
  <c r="C20" i="13"/>
  <c r="D8" i="13"/>
  <c r="F9" i="13"/>
  <c r="H9" i="13" s="1"/>
  <c r="I15" i="13" s="1"/>
  <c r="M53" i="13"/>
  <c r="U53" i="13" s="1"/>
  <c r="C55" i="13"/>
  <c r="D55" i="13" s="1"/>
  <c r="P55" i="13" s="1"/>
  <c r="D25" i="13"/>
  <c r="O25" i="13" s="1"/>
  <c r="F54" i="13"/>
  <c r="F8" i="13"/>
  <c r="H8" i="13" s="1"/>
  <c r="H50" i="13" s="1"/>
  <c r="B39" i="13"/>
  <c r="B38" i="13" s="1"/>
  <c r="B47" i="13" s="1"/>
  <c r="B48" i="13" s="1"/>
  <c r="B7" i="13"/>
  <c r="B20" i="13"/>
  <c r="M20" i="13"/>
  <c r="B51" i="13"/>
  <c r="M52" i="13"/>
  <c r="U52" i="13" s="1"/>
  <c r="C22" i="13"/>
  <c r="D11" i="13"/>
  <c r="D9" i="13"/>
  <c r="G11" i="13"/>
  <c r="D26" i="13"/>
  <c r="O26" i="13" s="1"/>
  <c r="Q26" i="13" s="1"/>
  <c r="C58" i="13"/>
  <c r="D58" i="13" s="1"/>
  <c r="Q58" i="13" s="1"/>
  <c r="C24" i="13"/>
  <c r="G54" i="13"/>
  <c r="L23" i="13"/>
  <c r="G9" i="13"/>
  <c r="D12" i="13"/>
  <c r="M13" i="12" a="1"/>
  <c r="AB76" i="12"/>
  <c r="M10" i="12" a="1"/>
  <c r="AB74" i="12"/>
  <c r="AO22" i="12"/>
  <c r="AO23" i="12" s="1"/>
  <c r="AR4" i="12"/>
  <c r="AA4" i="12"/>
  <c r="S4" i="12"/>
  <c r="M76" i="12" a="1"/>
  <c r="Z76" i="12"/>
  <c r="AE76" i="12" s="1"/>
  <c r="AS4" i="12"/>
  <c r="AJ4" i="12"/>
  <c r="AK4" i="12" s="1"/>
  <c r="Z16" i="12"/>
  <c r="AF16" i="12" s="1"/>
  <c r="M16" i="12" a="1"/>
  <c r="AN4" i="12"/>
  <c r="R84" i="12"/>
  <c r="S84" i="12" s="1"/>
  <c r="AS16" i="12"/>
  <c r="AJ16" i="12"/>
  <c r="AK16" i="12" s="1"/>
  <c r="R75" i="12"/>
  <c r="S75" i="12" s="1"/>
  <c r="H79" i="12"/>
  <c r="M78" i="12"/>
  <c r="H78" i="12" s="1"/>
  <c r="AB4" i="12"/>
  <c r="AB70" i="12" s="1"/>
  <c r="Z70" i="12" s="1"/>
  <c r="AE70" i="12" s="1"/>
  <c r="S5" i="12"/>
  <c r="AN16" i="12"/>
  <c r="AC70" i="12"/>
  <c r="AA74" i="12"/>
  <c r="S74" i="12"/>
  <c r="H82" i="12"/>
  <c r="F21" i="12"/>
  <c r="E21" i="12"/>
  <c r="AD13" i="12"/>
  <c r="AC76" i="12" s="1"/>
  <c r="S12" i="12"/>
  <c r="X17" i="12"/>
  <c r="S76" i="12"/>
  <c r="X5" i="12"/>
  <c r="S14" i="12"/>
  <c r="S9" i="12"/>
  <c r="S16" i="12"/>
  <c r="AB7" i="12"/>
  <c r="V10" i="15" l="1"/>
  <c r="V11" i="15"/>
  <c r="V14" i="15"/>
  <c r="T11" i="15"/>
  <c r="T7" i="15"/>
  <c r="T10" i="15"/>
  <c r="V7" i="15"/>
  <c r="V15" i="15"/>
  <c r="V6" i="15"/>
  <c r="V9" i="15"/>
  <c r="V8" i="15"/>
  <c r="V12" i="15"/>
  <c r="T6" i="15"/>
  <c r="T15" i="15"/>
  <c r="T14" i="15"/>
  <c r="T13" i="15"/>
  <c r="T12" i="15"/>
  <c r="T9" i="15"/>
  <c r="N12" i="15"/>
  <c r="N9" i="15"/>
  <c r="N13" i="15"/>
  <c r="N14" i="15"/>
  <c r="N15" i="15"/>
  <c r="N6" i="15"/>
  <c r="N10" i="15"/>
  <c r="N7" i="15"/>
  <c r="N8" i="15"/>
  <c r="L14" i="15"/>
  <c r="L8" i="15"/>
  <c r="L9" i="15"/>
  <c r="L11" i="15"/>
  <c r="L15" i="15"/>
  <c r="L10" i="15"/>
  <c r="L7" i="15"/>
  <c r="L6" i="15"/>
  <c r="L13" i="15"/>
  <c r="F15" i="15"/>
  <c r="F14" i="15"/>
  <c r="F13" i="15"/>
  <c r="F12" i="15"/>
  <c r="F9" i="15"/>
  <c r="F6" i="15"/>
  <c r="F7" i="15"/>
  <c r="F10" i="15"/>
  <c r="F8" i="15"/>
  <c r="F11" i="15"/>
  <c r="D15" i="15"/>
  <c r="D14" i="15"/>
  <c r="D13" i="15"/>
  <c r="D12" i="15"/>
  <c r="D6" i="15"/>
  <c r="D9" i="15"/>
  <c r="D8" i="15"/>
  <c r="D7" i="15"/>
  <c r="D10" i="15"/>
  <c r="D11" i="15"/>
  <c r="Z6" i="15"/>
  <c r="X6" i="15"/>
  <c r="L50" i="13"/>
  <c r="D22" i="13"/>
  <c r="C52" i="13"/>
  <c r="D52" i="13" s="1"/>
  <c r="N22" i="13"/>
  <c r="O52" i="13" s="1"/>
  <c r="V52" i="13" s="1"/>
  <c r="L53" i="13"/>
  <c r="T53" i="13" s="1"/>
  <c r="H89" i="13" s="1" a="1"/>
  <c r="D20" i="13"/>
  <c r="C19" i="13"/>
  <c r="C50" i="13"/>
  <c r="N20" i="13"/>
  <c r="B19" i="13"/>
  <c r="B29" i="13" s="1"/>
  <c r="B50" i="13"/>
  <c r="B49" i="13" s="1"/>
  <c r="B59" i="13" s="1"/>
  <c r="W55" i="13"/>
  <c r="W59" i="13" s="1"/>
  <c r="H96" i="13" s="1"/>
  <c r="P59" i="13"/>
  <c r="K21" i="13"/>
  <c r="L21" i="13"/>
  <c r="H51" i="13"/>
  <c r="M59" i="13"/>
  <c r="U50" i="13"/>
  <c r="U59" i="13" s="1"/>
  <c r="D24" i="13"/>
  <c r="C54" i="13"/>
  <c r="D54" i="13" s="1"/>
  <c r="N24" i="13"/>
  <c r="O54" i="13" s="1"/>
  <c r="V54" i="13" s="1"/>
  <c r="F12" i="13"/>
  <c r="H12" i="13" s="1"/>
  <c r="I18" i="13" s="1"/>
  <c r="F10" i="13"/>
  <c r="H10" i="13" s="1"/>
  <c r="D7" i="13"/>
  <c r="E7" i="13" s="1"/>
  <c r="C4" i="13"/>
  <c r="G12" i="13"/>
  <c r="G10" i="13"/>
  <c r="I14" i="13"/>
  <c r="Q25" i="13"/>
  <c r="O29" i="13"/>
  <c r="M29" i="13"/>
  <c r="X58" i="13"/>
  <c r="X59" i="13" s="1"/>
  <c r="H97" i="13" s="1"/>
  <c r="Q59" i="13"/>
  <c r="M74" i="12" a="1"/>
  <c r="Z74" i="12"/>
  <c r="AE74" i="12" s="1"/>
  <c r="M70" i="12" a="1"/>
  <c r="F82" i="12"/>
  <c r="E82" i="12"/>
  <c r="K82" i="12"/>
  <c r="J82" i="12"/>
  <c r="M19" i="12"/>
  <c r="H19" i="12" s="1"/>
  <c r="F79" i="12"/>
  <c r="E79" i="12"/>
  <c r="K79" i="12"/>
  <c r="J79" i="12"/>
  <c r="AN13" i="12"/>
  <c r="H15" i="12"/>
  <c r="M13" i="12"/>
  <c r="H13" i="12" s="1"/>
  <c r="H14" i="12"/>
  <c r="K78" i="12"/>
  <c r="J78" i="12"/>
  <c r="F78" i="12"/>
  <c r="E78" i="12"/>
  <c r="H77" i="12"/>
  <c r="M76" i="12"/>
  <c r="H76" i="12" s="1"/>
  <c r="Z4" i="12"/>
  <c r="AF4" i="12" s="1"/>
  <c r="M4" i="12" a="1"/>
  <c r="Z7" i="12"/>
  <c r="AF7" i="12" s="1"/>
  <c r="AB72" i="12"/>
  <c r="M7" i="12" a="1"/>
  <c r="M80" i="12"/>
  <c r="H80" i="12" s="1"/>
  <c r="M10" i="12"/>
  <c r="H10" i="12" s="1"/>
  <c r="H11" i="12"/>
  <c r="H12" i="12"/>
  <c r="H17" i="12"/>
  <c r="H18" i="12"/>
  <c r="M16" i="12"/>
  <c r="H16" i="12" s="1"/>
  <c r="Z13" i="12"/>
  <c r="AF13" i="12" s="1"/>
  <c r="F91" i="13" l="1"/>
  <c r="E91" i="13"/>
  <c r="F90" i="13"/>
  <c r="E90" i="13"/>
  <c r="H89" i="13"/>
  <c r="C79" i="13"/>
  <c r="C133" i="13"/>
  <c r="B60" i="13"/>
  <c r="K24" i="13"/>
  <c r="L24" i="13"/>
  <c r="C49" i="13"/>
  <c r="D50" i="13"/>
  <c r="C29" i="13"/>
  <c r="D29" i="13" s="1"/>
  <c r="D19" i="13"/>
  <c r="I16" i="13"/>
  <c r="H52" i="13"/>
  <c r="H138" i="13"/>
  <c r="F96" i="13"/>
  <c r="E96" i="13"/>
  <c r="O50" i="13"/>
  <c r="N29" i="13"/>
  <c r="E97" i="13"/>
  <c r="F97" i="13"/>
  <c r="K51" i="13"/>
  <c r="S51" i="13" s="1"/>
  <c r="L51" i="13"/>
  <c r="T51" i="13" s="1"/>
  <c r="H7" i="13"/>
  <c r="K20" i="13"/>
  <c r="I13" i="13"/>
  <c r="L20" i="13"/>
  <c r="T50" i="13"/>
  <c r="H54" i="13"/>
  <c r="K50" i="13"/>
  <c r="J80" i="12"/>
  <c r="F80" i="12"/>
  <c r="E80" i="12"/>
  <c r="K80" i="12"/>
  <c r="F15" i="12"/>
  <c r="E15" i="12"/>
  <c r="H8" i="12"/>
  <c r="H9" i="12"/>
  <c r="M7" i="12"/>
  <c r="H7" i="12" s="1"/>
  <c r="Z72" i="12"/>
  <c r="AE72" i="12" s="1"/>
  <c r="M72" i="12" a="1"/>
  <c r="H5" i="12"/>
  <c r="H6" i="12"/>
  <c r="M4" i="12"/>
  <c r="H4" i="12" s="1"/>
  <c r="K76" i="12"/>
  <c r="J76" i="12"/>
  <c r="E76" i="12"/>
  <c r="F76" i="12"/>
  <c r="F19" i="12"/>
  <c r="E19" i="12"/>
  <c r="J77" i="12"/>
  <c r="F77" i="12"/>
  <c r="E77" i="12"/>
  <c r="K77" i="12"/>
  <c r="F16" i="12"/>
  <c r="E16" i="12"/>
  <c r="F18" i="12"/>
  <c r="E18" i="12"/>
  <c r="H49" i="12"/>
  <c r="H50" i="12" s="1"/>
  <c r="F17" i="12"/>
  <c r="E17" i="12"/>
  <c r="F12" i="12"/>
  <c r="E12" i="12"/>
  <c r="M70" i="12"/>
  <c r="H70" i="12" s="1"/>
  <c r="H71" i="12"/>
  <c r="F11" i="12"/>
  <c r="E11" i="12"/>
  <c r="F14" i="12"/>
  <c r="E14" i="12"/>
  <c r="F10" i="12"/>
  <c r="E10" i="12"/>
  <c r="F13" i="12"/>
  <c r="E13" i="12"/>
  <c r="M74" i="12"/>
  <c r="H74" i="12" s="1"/>
  <c r="H75" i="12"/>
  <c r="H83" i="13" l="1" a="1"/>
  <c r="C59" i="13"/>
  <c r="D49" i="13"/>
  <c r="O59" i="13"/>
  <c r="V50" i="13"/>
  <c r="V59" i="13" s="1"/>
  <c r="H95" i="13" s="1"/>
  <c r="F89" i="13"/>
  <c r="E89" i="13"/>
  <c r="K54" i="13"/>
  <c r="S54" i="13" s="1"/>
  <c r="L54" i="13"/>
  <c r="T54" i="13" s="1"/>
  <c r="T59" i="13"/>
  <c r="K52" i="13"/>
  <c r="S52" i="13" s="1"/>
  <c r="L52" i="13"/>
  <c r="T52" i="13" s="1"/>
  <c r="K22" i="13"/>
  <c r="K29" i="13" s="1"/>
  <c r="L22" i="13"/>
  <c r="L29" i="13" s="1"/>
  <c r="S50" i="13"/>
  <c r="F138" i="13"/>
  <c r="E138" i="13"/>
  <c r="H49" i="13"/>
  <c r="M72" i="12"/>
  <c r="H72" i="12" s="1"/>
  <c r="H73" i="12"/>
  <c r="F7" i="12"/>
  <c r="E7" i="12"/>
  <c r="K71" i="12"/>
  <c r="J71" i="12"/>
  <c r="F71" i="12"/>
  <c r="E71" i="12"/>
  <c r="K75" i="12"/>
  <c r="J75" i="12"/>
  <c r="F75" i="12"/>
  <c r="E75" i="12"/>
  <c r="H40" i="12"/>
  <c r="H41" i="12" s="1"/>
  <c r="H20" i="12"/>
  <c r="F4" i="12"/>
  <c r="D4" i="12" s="1"/>
  <c r="E4" i="12"/>
  <c r="I6" i="12"/>
  <c r="F6" i="12"/>
  <c r="E6" i="12"/>
  <c r="I5" i="12"/>
  <c r="F5" i="12"/>
  <c r="E5" i="12"/>
  <c r="H46" i="12"/>
  <c r="H47" i="12" s="1"/>
  <c r="H43" i="12"/>
  <c r="H44" i="12" s="1"/>
  <c r="H39" i="12"/>
  <c r="F9" i="12"/>
  <c r="E9" i="12"/>
  <c r="F8" i="12"/>
  <c r="E8" i="12"/>
  <c r="I76" i="12"/>
  <c r="I73" i="12"/>
  <c r="F70" i="12"/>
  <c r="D70" i="12" s="1"/>
  <c r="K70" i="12"/>
  <c r="J70" i="12"/>
  <c r="H81" i="12"/>
  <c r="E70" i="12"/>
  <c r="I72" i="12"/>
  <c r="I71" i="12"/>
  <c r="I78" i="12"/>
  <c r="I81" i="12"/>
  <c r="I82" i="12"/>
  <c r="I74" i="12"/>
  <c r="I70" i="12"/>
  <c r="I75" i="12"/>
  <c r="I80" i="12"/>
  <c r="I79" i="12"/>
  <c r="K74" i="12"/>
  <c r="J74" i="12"/>
  <c r="F74" i="12"/>
  <c r="E74" i="12"/>
  <c r="Q29" i="13" l="1"/>
  <c r="Q30" i="13" s="1"/>
  <c r="H92" i="13" a="1"/>
  <c r="F85" i="13"/>
  <c r="E85" i="13"/>
  <c r="F84" i="13"/>
  <c r="E84" i="13"/>
  <c r="H83" i="13"/>
  <c r="H137" i="13"/>
  <c r="E95" i="13"/>
  <c r="F95" i="13"/>
  <c r="K59" i="13"/>
  <c r="H80" i="13" a="1"/>
  <c r="S59" i="13"/>
  <c r="Y59" i="13" s="1"/>
  <c r="Y60" i="13" s="1"/>
  <c r="C60" i="13"/>
  <c r="D59" i="13"/>
  <c r="L59" i="13"/>
  <c r="H86" i="13" a="1"/>
  <c r="F20" i="12"/>
  <c r="E20" i="12"/>
  <c r="E81" i="12"/>
  <c r="J81" i="12"/>
  <c r="K81" i="12"/>
  <c r="F81" i="12"/>
  <c r="D71" i="12"/>
  <c r="D72" i="12" s="1"/>
  <c r="K73" i="12"/>
  <c r="J73" i="12"/>
  <c r="E73" i="12"/>
  <c r="F73" i="12"/>
  <c r="I77" i="12"/>
  <c r="D5" i="12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G22" i="12" s="1"/>
  <c r="K72" i="12"/>
  <c r="J72" i="12"/>
  <c r="F72" i="12"/>
  <c r="E72" i="12"/>
  <c r="F88" i="13" l="1"/>
  <c r="E88" i="13"/>
  <c r="E87" i="13"/>
  <c r="H86" i="13"/>
  <c r="F87" i="13"/>
  <c r="F81" i="13"/>
  <c r="E81" i="13"/>
  <c r="H80" i="13"/>
  <c r="H136" i="13"/>
  <c r="E82" i="13"/>
  <c r="F82" i="13"/>
  <c r="H135" i="13"/>
  <c r="F137" i="13"/>
  <c r="E137" i="13"/>
  <c r="F83" i="13"/>
  <c r="E83" i="13"/>
  <c r="H92" i="13"/>
  <c r="F94" i="13"/>
  <c r="E94" i="13"/>
  <c r="F93" i="13"/>
  <c r="E93" i="13"/>
  <c r="D73" i="12"/>
  <c r="D74" i="12" s="1"/>
  <c r="D75" i="12" s="1"/>
  <c r="D76" i="12" s="1"/>
  <c r="D77" i="12" s="1"/>
  <c r="D78" i="12" s="1"/>
  <c r="D79" i="12" s="1"/>
  <c r="D80" i="12" s="1"/>
  <c r="D81" i="12" s="1"/>
  <c r="D82" i="12" s="1"/>
  <c r="G83" i="12" s="1"/>
  <c r="G23" i="12"/>
  <c r="F23" i="12"/>
  <c r="F24" i="12" s="1"/>
  <c r="G29" i="12"/>
  <c r="AI22" i="12"/>
  <c r="E136" i="13" l="1"/>
  <c r="F136" i="13"/>
  <c r="E135" i="13"/>
  <c r="F135" i="13"/>
  <c r="H134" i="13"/>
  <c r="F80" i="13"/>
  <c r="D80" i="13" s="1"/>
  <c r="E80" i="13"/>
  <c r="F86" i="13"/>
  <c r="E86" i="13"/>
  <c r="F92" i="13"/>
  <c r="E92" i="13"/>
  <c r="AI20" i="12"/>
  <c r="AJ20" i="12" s="1"/>
  <c r="AK20" i="12" s="1"/>
  <c r="AJ22" i="12"/>
  <c r="AK22" i="12" s="1"/>
  <c r="G32" i="12"/>
  <c r="H29" i="12"/>
  <c r="G84" i="12"/>
  <c r="F84" i="12"/>
  <c r="F85" i="12" s="1"/>
  <c r="F134" i="13" l="1"/>
  <c r="D134" i="13" s="1"/>
  <c r="E134" i="13"/>
  <c r="D81" i="13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G98" i="13" s="1"/>
  <c r="G99" i="13" s="1"/>
  <c r="H32" i="12"/>
  <c r="G34" i="12"/>
  <c r="D135" i="13" l="1"/>
  <c r="D136" i="13" s="1"/>
  <c r="D137" i="13" s="1"/>
  <c r="D138" i="13" s="1"/>
  <c r="G139" i="13" s="1"/>
  <c r="G140" i="13" s="1"/>
  <c r="A24" i="11" l="1"/>
  <c r="G22" i="11"/>
  <c r="J22" i="11" s="1"/>
  <c r="E22" i="11"/>
  <c r="G18" i="11"/>
  <c r="J18" i="11" s="1"/>
  <c r="E18" i="11"/>
  <c r="A15" i="11"/>
  <c r="D10" i="11"/>
  <c r="E10" i="11" s="1"/>
  <c r="D9" i="11"/>
  <c r="E9" i="11" s="1"/>
  <c r="D8" i="11"/>
  <c r="G21" i="11" s="1"/>
  <c r="D7" i="11"/>
  <c r="E7" i="11" s="1"/>
  <c r="D6" i="11"/>
  <c r="G19" i="11" s="1"/>
  <c r="E5" i="11"/>
  <c r="D5" i="11"/>
  <c r="D4" i="11"/>
  <c r="E4" i="11" s="1"/>
  <c r="G23" i="11" l="1"/>
  <c r="G17" i="11"/>
  <c r="I19" i="11"/>
  <c r="D19" i="11"/>
  <c r="I21" i="11"/>
  <c r="D21" i="11"/>
  <c r="G20" i="11"/>
  <c r="E6" i="11"/>
  <c r="E8" i="11"/>
  <c r="I23" i="11" l="1"/>
  <c r="D23" i="11"/>
  <c r="I17" i="11"/>
  <c r="D17" i="11"/>
  <c r="I20" i="11"/>
  <c r="D20" i="11"/>
  <c r="A9" i="8"/>
  <c r="D9" i="8"/>
  <c r="A10" i="8"/>
  <c r="A8" i="8"/>
  <c r="D8" i="8"/>
  <c r="G85" i="3" l="1"/>
  <c r="G31" i="3" l="1"/>
  <c r="C31" i="3" l="1"/>
  <c r="A7" i="8" l="1"/>
  <c r="G20" i="1" l="1"/>
  <c r="Q38" i="1" l="1"/>
  <c r="G27" i="3"/>
  <c r="C28" i="2"/>
  <c r="Q26" i="1"/>
  <c r="A98" i="4"/>
  <c r="B139" i="4" s="1"/>
  <c r="A79" i="4"/>
  <c r="B133" i="4" s="1"/>
  <c r="A22" i="3"/>
  <c r="A83" i="3" s="1"/>
  <c r="A3" i="3"/>
  <c r="A69" i="3" s="1"/>
  <c r="A68" i="2"/>
  <c r="A49" i="2"/>
  <c r="C18" i="2"/>
  <c r="B18" i="2"/>
  <c r="C17" i="2"/>
  <c r="B17" i="2"/>
  <c r="C16" i="2"/>
  <c r="B16" i="2"/>
  <c r="C15" i="2"/>
  <c r="B15" i="2"/>
  <c r="C14" i="2"/>
  <c r="B14" i="2"/>
  <c r="D39" i="2"/>
  <c r="E39" i="2" s="1"/>
  <c r="C28" i="4" l="1"/>
  <c r="B109" i="2"/>
  <c r="B103" i="2"/>
  <c r="H83" i="3" l="1"/>
  <c r="C58" i="4"/>
  <c r="P85" i="3"/>
  <c r="P47" i="1"/>
  <c r="B12" i="2" s="1"/>
  <c r="Q44" i="1"/>
  <c r="P43" i="1"/>
  <c r="B8" i="2" s="1"/>
  <c r="Q43" i="1"/>
  <c r="Q47" i="1"/>
  <c r="P83" i="3"/>
  <c r="Q84" i="3"/>
  <c r="Q45" i="1"/>
  <c r="Q86" i="3"/>
  <c r="P87" i="3"/>
  <c r="P86" i="3"/>
  <c r="Q83" i="3"/>
  <c r="P46" i="1"/>
  <c r="B11" i="2" s="1"/>
  <c r="P84" i="3"/>
  <c r="P45" i="1"/>
  <c r="B10" i="2" s="1"/>
  <c r="Q87" i="3"/>
  <c r="Q85" i="3"/>
  <c r="Q46" i="1"/>
  <c r="P44" i="1"/>
  <c r="B9" i="2" s="1"/>
  <c r="A6" i="8"/>
  <c r="A5" i="8"/>
  <c r="A4" i="8"/>
  <c r="C10" i="2" l="1"/>
  <c r="T45" i="1"/>
  <c r="C12" i="2"/>
  <c r="T47" i="1"/>
  <c r="C8" i="2"/>
  <c r="T43" i="1"/>
  <c r="C9" i="2"/>
  <c r="T44" i="1"/>
  <c r="C11" i="2"/>
  <c r="T46" i="1"/>
  <c r="R85" i="3"/>
  <c r="S85" i="3" s="1"/>
  <c r="R43" i="1"/>
  <c r="S43" i="1" s="1"/>
  <c r="R47" i="1"/>
  <c r="S47" i="1" s="1"/>
  <c r="P48" i="1"/>
  <c r="R84" i="3"/>
  <c r="S84" i="3" s="1"/>
  <c r="R45" i="1"/>
  <c r="S45" i="1" s="1"/>
  <c r="R46" i="1"/>
  <c r="S46" i="1" s="1"/>
  <c r="R87" i="3"/>
  <c r="S87" i="3" s="1"/>
  <c r="R83" i="3"/>
  <c r="S83" i="3" s="1"/>
  <c r="R86" i="3"/>
  <c r="S86" i="3" s="1"/>
  <c r="Q48" i="1"/>
  <c r="R44" i="1"/>
  <c r="S44" i="1" s="1"/>
  <c r="T48" i="1" l="1"/>
  <c r="R48" i="1"/>
  <c r="S48" i="1" s="1"/>
  <c r="AI24" i="3"/>
  <c r="C69" i="4" l="1"/>
  <c r="B69" i="4"/>
  <c r="C74" i="4"/>
  <c r="B74" i="4"/>
  <c r="C73" i="4"/>
  <c r="B73" i="4"/>
  <c r="C72" i="4"/>
  <c r="B72" i="4"/>
  <c r="C71" i="4"/>
  <c r="B71" i="4"/>
  <c r="C70" i="4"/>
  <c r="B70" i="4"/>
  <c r="C67" i="4"/>
  <c r="B67" i="4"/>
  <c r="F54" i="4" s="1"/>
  <c r="C66" i="4"/>
  <c r="B66" i="4"/>
  <c r="F53" i="4" s="1"/>
  <c r="C65" i="4"/>
  <c r="B65" i="4"/>
  <c r="C64" i="4"/>
  <c r="B64" i="4"/>
  <c r="C63" i="4"/>
  <c r="B63" i="4"/>
  <c r="B8" i="4"/>
  <c r="C8" i="4"/>
  <c r="B9" i="4"/>
  <c r="B40" i="4" s="1"/>
  <c r="C9" i="4"/>
  <c r="B10" i="4"/>
  <c r="B41" i="4" s="1"/>
  <c r="C10" i="4"/>
  <c r="B11" i="4"/>
  <c r="B42" i="4" s="1"/>
  <c r="C11" i="4"/>
  <c r="C42" i="4" s="1"/>
  <c r="B12" i="4"/>
  <c r="B43" i="4" s="1"/>
  <c r="C12" i="4"/>
  <c r="C43" i="4" s="1"/>
  <c r="D13" i="4"/>
  <c r="B14" i="4"/>
  <c r="C14" i="4"/>
  <c r="B15" i="4"/>
  <c r="C15" i="4"/>
  <c r="B16" i="4"/>
  <c r="C16" i="4"/>
  <c r="B17" i="4"/>
  <c r="C17" i="4"/>
  <c r="B18" i="4"/>
  <c r="C18" i="4"/>
  <c r="B25" i="4"/>
  <c r="B55" i="4" s="1"/>
  <c r="C25" i="4"/>
  <c r="C55" i="4" s="1"/>
  <c r="B26" i="4"/>
  <c r="B56" i="4" s="1"/>
  <c r="C26" i="4"/>
  <c r="C56" i="4" s="1"/>
  <c r="B27" i="4"/>
  <c r="B57" i="4" s="1"/>
  <c r="C27" i="4"/>
  <c r="D32" i="4"/>
  <c r="D33" i="4"/>
  <c r="D34" i="4"/>
  <c r="D35" i="4"/>
  <c r="D36" i="4"/>
  <c r="H53" i="3"/>
  <c r="B7" i="2"/>
  <c r="F8" i="2" s="1"/>
  <c r="C7" i="2"/>
  <c r="G8" i="2" s="1"/>
  <c r="V8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B20" i="2"/>
  <c r="C20" i="2"/>
  <c r="N8" i="2" s="1"/>
  <c r="B21" i="2"/>
  <c r="C21" i="2"/>
  <c r="N9" i="2" s="1"/>
  <c r="B22" i="2"/>
  <c r="C22" i="2"/>
  <c r="N10" i="2" s="1"/>
  <c r="B23" i="2"/>
  <c r="C23" i="2"/>
  <c r="N11" i="2" s="1"/>
  <c r="B24" i="2"/>
  <c r="C24" i="2"/>
  <c r="N12" i="2" s="1"/>
  <c r="D25" i="2"/>
  <c r="O25" i="2" s="1"/>
  <c r="Q25" i="2" s="1"/>
  <c r="D26" i="2"/>
  <c r="O26" i="2" s="1"/>
  <c r="Q26" i="2" s="1"/>
  <c r="D27" i="2"/>
  <c r="O27" i="2" s="1"/>
  <c r="Q27" i="2" s="1"/>
  <c r="D33" i="2"/>
  <c r="D34" i="2"/>
  <c r="D35" i="2"/>
  <c r="D36" i="2"/>
  <c r="D37" i="2"/>
  <c r="G52" i="4" l="1"/>
  <c r="N53" i="4"/>
  <c r="E23" i="2"/>
  <c r="F23" i="2" s="1"/>
  <c r="E20" i="2"/>
  <c r="F20" i="2" s="1"/>
  <c r="E24" i="2"/>
  <c r="F24" i="2" s="1"/>
  <c r="E21" i="2"/>
  <c r="F21" i="2" s="1"/>
  <c r="E22" i="2"/>
  <c r="F22" i="2" s="1"/>
  <c r="D67" i="4"/>
  <c r="M24" i="4" s="1"/>
  <c r="O29" i="2"/>
  <c r="H66" i="2" s="1"/>
  <c r="D56" i="4"/>
  <c r="F52" i="4"/>
  <c r="D27" i="4"/>
  <c r="O27" i="4" s="1"/>
  <c r="Q27" i="4" s="1"/>
  <c r="G50" i="4"/>
  <c r="F50" i="4"/>
  <c r="F51" i="4"/>
  <c r="D65" i="4"/>
  <c r="M22" i="4" s="1"/>
  <c r="D64" i="4"/>
  <c r="M21" i="4" s="1"/>
  <c r="M9" i="2"/>
  <c r="E34" i="2"/>
  <c r="D66" i="4"/>
  <c r="M53" i="4" s="1"/>
  <c r="D63" i="4"/>
  <c r="M20" i="4" s="1"/>
  <c r="M12" i="2"/>
  <c r="E37" i="2"/>
  <c r="M8" i="2"/>
  <c r="E33" i="2"/>
  <c r="M11" i="2"/>
  <c r="E36" i="2"/>
  <c r="M10" i="2"/>
  <c r="E35" i="2"/>
  <c r="D10" i="4"/>
  <c r="N52" i="4"/>
  <c r="D11" i="4"/>
  <c r="C41" i="4"/>
  <c r="C22" i="4"/>
  <c r="B23" i="4"/>
  <c r="B53" i="4" s="1"/>
  <c r="B22" i="4"/>
  <c r="B52" i="4" s="1"/>
  <c r="B19" i="2"/>
  <c r="G51" i="4"/>
  <c r="G54" i="4"/>
  <c r="G53" i="4"/>
  <c r="F12" i="2"/>
  <c r="U12" i="2" s="1"/>
  <c r="G12" i="2"/>
  <c r="V12" i="2" s="1"/>
  <c r="N51" i="4"/>
  <c r="G11" i="2"/>
  <c r="V11" i="2" s="1"/>
  <c r="G10" i="2"/>
  <c r="V10" i="2" s="1"/>
  <c r="B21" i="4"/>
  <c r="B51" i="4" s="1"/>
  <c r="C24" i="4"/>
  <c r="D24" i="4" s="1"/>
  <c r="N54" i="4"/>
  <c r="C23" i="4"/>
  <c r="D26" i="4"/>
  <c r="O26" i="4" s="1"/>
  <c r="Q26" i="4" s="1"/>
  <c r="C57" i="4"/>
  <c r="D57" i="4" s="1"/>
  <c r="W75" i="3"/>
  <c r="X75" i="3" s="1"/>
  <c r="W13" i="1"/>
  <c r="X13" i="1" s="1"/>
  <c r="R8" i="3"/>
  <c r="Q73" i="3"/>
  <c r="Q23" i="1"/>
  <c r="AF10" i="1"/>
  <c r="Q34" i="1"/>
  <c r="AH10" i="1"/>
  <c r="R10" i="1"/>
  <c r="W79" i="3"/>
  <c r="X79" i="3" s="1"/>
  <c r="P73" i="3"/>
  <c r="AE10" i="1"/>
  <c r="AO13" i="3" s="1"/>
  <c r="P23" i="1"/>
  <c r="P34" i="1"/>
  <c r="Q35" i="1"/>
  <c r="AF12" i="1"/>
  <c r="AH12" i="1"/>
  <c r="R12" i="1"/>
  <c r="Q24" i="1"/>
  <c r="R76" i="3"/>
  <c r="W17" i="1"/>
  <c r="X17" i="1" s="1"/>
  <c r="AH13" i="3"/>
  <c r="R7" i="1"/>
  <c r="W5" i="1"/>
  <c r="W77" i="3"/>
  <c r="X77" i="3" s="1"/>
  <c r="W11" i="3"/>
  <c r="X11" i="3" s="1"/>
  <c r="W5" i="3"/>
  <c r="Q79" i="3"/>
  <c r="R17" i="3"/>
  <c r="P77" i="3"/>
  <c r="R11" i="1"/>
  <c r="W9" i="1"/>
  <c r="X9" i="1" s="1"/>
  <c r="Q21" i="1"/>
  <c r="Q32" i="1"/>
  <c r="AF6" i="1"/>
  <c r="R6" i="1"/>
  <c r="AH6" i="1"/>
  <c r="P32" i="1"/>
  <c r="P21" i="1"/>
  <c r="AE6" i="1"/>
  <c r="AO7" i="3" s="1"/>
  <c r="R78" i="3"/>
  <c r="W14" i="3"/>
  <c r="X14" i="3" s="1"/>
  <c r="R12" i="3"/>
  <c r="J17" i="1"/>
  <c r="I17" i="1"/>
  <c r="W22" i="3"/>
  <c r="X22" i="3" s="1"/>
  <c r="R16" i="3"/>
  <c r="AI16" i="3"/>
  <c r="AM16" i="3"/>
  <c r="AM7" i="3"/>
  <c r="R7" i="3"/>
  <c r="AI7" i="3"/>
  <c r="R70" i="3"/>
  <c r="P71" i="3"/>
  <c r="P35" i="1"/>
  <c r="P24" i="1"/>
  <c r="AE12" i="1"/>
  <c r="AO16" i="3" s="1"/>
  <c r="W7" i="1"/>
  <c r="X7" i="1" s="1"/>
  <c r="R5" i="1"/>
  <c r="W71" i="3"/>
  <c r="X71" i="3" s="1"/>
  <c r="AH16" i="3"/>
  <c r="P20" i="1"/>
  <c r="AE4" i="1"/>
  <c r="AO4" i="3" s="1"/>
  <c r="P31" i="1"/>
  <c r="R74" i="3"/>
  <c r="R18" i="3"/>
  <c r="R14" i="3"/>
  <c r="Q77" i="3"/>
  <c r="R11" i="3"/>
  <c r="Q75" i="3"/>
  <c r="R6" i="3"/>
  <c r="R9" i="1"/>
  <c r="W83" i="3"/>
  <c r="X83" i="3" s="1"/>
  <c r="R72" i="3"/>
  <c r="W17" i="3"/>
  <c r="X17" i="3" s="1"/>
  <c r="R15" i="3"/>
  <c r="W8" i="3"/>
  <c r="X8" i="3" s="1"/>
  <c r="W11" i="1"/>
  <c r="X11" i="1" s="1"/>
  <c r="R8" i="1"/>
  <c r="AF8" i="1"/>
  <c r="AH8" i="1"/>
  <c r="Q22" i="1"/>
  <c r="Q33" i="1"/>
  <c r="C3" i="1"/>
  <c r="P75" i="3"/>
  <c r="P33" i="1"/>
  <c r="AE8" i="1"/>
  <c r="AO10" i="3" s="1"/>
  <c r="P22" i="1"/>
  <c r="Q71" i="3"/>
  <c r="R5" i="3"/>
  <c r="P79" i="3"/>
  <c r="R9" i="3"/>
  <c r="R13" i="1"/>
  <c r="AM10" i="3"/>
  <c r="R10" i="3"/>
  <c r="AI10" i="3"/>
  <c r="AH7" i="3"/>
  <c r="AI4" i="3"/>
  <c r="AM4" i="3"/>
  <c r="R4" i="3"/>
  <c r="Q31" i="1"/>
  <c r="R4" i="1"/>
  <c r="Q20" i="1"/>
  <c r="AF4" i="1"/>
  <c r="AH4" i="1"/>
  <c r="W73" i="3"/>
  <c r="X73" i="3" s="1"/>
  <c r="R13" i="3"/>
  <c r="AM13" i="3"/>
  <c r="AI13" i="3"/>
  <c r="AH10" i="3"/>
  <c r="AH4" i="3"/>
  <c r="H8" i="2"/>
  <c r="U8" i="2"/>
  <c r="F9" i="2"/>
  <c r="F10" i="2"/>
  <c r="F11" i="2"/>
  <c r="D8" i="4"/>
  <c r="C20" i="4"/>
  <c r="N50" i="4"/>
  <c r="C7" i="4"/>
  <c r="C39" i="4"/>
  <c r="B20" i="4"/>
  <c r="B39" i="4"/>
  <c r="B38" i="4" s="1"/>
  <c r="B47" i="4" s="1"/>
  <c r="B7" i="4"/>
  <c r="F8" i="4" s="1"/>
  <c r="D12" i="4"/>
  <c r="B24" i="4"/>
  <c r="B54" i="4" s="1"/>
  <c r="D7" i="2"/>
  <c r="E7" i="2" s="1"/>
  <c r="G9" i="2"/>
  <c r="V9" i="2" s="1"/>
  <c r="D25" i="4"/>
  <c r="C4" i="2"/>
  <c r="C19" i="2"/>
  <c r="C29" i="2" s="1"/>
  <c r="G33" i="3" s="1"/>
  <c r="C40" i="4"/>
  <c r="D9" i="4"/>
  <c r="C21" i="4"/>
  <c r="D55" i="4"/>
  <c r="P55" i="4" s="1"/>
  <c r="N21" i="4" l="1"/>
  <c r="D21" i="4"/>
  <c r="N20" i="4"/>
  <c r="D20" i="4"/>
  <c r="D22" i="4"/>
  <c r="D23" i="4"/>
  <c r="B27" i="11"/>
  <c r="C20" i="1"/>
  <c r="U53" i="4"/>
  <c r="N22" i="4"/>
  <c r="O52" i="4" s="1"/>
  <c r="V52" i="4" s="1"/>
  <c r="N23" i="4"/>
  <c r="O53" i="4" s="1"/>
  <c r="V53" i="4" s="1"/>
  <c r="C54" i="4"/>
  <c r="N24" i="4"/>
  <c r="O54" i="4" s="1"/>
  <c r="V54" i="4" s="1"/>
  <c r="X5" i="3"/>
  <c r="AD4" i="3"/>
  <c r="N29" i="2"/>
  <c r="H65" i="2" s="1"/>
  <c r="E65" i="2" s="1"/>
  <c r="N59" i="4"/>
  <c r="W55" i="4"/>
  <c r="P57" i="4"/>
  <c r="W57" i="4" s="1"/>
  <c r="M54" i="4"/>
  <c r="U54" i="4" s="1"/>
  <c r="P56" i="4"/>
  <c r="W56" i="4" s="1"/>
  <c r="M51" i="4"/>
  <c r="U51" i="4" s="1"/>
  <c r="M29" i="2"/>
  <c r="M52" i="4"/>
  <c r="U52" i="4" s="1"/>
  <c r="M23" i="4"/>
  <c r="M29" i="4" s="1"/>
  <c r="M50" i="4"/>
  <c r="B19" i="4"/>
  <c r="AC12" i="1"/>
  <c r="AI12" i="1" s="1"/>
  <c r="H12" i="2"/>
  <c r="I18" i="2" s="1"/>
  <c r="L12" i="2" s="1"/>
  <c r="B50" i="4"/>
  <c r="B49" i="4" s="1"/>
  <c r="C52" i="4"/>
  <c r="D52" i="4" s="1"/>
  <c r="D54" i="4"/>
  <c r="F9" i="4"/>
  <c r="H9" i="4" s="1"/>
  <c r="O25" i="4"/>
  <c r="C53" i="4"/>
  <c r="D53" i="4" s="1"/>
  <c r="H8" i="4"/>
  <c r="H50" i="4" s="1"/>
  <c r="X5" i="1"/>
  <c r="AC4" i="1"/>
  <c r="R71" i="3"/>
  <c r="S71" i="3" s="1"/>
  <c r="AR4" i="3"/>
  <c r="AD16" i="3"/>
  <c r="AC78" i="3" s="1"/>
  <c r="R35" i="1"/>
  <c r="S35" i="1" s="1"/>
  <c r="R33" i="1"/>
  <c r="S33" i="1" s="1"/>
  <c r="R22" i="1"/>
  <c r="S22" i="1" s="1"/>
  <c r="R77" i="3"/>
  <c r="S77" i="3" s="1"/>
  <c r="AD13" i="3"/>
  <c r="AC76" i="3" s="1"/>
  <c r="AD7" i="3"/>
  <c r="AC72" i="3" s="1"/>
  <c r="R24" i="1"/>
  <c r="S24" i="1" s="1"/>
  <c r="AB12" i="1"/>
  <c r="M13" i="1" s="1"/>
  <c r="H13" i="1" s="1"/>
  <c r="S13" i="1"/>
  <c r="AB10" i="3"/>
  <c r="S11" i="3"/>
  <c r="I14" i="2"/>
  <c r="R31" i="1"/>
  <c r="S31" i="1" s="1"/>
  <c r="S9" i="3"/>
  <c r="AC7" i="3"/>
  <c r="S7" i="3"/>
  <c r="AA7" i="3"/>
  <c r="D19" i="2"/>
  <c r="C38" i="4"/>
  <c r="C47" i="4" s="1"/>
  <c r="AB6" i="1"/>
  <c r="M7" i="1" s="1"/>
  <c r="H7" i="1" s="1"/>
  <c r="S7" i="1"/>
  <c r="C4" i="4"/>
  <c r="G12" i="4"/>
  <c r="D7" i="4"/>
  <c r="E7" i="4" s="1"/>
  <c r="G11" i="4"/>
  <c r="G10" i="4"/>
  <c r="S4" i="3"/>
  <c r="AA4" i="3"/>
  <c r="AJ16" i="3"/>
  <c r="AK16" i="3" s="1"/>
  <c r="AA6" i="1"/>
  <c r="S6" i="1"/>
  <c r="AR13" i="3"/>
  <c r="AA10" i="1"/>
  <c r="S10" i="1"/>
  <c r="S18" i="3"/>
  <c r="AC16" i="3"/>
  <c r="AP7" i="3"/>
  <c r="AS7" i="3" s="1"/>
  <c r="AK6" i="1"/>
  <c r="AL6" i="1" s="1"/>
  <c r="AR10" i="3"/>
  <c r="AJ4" i="3"/>
  <c r="AK4" i="3" s="1"/>
  <c r="AB4" i="3"/>
  <c r="S5" i="3"/>
  <c r="AR16" i="3"/>
  <c r="S16" i="3"/>
  <c r="AA16" i="3"/>
  <c r="AC6" i="1"/>
  <c r="AI6" i="1" s="1"/>
  <c r="AC10" i="1"/>
  <c r="AI10" i="1" s="1"/>
  <c r="AK4" i="1"/>
  <c r="AL4" i="1" s="1"/>
  <c r="AP4" i="3"/>
  <c r="AS4" i="3" s="1"/>
  <c r="R20" i="1"/>
  <c r="S20" i="1" s="1"/>
  <c r="AA78" i="3"/>
  <c r="S78" i="3"/>
  <c r="S4" i="1"/>
  <c r="AA4" i="1"/>
  <c r="AB13" i="3"/>
  <c r="S14" i="3"/>
  <c r="S15" i="3"/>
  <c r="AC13" i="3"/>
  <c r="G8" i="4"/>
  <c r="AJ13" i="3"/>
  <c r="AK13" i="3" s="1"/>
  <c r="AR7" i="3"/>
  <c r="S72" i="3"/>
  <c r="AA72" i="3"/>
  <c r="R32" i="1"/>
  <c r="S32" i="1" s="1"/>
  <c r="R34" i="1"/>
  <c r="S34" i="1" s="1"/>
  <c r="S70" i="3"/>
  <c r="AA70" i="3"/>
  <c r="AJ7" i="3"/>
  <c r="AK7" i="3" s="1"/>
  <c r="AJ10" i="3"/>
  <c r="AK10" i="3" s="1"/>
  <c r="S5" i="1"/>
  <c r="AB4" i="1"/>
  <c r="M5" i="1" s="1"/>
  <c r="H5" i="1" s="1"/>
  <c r="R21" i="1"/>
  <c r="S21" i="1" s="1"/>
  <c r="S76" i="3"/>
  <c r="AA76" i="3"/>
  <c r="AP13" i="3"/>
  <c r="AS13" i="3" s="1"/>
  <c r="AK10" i="1"/>
  <c r="AL10" i="1" s="1"/>
  <c r="O51" i="4"/>
  <c r="V51" i="4" s="1"/>
  <c r="C51" i="4"/>
  <c r="D51" i="4" s="1"/>
  <c r="AK8" i="1"/>
  <c r="AL8" i="1" s="1"/>
  <c r="AP10" i="3"/>
  <c r="AS10" i="3" s="1"/>
  <c r="S8" i="1"/>
  <c r="AA8" i="1"/>
  <c r="S74" i="3"/>
  <c r="AA74" i="3"/>
  <c r="F66" i="2"/>
  <c r="E66" i="2"/>
  <c r="C19" i="4"/>
  <c r="C29" i="4" s="1"/>
  <c r="C50" i="4"/>
  <c r="U11" i="2"/>
  <c r="H11" i="2"/>
  <c r="I17" i="2" s="1"/>
  <c r="S10" i="3"/>
  <c r="AA10" i="3"/>
  <c r="S9" i="1"/>
  <c r="AB8" i="1"/>
  <c r="M9" i="1" s="1"/>
  <c r="H9" i="1" s="1"/>
  <c r="R23" i="1"/>
  <c r="S23" i="1" s="1"/>
  <c r="U10" i="2"/>
  <c r="H10" i="2"/>
  <c r="I16" i="2" s="1"/>
  <c r="AA13" i="3"/>
  <c r="S13" i="3"/>
  <c r="S11" i="1"/>
  <c r="AB10" i="1"/>
  <c r="M11" i="1" s="1"/>
  <c r="H11" i="1" s="1"/>
  <c r="R73" i="3"/>
  <c r="S73" i="3" s="1"/>
  <c r="H9" i="2"/>
  <c r="I15" i="2" s="1"/>
  <c r="U9" i="2"/>
  <c r="AD10" i="3"/>
  <c r="AC74" i="3" s="1"/>
  <c r="AC4" i="3"/>
  <c r="S6" i="3"/>
  <c r="AA12" i="1"/>
  <c r="S12" i="1"/>
  <c r="AB7" i="3"/>
  <c r="S8" i="3"/>
  <c r="AE17" i="1"/>
  <c r="AE15" i="1" s="1"/>
  <c r="AO20" i="3" s="1"/>
  <c r="AO22" i="3" s="1"/>
  <c r="AO23" i="3" s="1"/>
  <c r="AC10" i="3"/>
  <c r="S12" i="3"/>
  <c r="S17" i="3"/>
  <c r="AB16" i="3"/>
  <c r="G9" i="4"/>
  <c r="F11" i="4"/>
  <c r="H11" i="4" s="1"/>
  <c r="F10" i="4"/>
  <c r="H10" i="4" s="1"/>
  <c r="F12" i="4"/>
  <c r="H12" i="4" s="1"/>
  <c r="AC8" i="1"/>
  <c r="AI8" i="1" s="1"/>
  <c r="R75" i="3"/>
  <c r="S75" i="3" s="1"/>
  <c r="R79" i="3"/>
  <c r="S79" i="3" s="1"/>
  <c r="AP16" i="3"/>
  <c r="AS16" i="3" s="1"/>
  <c r="AK12" i="1"/>
  <c r="AL12" i="1" s="1"/>
  <c r="M19" i="3" l="1"/>
  <c r="H19" i="3" s="1"/>
  <c r="F65" i="2"/>
  <c r="M59" i="4"/>
  <c r="H107" i="2"/>
  <c r="E107" i="2" s="1"/>
  <c r="P38" i="1"/>
  <c r="R38" i="1" s="1"/>
  <c r="S38" i="1" s="1"/>
  <c r="C27" i="3"/>
  <c r="B28" i="2"/>
  <c r="P26" i="1"/>
  <c r="P59" i="4"/>
  <c r="W59" i="4"/>
  <c r="H96" i="4" s="1"/>
  <c r="F96" i="4" s="1"/>
  <c r="N29" i="4"/>
  <c r="U50" i="4"/>
  <c r="U59" i="4" s="1"/>
  <c r="Q25" i="4"/>
  <c r="O29" i="4"/>
  <c r="K12" i="2"/>
  <c r="F107" i="2"/>
  <c r="AI4" i="1"/>
  <c r="Q36" i="1"/>
  <c r="I14" i="4"/>
  <c r="K20" i="4" s="1"/>
  <c r="H7" i="2"/>
  <c r="M14" i="1"/>
  <c r="H14" i="1" s="1"/>
  <c r="AN7" i="3"/>
  <c r="AN16" i="3"/>
  <c r="AN4" i="3"/>
  <c r="AB70" i="3"/>
  <c r="M70" i="3" s="1" a="1"/>
  <c r="AB72" i="3"/>
  <c r="M72" i="3" s="1" a="1"/>
  <c r="AN10" i="3"/>
  <c r="AB76" i="3"/>
  <c r="Z76" i="3" s="1"/>
  <c r="AE76" i="3" s="1"/>
  <c r="AN13" i="3"/>
  <c r="H51" i="4"/>
  <c r="I15" i="4"/>
  <c r="M10" i="1"/>
  <c r="Z10" i="1"/>
  <c r="E11" i="1"/>
  <c r="F11" i="1"/>
  <c r="I18" i="4"/>
  <c r="H54" i="4"/>
  <c r="I16" i="4"/>
  <c r="H52" i="4"/>
  <c r="M8" i="1"/>
  <c r="Z8" i="1"/>
  <c r="E9" i="1"/>
  <c r="F9" i="1"/>
  <c r="L9" i="2"/>
  <c r="K9" i="2"/>
  <c r="M16" i="3" a="1"/>
  <c r="Z16" i="3"/>
  <c r="AF16" i="3" s="1"/>
  <c r="Z10" i="3"/>
  <c r="AF10" i="3" s="1"/>
  <c r="M10" i="3" a="1"/>
  <c r="L11" i="2"/>
  <c r="K11" i="2"/>
  <c r="M4" i="1"/>
  <c r="Z4" i="1"/>
  <c r="M6" i="1"/>
  <c r="Z6" i="1"/>
  <c r="E7" i="1"/>
  <c r="F7" i="1"/>
  <c r="D50" i="4"/>
  <c r="C49" i="4"/>
  <c r="C59" i="4" s="1"/>
  <c r="K50" i="4"/>
  <c r="L50" i="4"/>
  <c r="O50" i="4"/>
  <c r="O59" i="4" s="1"/>
  <c r="AC70" i="3"/>
  <c r="M80" i="3" s="1"/>
  <c r="H7" i="4"/>
  <c r="D19" i="4"/>
  <c r="Z4" i="3"/>
  <c r="AF4" i="3" s="1"/>
  <c r="M4" i="3" a="1"/>
  <c r="H5" i="3" s="1"/>
  <c r="F5" i="1"/>
  <c r="E5" i="1"/>
  <c r="H28" i="1"/>
  <c r="I13" i="2"/>
  <c r="K8" i="2"/>
  <c r="L8" i="2"/>
  <c r="I17" i="4"/>
  <c r="H53" i="4"/>
  <c r="M12" i="1"/>
  <c r="Z12" i="1"/>
  <c r="M13" i="3" a="1"/>
  <c r="Z13" i="3"/>
  <c r="AF13" i="3" s="1"/>
  <c r="AB74" i="3"/>
  <c r="Z74" i="3" s="1"/>
  <c r="AE74" i="3" s="1"/>
  <c r="L10" i="2"/>
  <c r="K10" i="2"/>
  <c r="M7" i="3" a="1"/>
  <c r="Z7" i="3"/>
  <c r="AF7" i="3" s="1"/>
  <c r="AB78" i="3"/>
  <c r="M78" i="3" s="1" a="1"/>
  <c r="E13" i="1"/>
  <c r="F13" i="1"/>
  <c r="Q9" i="2" l="1"/>
  <c r="H50" i="2" a="1"/>
  <c r="H50" i="2" s="1"/>
  <c r="E96" i="4"/>
  <c r="P37" i="1"/>
  <c r="P39" i="1" s="1"/>
  <c r="Q10" i="2"/>
  <c r="Q11" i="2"/>
  <c r="R26" i="1"/>
  <c r="S26" i="1" s="1"/>
  <c r="P25" i="1"/>
  <c r="P27" i="1" s="1"/>
  <c r="D28" i="2"/>
  <c r="P28" i="2" s="1"/>
  <c r="P29" i="2" s="1"/>
  <c r="H67" i="2" s="1"/>
  <c r="B29" i="2"/>
  <c r="H62" i="2" a="1"/>
  <c r="F64" i="2" s="1"/>
  <c r="Q12" i="2"/>
  <c r="Q8" i="2"/>
  <c r="B28" i="4"/>
  <c r="H21" i="3"/>
  <c r="H82" i="3" s="1"/>
  <c r="K29" i="2"/>
  <c r="L29" i="2"/>
  <c r="R12" i="2"/>
  <c r="H80" i="3"/>
  <c r="L20" i="4"/>
  <c r="I13" i="4"/>
  <c r="M74" i="3" a="1"/>
  <c r="H75" i="3" s="1"/>
  <c r="Z72" i="3"/>
  <c r="AE72" i="3" s="1"/>
  <c r="M76" i="3" a="1"/>
  <c r="H77" i="3" s="1"/>
  <c r="H49" i="4"/>
  <c r="Z78" i="3"/>
  <c r="AE78" i="3" s="1"/>
  <c r="H6" i="1"/>
  <c r="L7" i="1"/>
  <c r="H14" i="3"/>
  <c r="H15" i="3"/>
  <c r="M13" i="3"/>
  <c r="H13" i="3" s="1"/>
  <c r="T50" i="4"/>
  <c r="R11" i="2"/>
  <c r="H59" i="2" a="1"/>
  <c r="K54" i="4"/>
  <c r="S54" i="4" s="1"/>
  <c r="L54" i="4"/>
  <c r="T54" i="4" s="1"/>
  <c r="K24" i="4"/>
  <c r="L24" i="4"/>
  <c r="K53" i="4"/>
  <c r="S53" i="4" s="1"/>
  <c r="L53" i="4"/>
  <c r="T53" i="4" s="1"/>
  <c r="E19" i="3"/>
  <c r="F19" i="3"/>
  <c r="M16" i="3"/>
  <c r="H16" i="3" s="1"/>
  <c r="H18" i="3"/>
  <c r="H17" i="3"/>
  <c r="M70" i="3"/>
  <c r="H70" i="3" s="1"/>
  <c r="H71" i="3"/>
  <c r="R36" i="1"/>
  <c r="S36" i="1" s="1"/>
  <c r="D49" i="4"/>
  <c r="H12" i="1"/>
  <c r="L13" i="1"/>
  <c r="K23" i="4"/>
  <c r="L23" i="4"/>
  <c r="R9" i="2"/>
  <c r="H53" i="2" a="1"/>
  <c r="H11" i="3"/>
  <c r="H12" i="3"/>
  <c r="M10" i="3"/>
  <c r="H10" i="3" s="1"/>
  <c r="M78" i="3"/>
  <c r="H78" i="3" s="1"/>
  <c r="H79" i="3"/>
  <c r="K52" i="4"/>
  <c r="S52" i="4" s="1"/>
  <c r="L52" i="4"/>
  <c r="T52" i="4" s="1"/>
  <c r="F14" i="1"/>
  <c r="E14" i="1"/>
  <c r="S50" i="4"/>
  <c r="K22" i="4"/>
  <c r="L22" i="4"/>
  <c r="M7" i="3"/>
  <c r="H7" i="3" s="1"/>
  <c r="H8" i="3"/>
  <c r="H9" i="3"/>
  <c r="R8" i="2"/>
  <c r="Z70" i="3"/>
  <c r="AE70" i="3" s="1"/>
  <c r="H10" i="1"/>
  <c r="L11" i="1"/>
  <c r="K21" i="4"/>
  <c r="L21" i="4"/>
  <c r="R10" i="2"/>
  <c r="H56" i="2" a="1"/>
  <c r="K51" i="4"/>
  <c r="S51" i="4" s="1"/>
  <c r="L51" i="4"/>
  <c r="T51" i="4" s="1"/>
  <c r="H6" i="3"/>
  <c r="C6" i="8" s="1"/>
  <c r="D6" i="8" s="1"/>
  <c r="M4" i="3"/>
  <c r="H4" i="3" s="1"/>
  <c r="H4" i="1"/>
  <c r="L5" i="1"/>
  <c r="H8" i="1"/>
  <c r="L9" i="1"/>
  <c r="V50" i="4"/>
  <c r="M72" i="3"/>
  <c r="H72" i="3" s="1"/>
  <c r="H73" i="3"/>
  <c r="H20" i="3" l="1"/>
  <c r="I22" i="3"/>
  <c r="J22" i="3"/>
  <c r="K82" i="3"/>
  <c r="F82" i="3"/>
  <c r="J82" i="3"/>
  <c r="E82" i="3"/>
  <c r="J78" i="3"/>
  <c r="F78" i="3"/>
  <c r="E78" i="3"/>
  <c r="K78" i="3"/>
  <c r="F73" i="3"/>
  <c r="E73" i="3"/>
  <c r="K73" i="3"/>
  <c r="J73" i="3"/>
  <c r="J71" i="3"/>
  <c r="F71" i="3"/>
  <c r="E71" i="3"/>
  <c r="K71" i="3"/>
  <c r="K70" i="3"/>
  <c r="E70" i="3"/>
  <c r="F70" i="3"/>
  <c r="J70" i="3"/>
  <c r="J72" i="3"/>
  <c r="F72" i="3"/>
  <c r="E72" i="3"/>
  <c r="K72" i="3"/>
  <c r="E77" i="3"/>
  <c r="K77" i="3"/>
  <c r="J77" i="3"/>
  <c r="F77" i="3"/>
  <c r="F75" i="3"/>
  <c r="E75" i="3"/>
  <c r="K75" i="3"/>
  <c r="J75" i="3"/>
  <c r="E79" i="3"/>
  <c r="K79" i="3"/>
  <c r="F79" i="3"/>
  <c r="J79" i="3"/>
  <c r="F80" i="3"/>
  <c r="E80" i="3"/>
  <c r="K80" i="3"/>
  <c r="J80" i="3"/>
  <c r="E63" i="2"/>
  <c r="H62" i="2"/>
  <c r="E62" i="2" s="1"/>
  <c r="E64" i="2"/>
  <c r="F63" i="2"/>
  <c r="H69" i="3"/>
  <c r="C3" i="3"/>
  <c r="B3" i="11" s="1"/>
  <c r="B11" i="11" s="1"/>
  <c r="B58" i="4"/>
  <c r="D28" i="4"/>
  <c r="P28" i="4" s="1"/>
  <c r="B29" i="4"/>
  <c r="D29" i="4" s="1"/>
  <c r="Q29" i="2"/>
  <c r="C103" i="2"/>
  <c r="C33" i="3"/>
  <c r="C49" i="2"/>
  <c r="D29" i="2"/>
  <c r="D30" i="2" s="1"/>
  <c r="B30" i="2"/>
  <c r="E67" i="2"/>
  <c r="H108" i="2"/>
  <c r="F67" i="2"/>
  <c r="F21" i="3"/>
  <c r="E21" i="3"/>
  <c r="T59" i="4"/>
  <c r="S59" i="4"/>
  <c r="V59" i="4"/>
  <c r="H95" i="4" s="1"/>
  <c r="L59" i="4"/>
  <c r="K59" i="4"/>
  <c r="K29" i="4"/>
  <c r="L29" i="4"/>
  <c r="C7" i="8"/>
  <c r="D7" i="8" s="1"/>
  <c r="H43" i="3"/>
  <c r="H44" i="3" s="1"/>
  <c r="M74" i="3"/>
  <c r="H74" i="3" s="1"/>
  <c r="M76" i="3"/>
  <c r="H76" i="3" s="1"/>
  <c r="C4" i="8"/>
  <c r="H39" i="3"/>
  <c r="C5" i="8"/>
  <c r="D5" i="8" s="1"/>
  <c r="H89" i="4" a="1"/>
  <c r="E90" i="4" s="1"/>
  <c r="E52" i="2"/>
  <c r="F52" i="2"/>
  <c r="H106" i="2"/>
  <c r="E51" i="2"/>
  <c r="F51" i="2"/>
  <c r="H105" i="2"/>
  <c r="E6" i="1"/>
  <c r="F6" i="1"/>
  <c r="E9" i="3"/>
  <c r="F9" i="3"/>
  <c r="F60" i="2"/>
  <c r="E60" i="2"/>
  <c r="E61" i="2"/>
  <c r="H59" i="2"/>
  <c r="F61" i="2"/>
  <c r="E18" i="3"/>
  <c r="F18" i="3"/>
  <c r="H27" i="1"/>
  <c r="E4" i="1"/>
  <c r="F4" i="1"/>
  <c r="D4" i="1" s="1"/>
  <c r="E4" i="3"/>
  <c r="H40" i="3"/>
  <c r="H41" i="3" s="1"/>
  <c r="F4" i="3"/>
  <c r="E6" i="3"/>
  <c r="F6" i="3"/>
  <c r="I6" i="3"/>
  <c r="H83" i="4" a="1"/>
  <c r="E57" i="2"/>
  <c r="F57" i="2"/>
  <c r="H56" i="2"/>
  <c r="E58" i="2"/>
  <c r="F58" i="2"/>
  <c r="E10" i="3"/>
  <c r="F10" i="3"/>
  <c r="H49" i="3"/>
  <c r="H50" i="3" s="1"/>
  <c r="E17" i="3"/>
  <c r="F17" i="3"/>
  <c r="E16" i="3"/>
  <c r="F16" i="3"/>
  <c r="F5" i="3"/>
  <c r="I5" i="3"/>
  <c r="H46" i="3"/>
  <c r="H47" i="3" s="1"/>
  <c r="E5" i="3"/>
  <c r="F11" i="3"/>
  <c r="E11" i="3"/>
  <c r="F12" i="1"/>
  <c r="E12" i="1"/>
  <c r="E8" i="3"/>
  <c r="F8" i="3"/>
  <c r="H92" i="4" a="1"/>
  <c r="F7" i="3"/>
  <c r="E7" i="3"/>
  <c r="E12" i="3"/>
  <c r="F12" i="3"/>
  <c r="H80" i="4" a="1"/>
  <c r="E54" i="2"/>
  <c r="F54" i="2"/>
  <c r="E55" i="2"/>
  <c r="F55" i="2"/>
  <c r="H53" i="2"/>
  <c r="F13" i="3"/>
  <c r="E13" i="3"/>
  <c r="E15" i="3"/>
  <c r="F15" i="3"/>
  <c r="E8" i="1"/>
  <c r="F8" i="1"/>
  <c r="E10" i="1"/>
  <c r="F10" i="1"/>
  <c r="E14" i="3"/>
  <c r="F14" i="3"/>
  <c r="H86" i="4" a="1"/>
  <c r="B28" i="11" l="1"/>
  <c r="B15" i="11"/>
  <c r="C10" i="8"/>
  <c r="H81" i="3"/>
  <c r="F62" i="2"/>
  <c r="B48" i="4"/>
  <c r="I73" i="3"/>
  <c r="K76" i="3"/>
  <c r="J76" i="3"/>
  <c r="F76" i="3"/>
  <c r="E76" i="3"/>
  <c r="F74" i="3"/>
  <c r="E74" i="3"/>
  <c r="K74" i="3"/>
  <c r="J74" i="3"/>
  <c r="I71" i="3"/>
  <c r="I70" i="3"/>
  <c r="I72" i="3"/>
  <c r="C69" i="3"/>
  <c r="D70" i="3" s="1"/>
  <c r="D71" i="3" s="1"/>
  <c r="D72" i="3" s="1"/>
  <c r="D73" i="3" s="1"/>
  <c r="H84" i="3"/>
  <c r="Q30" i="2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F108" i="2"/>
  <c r="E108" i="2"/>
  <c r="P29" i="4"/>
  <c r="Q29" i="4" s="1"/>
  <c r="Q30" i="4" s="1"/>
  <c r="Q28" i="4"/>
  <c r="D58" i="4"/>
  <c r="Q58" i="4" s="1"/>
  <c r="B59" i="4"/>
  <c r="C29" i="3"/>
  <c r="C32" i="3" s="1"/>
  <c r="C34" i="3" s="1"/>
  <c r="AH22" i="3"/>
  <c r="AH20" i="3" s="1"/>
  <c r="F95" i="4"/>
  <c r="E95" i="4"/>
  <c r="H137" i="4"/>
  <c r="F137" i="4" s="1"/>
  <c r="Q34" i="2"/>
  <c r="I77" i="3"/>
  <c r="I74" i="3"/>
  <c r="I75" i="3"/>
  <c r="I76" i="3"/>
  <c r="I78" i="3"/>
  <c r="I79" i="3"/>
  <c r="I80" i="3"/>
  <c r="D4" i="8"/>
  <c r="D10" i="8" s="1"/>
  <c r="H89" i="4"/>
  <c r="F89" i="4" s="1"/>
  <c r="E91" i="4"/>
  <c r="F90" i="4"/>
  <c r="F91" i="4"/>
  <c r="F81" i="4"/>
  <c r="H135" i="4"/>
  <c r="H80" i="4"/>
  <c r="H136" i="4"/>
  <c r="E81" i="4"/>
  <c r="E82" i="4"/>
  <c r="F82" i="4"/>
  <c r="F56" i="2"/>
  <c r="E56" i="2"/>
  <c r="D5" i="1"/>
  <c r="D6" i="1" s="1"/>
  <c r="E106" i="2"/>
  <c r="F106" i="2"/>
  <c r="E50" i="2"/>
  <c r="F50" i="2"/>
  <c r="D50" i="2" s="1"/>
  <c r="H104" i="2"/>
  <c r="E59" i="2"/>
  <c r="F59" i="2"/>
  <c r="F53" i="2"/>
  <c r="E53" i="2"/>
  <c r="F84" i="4"/>
  <c r="E84" i="4"/>
  <c r="E85" i="4"/>
  <c r="F85" i="4"/>
  <c r="H83" i="4"/>
  <c r="F105" i="2"/>
  <c r="E105" i="2"/>
  <c r="F88" i="4"/>
  <c r="H86" i="4"/>
  <c r="E87" i="4"/>
  <c r="F87" i="4"/>
  <c r="E88" i="4"/>
  <c r="E20" i="3"/>
  <c r="F20" i="3"/>
  <c r="H92" i="4"/>
  <c r="F93" i="4"/>
  <c r="E93" i="4"/>
  <c r="E94" i="4"/>
  <c r="F94" i="4"/>
  <c r="D16" i="11" l="1"/>
  <c r="F81" i="3"/>
  <c r="K81" i="3"/>
  <c r="J81" i="3"/>
  <c r="E81" i="3"/>
  <c r="I82" i="3"/>
  <c r="D74" i="3"/>
  <c r="D75" i="3" s="1"/>
  <c r="D76" i="3" s="1"/>
  <c r="D77" i="3" s="1"/>
  <c r="D78" i="3" s="1"/>
  <c r="D79" i="3" s="1"/>
  <c r="D80" i="3" s="1"/>
  <c r="I81" i="3"/>
  <c r="E137" i="4"/>
  <c r="C79" i="4"/>
  <c r="C133" i="4"/>
  <c r="B60" i="4"/>
  <c r="D59" i="4"/>
  <c r="Q59" i="4"/>
  <c r="X58" i="4"/>
  <c r="X59" i="4" s="1"/>
  <c r="D7" i="1"/>
  <c r="D8" i="1" s="1"/>
  <c r="D9" i="1" s="1"/>
  <c r="D10" i="1" s="1"/>
  <c r="D11" i="1" s="1"/>
  <c r="D12" i="1" s="1"/>
  <c r="D13" i="1" s="1"/>
  <c r="D14" i="1" s="1"/>
  <c r="D51" i="2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E89" i="4"/>
  <c r="D20" i="3"/>
  <c r="F104" i="2"/>
  <c r="D104" i="2" s="1"/>
  <c r="E104" i="2"/>
  <c r="E86" i="4"/>
  <c r="F86" i="4"/>
  <c r="E92" i="4"/>
  <c r="F92" i="4"/>
  <c r="E83" i="4"/>
  <c r="F83" i="4"/>
  <c r="E136" i="4"/>
  <c r="F136" i="4"/>
  <c r="F80" i="4"/>
  <c r="E80" i="4"/>
  <c r="H134" i="4"/>
  <c r="E135" i="4"/>
  <c r="F135" i="4"/>
  <c r="D65" i="2" l="1"/>
  <c r="D66" i="2" s="1"/>
  <c r="D67" i="2" s="1"/>
  <c r="G68" i="2" s="1"/>
  <c r="G69" i="2" s="1"/>
  <c r="D81" i="3"/>
  <c r="D82" i="3" s="1"/>
  <c r="G83" i="3" s="1"/>
  <c r="G84" i="3" s="1"/>
  <c r="D80" i="4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H97" i="4"/>
  <c r="Y59" i="4"/>
  <c r="Y60" i="4" s="1"/>
  <c r="D21" i="3"/>
  <c r="G22" i="3" s="1"/>
  <c r="C3" i="11" s="1"/>
  <c r="D105" i="2"/>
  <c r="D106" i="2" s="1"/>
  <c r="D107" i="2" s="1"/>
  <c r="D108" i="2" s="1"/>
  <c r="G109" i="2" s="1"/>
  <c r="G110" i="2" s="1"/>
  <c r="E134" i="4"/>
  <c r="F134" i="4"/>
  <c r="D134" i="4" s="1"/>
  <c r="AI22" i="3" l="1"/>
  <c r="AI20" i="3" s="1"/>
  <c r="AJ20" i="3" s="1"/>
  <c r="AK20" i="3" s="1"/>
  <c r="C60" i="4"/>
  <c r="F84" i="3"/>
  <c r="F85" i="3" s="1"/>
  <c r="G23" i="3"/>
  <c r="F23" i="3"/>
  <c r="F24" i="3" s="1"/>
  <c r="G29" i="3"/>
  <c r="F97" i="4"/>
  <c r="D97" i="4" s="1"/>
  <c r="E97" i="4"/>
  <c r="H138" i="4"/>
  <c r="D135" i="4"/>
  <c r="D136" i="4" s="1"/>
  <c r="D137" i="4" s="1"/>
  <c r="C11" i="11" l="1"/>
  <c r="D3" i="11"/>
  <c r="AJ22" i="3"/>
  <c r="AK22" i="3" s="1"/>
  <c r="G32" i="3"/>
  <c r="H32" i="3" s="1"/>
  <c r="H29" i="3"/>
  <c r="G98" i="4"/>
  <c r="G99" i="4" s="1"/>
  <c r="E138" i="4"/>
  <c r="F138" i="4"/>
  <c r="D138" i="4" s="1"/>
  <c r="E3" i="11" l="1"/>
  <c r="G16" i="11"/>
  <c r="D11" i="11"/>
  <c r="E11" i="11" s="1"/>
  <c r="G34" i="3"/>
  <c r="G139" i="4"/>
  <c r="G140" i="4" s="1"/>
  <c r="J16" i="11" l="1"/>
  <c r="H16" i="11"/>
  <c r="H16" i="1"/>
  <c r="H17" i="11" l="1"/>
  <c r="H18" i="11" s="1"/>
  <c r="H19" i="11" s="1"/>
  <c r="H20" i="11" s="1"/>
  <c r="H21" i="11" s="1"/>
  <c r="H22" i="11" s="1"/>
  <c r="H23" i="11" s="1"/>
  <c r="E16" i="11"/>
  <c r="C17" i="11" s="1"/>
  <c r="C18" i="11" s="1"/>
  <c r="C19" i="11" s="1"/>
  <c r="C20" i="11" s="1"/>
  <c r="C21" i="11" s="1"/>
  <c r="C22" i="11" s="1"/>
  <c r="C23" i="11" s="1"/>
  <c r="F24" i="11" s="1"/>
  <c r="F25" i="11" s="1"/>
  <c r="F16" i="1"/>
  <c r="H15" i="1"/>
  <c r="E16" i="1"/>
  <c r="E15" i="1" l="1"/>
  <c r="F15" i="1"/>
  <c r="D15" i="1" s="1"/>
  <c r="D16" i="1" l="1"/>
  <c r="G17" i="1" s="1"/>
  <c r="G18" i="1" s="1"/>
  <c r="Q37" i="1" l="1"/>
  <c r="Q39" i="1" s="1"/>
  <c r="R39" i="1" s="1"/>
  <c r="S39" i="1" s="1"/>
  <c r="Q25" i="1"/>
  <c r="R25" i="1" s="1"/>
  <c r="S25" i="1" s="1"/>
  <c r="AF17" i="1"/>
  <c r="AF15" i="1" s="1"/>
  <c r="AP20" i="3" s="1"/>
  <c r="AP22" i="3" s="1"/>
  <c r="AP23" i="3" s="1"/>
  <c r="C27" i="11"/>
  <c r="C28" i="11" s="1"/>
  <c r="C48" i="4"/>
  <c r="C30" i="2"/>
  <c r="R37" i="1"/>
  <c r="S37" i="1" s="1"/>
  <c r="Q27" i="1" l="1"/>
  <c r="R27" i="1" s="1"/>
  <c r="S27" i="1" s="1"/>
  <c r="AH17" i="1"/>
  <c r="U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K14" authorId="0" shapeId="0" xr:uid="{3F29B5F0-A78F-4DB2-9DF3-7A4F7C3BED96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Do thấy tác động tỷ giá ở tất cả các nhóm sản phẩm đều cùng dấu =&gt; gom lại
</t>
        </r>
      </text>
    </comment>
    <comment ref="M14" authorId="0" shapeId="0" xr:uid="{28AD5B50-1B25-4BBB-AEF6-81AEF87E5DA7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C3" authorId="0" shapeId="0" xr:uid="{B73D36A9-9FAA-476E-8406-2C3FBA11E663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kế hoạch của kỳ này (trình bày theo BCTC)</t>
        </r>
      </text>
    </comment>
    <comment ref="M19" authorId="0" shapeId="0" xr:uid="{3A0284C7-2B50-4EBF-8BBF-D324EFD0F178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  <comment ref="G22" authorId="0" shapeId="0" xr:uid="{D0A60616-3C28-49E7-AC5E-DB86F0DF22DC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thực tế của kỳ này (trình bày theo BCTC)</t>
        </r>
      </text>
    </comment>
    <comment ref="M80" authorId="0" shapeId="0" xr:uid="{1D89978C-1395-441A-8A01-F6CCC0B70A8B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C3" authorId="0" shapeId="0" xr:uid="{B7FFB082-EFDD-4480-A0AC-F4DE81FC9085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kế hoạch của kỳ này (trình bày theo BCTC)</t>
        </r>
      </text>
    </comment>
    <comment ref="M19" authorId="0" shapeId="0" xr:uid="{0BAFC02E-C540-4A7D-B1C5-BC88121EF44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  <comment ref="G22" authorId="0" shapeId="0" xr:uid="{D424EAB6-078C-4CAA-94D3-686A71BBAB23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thực tế của kỳ này (trình bày theo BCTC)</t>
        </r>
      </text>
    </comment>
    <comment ref="M80" authorId="0" shapeId="0" xr:uid="{39367847-FB56-4B9B-9307-4C30CC13BD69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<sst xmlns="http://schemas.openxmlformats.org/spreadsheetml/2006/main" count="883" uniqueCount="139">
  <si>
    <t>Tổng</t>
  </si>
  <si>
    <t>Khác</t>
  </si>
  <si>
    <t>Chênh lệch tỷ giá</t>
  </si>
  <si>
    <t>Xơ sợi</t>
  </si>
  <si>
    <t>rPP</t>
  </si>
  <si>
    <t>rHDPE ép</t>
  </si>
  <si>
    <t>rHDPE thổi</t>
  </si>
  <si>
    <t>rPET</t>
  </si>
  <si>
    <t>TT</t>
  </si>
  <si>
    <t>KH</t>
  </si>
  <si>
    <r>
      <t xml:space="preserve">Dthu </t>
    </r>
    <r>
      <rPr>
        <i/>
        <u/>
        <sz val="11"/>
        <color theme="1"/>
        <rFont val="Aptos Narrow"/>
        <family val="2"/>
        <scheme val="minor"/>
      </rPr>
      <t>(tỷ VND)</t>
    </r>
  </si>
  <si>
    <t>Check</t>
  </si>
  <si>
    <t>Tỷ giá</t>
  </si>
  <si>
    <t>$/tấn</t>
  </si>
  <si>
    <t>Giá bán</t>
  </si>
  <si>
    <t>tấn</t>
  </si>
  <si>
    <t>Sản lượng</t>
  </si>
  <si>
    <t>EXR</t>
  </si>
  <si>
    <t>GB</t>
  </si>
  <si>
    <t>SL</t>
  </si>
  <si>
    <t>Tổng tác động</t>
  </si>
  <si>
    <t>T/Đ nếu như nhóm ngành</t>
  </si>
  <si>
    <t>T/Đ làm từng SKU</t>
  </si>
  <si>
    <t>Chênh lệch</t>
  </si>
  <si>
    <t>End</t>
  </si>
  <si>
    <t>Decrease</t>
  </si>
  <si>
    <t>Increase</t>
  </si>
  <si>
    <t>Hidden</t>
  </si>
  <si>
    <t>Start</t>
  </si>
  <si>
    <t>Dthu (theo tỷ giá KH)</t>
  </si>
  <si>
    <t>ĐVT: VND nhưng show là tỷ đồng</t>
  </si>
  <si>
    <t>Cơ cấu</t>
  </si>
  <si>
    <t>Vẽ (VND nhưng thể hiện là tỷ)</t>
  </si>
  <si>
    <t>Exchange rate</t>
  </si>
  <si>
    <t>GB EXW (USD/ton)</t>
  </si>
  <si>
    <t>Dây đai, phó sản</t>
  </si>
  <si>
    <t>Tài trợ</t>
  </si>
  <si>
    <t>Doanh thu SPC</t>
  </si>
  <si>
    <t>GB EXW (VND/kg)</t>
  </si>
  <si>
    <t>Sản lượng SPC</t>
  </si>
  <si>
    <t>Label chart-SL-TT</t>
  </si>
  <si>
    <t>Label chart-SL-KH</t>
  </si>
  <si>
    <t>Cơ cấu ngành</t>
  </si>
  <si>
    <t>DT-TT-Cơ cấu KH</t>
  </si>
  <si>
    <t>SL-TT-Cơ cấu KH</t>
  </si>
  <si>
    <t>%Cơ cấu SL-TT</t>
  </si>
  <si>
    <t>%Cơ cấu SL-KH</t>
  </si>
  <si>
    <t>+/</t>
  </si>
  <si>
    <t>TÁC ĐỘNG</t>
  </si>
  <si>
    <t>ĐVT: VND; kg; VND/kg; USD/ton</t>
  </si>
  <si>
    <t>LG đơn vị</t>
  </si>
  <si>
    <t>Model</t>
  </si>
  <si>
    <t>LG/kg</t>
  </si>
  <si>
    <t>LG/kg ở đây là gom lại ở tác động GB và tác động GV</t>
  </si>
  <si>
    <t>$/tấn LG đang quy về cùng tỷ giá KH</t>
  </si>
  <si>
    <t>PET-LNST</t>
  </si>
  <si>
    <t>PET</t>
  </si>
  <si>
    <t>SL-LNST</t>
  </si>
  <si>
    <t>Tổng t/đ SL</t>
  </si>
  <si>
    <t>VND/kg</t>
  </si>
  <si>
    <t>Giá vốn</t>
  </si>
  <si>
    <t>%+/-</t>
  </si>
  <si>
    <t>+/-</t>
  </si>
  <si>
    <t>GV</t>
  </si>
  <si>
    <t>%Biên</t>
  </si>
  <si>
    <t>DTHU EXW (THEO TỶ GIÁ KH)</t>
  </si>
  <si>
    <t>LG EXW (THEO TỶ GIÁ KH)</t>
  </si>
  <si>
    <t>Tổng LG EXW</t>
  </si>
  <si>
    <t>LG EXW-SPC</t>
  </si>
  <si>
    <t>LG EXW-TT-Cơ cấu KH</t>
  </si>
  <si>
    <t>LG EXW ĐV-TT</t>
  </si>
  <si>
    <t>LG EXW ĐV-KH</t>
  </si>
  <si>
    <t>TÁC ĐỘNG-GOM</t>
  </si>
  <si>
    <t>GVHB-SPC</t>
  </si>
  <si>
    <t>GVĐV (đ/kg)</t>
  </si>
  <si>
    <t>Dthu</t>
  </si>
  <si>
    <t>Thuế TNDN</t>
  </si>
  <si>
    <t>Thu nhập khác</t>
  </si>
  <si>
    <t>Lãi tiền gửi</t>
  </si>
  <si>
    <t>Dthu/Cp tài chính-Tỷ giá</t>
  </si>
  <si>
    <t>Cp lãi vay</t>
  </si>
  <si>
    <t>CPQLDN</t>
  </si>
  <si>
    <t>CPBH</t>
  </si>
  <si>
    <t>LG EXW</t>
  </si>
  <si>
    <t>LNST</t>
  </si>
  <si>
    <t>Thu nhập/Chi phí khác</t>
  </si>
  <si>
    <t>CHỈ TIÊU</t>
  </si>
  <si>
    <t>Tổng GVHB</t>
  </si>
  <si>
    <t>check</t>
  </si>
  <si>
    <t>Tác động sản lượng</t>
  </si>
  <si>
    <t>LNTT</t>
  </si>
  <si>
    <t>Ghi chú</t>
  </si>
  <si>
    <t>Thuế suất</t>
  </si>
  <si>
    <t>STT</t>
  </si>
  <si>
    <t>Giá bán trung bình ngành rPET thấp sv KH</t>
  </si>
  <si>
    <t>Giá vốn trung bình rPET tăng</t>
  </si>
  <si>
    <t>Tác động</t>
  </si>
  <si>
    <t>ng. tấn</t>
  </si>
  <si>
    <t>Sản lượng (ng.tấn)</t>
  </si>
  <si>
    <t xml:space="preserve"> - Loại trừ chênh lệch tỷ giá</t>
  </si>
  <si>
    <t>+-/-</t>
  </si>
  <si>
    <t>%+-/-</t>
  </si>
  <si>
    <t>%Thực hiện</t>
  </si>
  <si>
    <t>Tổng t/đ LG đơn vị</t>
  </si>
  <si>
    <t>LGĐV-LNST</t>
  </si>
  <si>
    <t>GVHB</t>
  </si>
  <si>
    <t>Cộng dồn</t>
  </si>
  <si>
    <t>(format âm để chỉnh)</t>
  </si>
  <si>
    <t>Label-Increase</t>
  </si>
  <si>
    <t>Label-Decrease</t>
  </si>
  <si>
    <t>Đẩy bán HD ép</t>
  </si>
  <si>
    <t>Giá bán trung bình đạt $597/tấn (KH là $828/tấn)</t>
  </si>
  <si>
    <t>Cp vận chuyển, hoa hồng, chiết khấu</t>
  </si>
  <si>
    <t>Doanh thu EXW</t>
  </si>
  <si>
    <t>Tổng dthu thuần</t>
  </si>
  <si>
    <t>gom lại cp vận chuyển vào đây</t>
  </si>
  <si>
    <t>gom lại cp vận chuyển, hoa hồng, chiết khấu</t>
  </si>
  <si>
    <t>LG EXW không gồm tài trợ</t>
  </si>
  <si>
    <t>Dthu EXW không gồm tài trợ</t>
  </si>
  <si>
    <t>Cp vận chuyển</t>
  </si>
  <si>
    <t>hoa hồng, chiết khấu</t>
  </si>
  <si>
    <t>KH T11</t>
  </si>
  <si>
    <t>TT T11</t>
  </si>
  <si>
    <t>Sản lượng sản phẩm chính đạt 2.5/5.9 ngàn tấn (đạt 42%)</t>
  </si>
  <si>
    <t>Đạt $1,224; KH là $1,294 (giảm $70 ~ -5.42%)</t>
  </si>
  <si>
    <r>
      <rPr>
        <b/>
        <sz val="11"/>
        <color theme="1"/>
        <rFont val="Aptos Narrow"/>
        <family val="2"/>
        <scheme val="minor"/>
      </rPr>
      <t>Giá mua T11:</t>
    </r>
    <r>
      <rPr>
        <sz val="11"/>
        <color theme="1"/>
        <rFont val="Aptos Narrow"/>
        <family val="2"/>
        <scheme val="minor"/>
      </rPr>
      <t xml:space="preserve">
+ Giá mua chai B1: 14,872 đ/kg (KH là 17,400 đ/kg ~ -2,528 đ/kg; -14.5%).
+ Giá mua vảy B1: 15,748 đ/kg (KH là 19,300 đ/kg ~ -3,552 đ/kg; -18%)</t>
    </r>
  </si>
  <si>
    <t>Mặc dù giá mua chai/vảy giảm nhưng tỷ lệ hao hụt cao hơn so với kế hoạch</t>
  </si>
  <si>
    <t>Ghi nhận chi phí chống phá giá EU</t>
  </si>
  <si>
    <t>Xử lý khiếu nại khách hàng Nestle</t>
  </si>
  <si>
    <t>Trong đó: Pallet</t>
  </si>
  <si>
    <t xml:space="preserve">Giá </t>
  </si>
  <si>
    <t>Doanh thu</t>
  </si>
  <si>
    <t xml:space="preserve">Cộng </t>
  </si>
  <si>
    <t>GVHB (ĐV)</t>
  </si>
  <si>
    <t>LNG</t>
  </si>
  <si>
    <t>%</t>
  </si>
  <si>
    <t>GT</t>
  </si>
  <si>
    <t>Nhóm SP</t>
  </si>
  <si>
    <t>Nhóm SP/SP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</si>
</sst>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* #,##0,,,_);_(* \(#,##0,,,\);;_(@_)"/>
    <numFmt numFmtId="168" formatCode="[Color3]\▼_(* #,##0.0,,,_);_(* \(#,##0.0,,,\);;_(@_)"/>
    <numFmt numFmtId="169" formatCode="[Color10]\▲_(* #,##0.0,,,_);_(* \(#,##0.0,,,\);;_(@_)"/>
    <numFmt numFmtId="170" formatCode="[Color3]\▼_(* #,##0_);_(* \(#,##0\);;_(@_)"/>
    <numFmt numFmtId="171" formatCode="[Color10]\▲_(* #,##0_);_(* \(#,##0\);;_(@_)"/>
    <numFmt numFmtId="172" formatCode="_(* #,##0.0,,,_);_(* \(#,##0.0,,,\);;_(@_)"/>
    <numFmt numFmtId="173" formatCode="_(* #,##0,,_);_(* \(#,##0,,\);_(* &quot;-&quot;??_);_(@_)"/>
    <numFmt numFmtId="174" formatCode="_(* #,##0.0,,,_);_(* \(#,##0.0,,,\);_(* &quot;-&quot;??_);_(@_)"/>
    <numFmt numFmtId="175" formatCode="_(* #,##0,,,_);_(* \(#,##0,,,\);_(* &quot;-&quot;??_);_(@_)"/>
    <numFmt numFmtId="176" formatCode="_(* #,##0.00,,,_);_(* \(#,##0.00,,,\);_(* &quot;-&quot;??_);_(@_)"/>
    <numFmt numFmtId="177" formatCode="_(* #,##0.00,,,_);_(* \(#,##0.00,,,\);;_(@_)"/>
    <numFmt numFmtId="178" formatCode="_(* #,##0.000,,,_);_(* \(#,##0.000,,,\);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F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b/>
      <sz val="11"/>
      <color theme="6" tint="0.59999389629810485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00B0F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theme="0" tint="-0.1499679555650502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4">
    <xf numFmtId="0" fontId="0" fillId="0" borderId="0" xfId="0"/>
    <xf numFmtId="164" fontId="0" fillId="0" borderId="0" xfId="1" applyNumberFormat="1" applyFont="1"/>
    <xf numFmtId="165" fontId="2" fillId="0" borderId="0" xfId="0" applyNumberFormat="1" applyFont="1"/>
    <xf numFmtId="43" fontId="2" fillId="0" borderId="0" xfId="1" applyFont="1"/>
    <xf numFmtId="166" fontId="2" fillId="2" borderId="1" xfId="0" applyNumberFormat="1" applyFont="1" applyFill="1" applyBorder="1"/>
    <xf numFmtId="0" fontId="2" fillId="2" borderId="1" xfId="0" applyFont="1" applyFill="1" applyBorder="1"/>
    <xf numFmtId="165" fontId="0" fillId="0" borderId="0" xfId="0" applyNumberFormat="1"/>
    <xf numFmtId="43" fontId="0" fillId="0" borderId="0" xfId="1" applyFont="1"/>
    <xf numFmtId="166" fontId="0" fillId="2" borderId="0" xfId="1" applyNumberFormat="1" applyFont="1" applyFill="1"/>
    <xf numFmtId="0" fontId="0" fillId="2" borderId="0" xfId="0" applyFill="1"/>
    <xf numFmtId="166" fontId="0" fillId="2" borderId="0" xfId="0" applyNumberForma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165" fontId="2" fillId="0" borderId="0" xfId="1" applyNumberFormat="1" applyFont="1"/>
    <xf numFmtId="43" fontId="2" fillId="0" borderId="1" xfId="0" applyNumberFormat="1" applyFont="1" applyBorder="1"/>
    <xf numFmtId="0" fontId="2" fillId="0" borderId="1" xfId="0" applyFont="1" applyBorder="1"/>
    <xf numFmtId="165" fontId="0" fillId="0" borderId="0" xfId="1" applyNumberFormat="1" applyFont="1"/>
    <xf numFmtId="166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166" fontId="5" fillId="0" borderId="0" xfId="1" applyNumberFormat="1" applyFont="1" applyFill="1"/>
    <xf numFmtId="164" fontId="2" fillId="3" borderId="0" xfId="1" applyNumberFormat="1" applyFont="1" applyFill="1"/>
    <xf numFmtId="164" fontId="2" fillId="3" borderId="0" xfId="0" applyNumberFormat="1" applyFont="1" applyFill="1"/>
    <xf numFmtId="0" fontId="0" fillId="4" borderId="0" xfId="0" applyFill="1"/>
    <xf numFmtId="165" fontId="0" fillId="5" borderId="0" xfId="0" applyNumberFormat="1" applyFill="1"/>
    <xf numFmtId="164" fontId="0" fillId="5" borderId="0" xfId="0" applyNumberFormat="1" applyFill="1"/>
    <xf numFmtId="164" fontId="2" fillId="5" borderId="0" xfId="1" applyNumberFormat="1" applyFont="1" applyFill="1"/>
    <xf numFmtId="167" fontId="2" fillId="6" borderId="0" xfId="1" applyNumberFormat="1" applyFont="1" applyFill="1"/>
    <xf numFmtId="168" fontId="2" fillId="6" borderId="0" xfId="1" applyNumberFormat="1" applyFont="1" applyFill="1" applyAlignment="1">
      <alignment horizontal="right"/>
    </xf>
    <xf numFmtId="169" fontId="2" fillId="6" borderId="0" xfId="1" applyNumberFormat="1" applyFont="1" applyFill="1" applyAlignment="1">
      <alignment horizontal="right"/>
    </xf>
    <xf numFmtId="167" fontId="0" fillId="6" borderId="0" xfId="1" applyNumberFormat="1" applyFont="1" applyFill="1"/>
    <xf numFmtId="0" fontId="0" fillId="6" borderId="0" xfId="0" applyFill="1"/>
    <xf numFmtId="164" fontId="0" fillId="3" borderId="0" xfId="1" applyNumberFormat="1" applyFont="1" applyFill="1"/>
    <xf numFmtId="0" fontId="0" fillId="5" borderId="0" xfId="0" applyFill="1"/>
    <xf numFmtId="0" fontId="0" fillId="3" borderId="0" xfId="0" applyFill="1"/>
    <xf numFmtId="164" fontId="6" fillId="7" borderId="0" xfId="0" applyNumberFormat="1" applyFont="1" applyFill="1"/>
    <xf numFmtId="164" fontId="6" fillId="8" borderId="0" xfId="1" applyNumberFormat="1" applyFont="1" applyFill="1"/>
    <xf numFmtId="164" fontId="0" fillId="9" borderId="0" xfId="1" applyNumberFormat="1" applyFont="1" applyFill="1"/>
    <xf numFmtId="164" fontId="0" fillId="5" borderId="0" xfId="1" applyNumberFormat="1" applyFont="1" applyFill="1"/>
    <xf numFmtId="165" fontId="0" fillId="6" borderId="0" xfId="0" applyNumberFormat="1" applyFill="1"/>
    <xf numFmtId="5" fontId="0" fillId="6" borderId="0" xfId="1" applyNumberFormat="1" applyFont="1" applyFill="1"/>
    <xf numFmtId="164" fontId="0" fillId="7" borderId="0" xfId="0" applyNumberFormat="1" applyFill="1"/>
    <xf numFmtId="164" fontId="0" fillId="8" borderId="0" xfId="1" applyNumberFormat="1" applyFont="1" applyFill="1"/>
    <xf numFmtId="164" fontId="0" fillId="4" borderId="0" xfId="1" applyNumberFormat="1" applyFont="1" applyFill="1"/>
    <xf numFmtId="164" fontId="2" fillId="4" borderId="0" xfId="0" applyNumberFormat="1" applyFont="1" applyFill="1"/>
    <xf numFmtId="165" fontId="2" fillId="6" borderId="0" xfId="0" applyNumberFormat="1" applyFont="1" applyFill="1"/>
    <xf numFmtId="164" fontId="2" fillId="6" borderId="0" xfId="1" applyNumberFormat="1" applyFont="1" applyFill="1"/>
    <xf numFmtId="0" fontId="2" fillId="6" borderId="0" xfId="0" applyFont="1" applyFill="1"/>
    <xf numFmtId="0" fontId="2" fillId="0" borderId="0" xfId="0" applyFont="1"/>
    <xf numFmtId="167" fontId="2" fillId="6" borderId="0" xfId="1" applyNumberFormat="1" applyFont="1" applyFill="1" applyAlignment="1">
      <alignment horizontal="right"/>
    </xf>
    <xf numFmtId="170" fontId="2" fillId="6" borderId="0" xfId="1" applyNumberFormat="1" applyFont="1" applyFill="1" applyAlignment="1">
      <alignment horizontal="right"/>
    </xf>
    <xf numFmtId="171" fontId="2" fillId="6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164" fontId="5" fillId="0" borderId="0" xfId="1" applyNumberFormat="1" applyFont="1" applyFill="1"/>
    <xf numFmtId="164" fontId="0" fillId="10" borderId="0" xfId="1" applyNumberFormat="1" applyFont="1" applyFill="1"/>
    <xf numFmtId="164" fontId="0" fillId="10" borderId="0" xfId="0" applyNumberFormat="1" applyFill="1"/>
    <xf numFmtId="0" fontId="0" fillId="8" borderId="0" xfId="0" applyFill="1"/>
    <xf numFmtId="164" fontId="9" fillId="0" borderId="0" xfId="0" applyNumberFormat="1" applyFont="1"/>
    <xf numFmtId="164" fontId="2" fillId="8" borderId="0" xfId="1" applyNumberFormat="1" applyFont="1" applyFill="1"/>
    <xf numFmtId="0" fontId="2" fillId="8" borderId="0" xfId="0" applyFont="1" applyFill="1"/>
    <xf numFmtId="164" fontId="0" fillId="7" borderId="0" xfId="1" applyNumberFormat="1" applyFont="1" applyFill="1"/>
    <xf numFmtId="0" fontId="0" fillId="7" borderId="0" xfId="0" applyFill="1"/>
    <xf numFmtId="164" fontId="2" fillId="7" borderId="0" xfId="1" applyNumberFormat="1" applyFont="1" applyFill="1"/>
    <xf numFmtId="164" fontId="2" fillId="7" borderId="0" xfId="1" applyNumberFormat="1" applyFont="1" applyFill="1" applyAlignment="1">
      <alignment horizontal="right"/>
    </xf>
    <xf numFmtId="0" fontId="2" fillId="7" borderId="0" xfId="0" applyFont="1" applyFill="1"/>
    <xf numFmtId="164" fontId="5" fillId="0" borderId="0" xfId="0" applyNumberFormat="1" applyFont="1"/>
    <xf numFmtId="164" fontId="2" fillId="0" borderId="0" xfId="0" applyNumberFormat="1" applyFont="1"/>
    <xf numFmtId="164" fontId="2" fillId="0" borderId="0" xfId="1" applyNumberFormat="1" applyFont="1"/>
    <xf numFmtId="164" fontId="2" fillId="0" borderId="2" xfId="0" applyNumberFormat="1" applyFont="1" applyBorder="1"/>
    <xf numFmtId="0" fontId="2" fillId="0" borderId="2" xfId="0" applyFont="1" applyBorder="1"/>
    <xf numFmtId="0" fontId="10" fillId="0" borderId="0" xfId="0" applyFont="1"/>
    <xf numFmtId="0" fontId="11" fillId="0" borderId="0" xfId="0" applyFont="1"/>
    <xf numFmtId="164" fontId="11" fillId="0" borderId="0" xfId="0" applyNumberFormat="1" applyFont="1"/>
    <xf numFmtId="164" fontId="11" fillId="0" borderId="0" xfId="1" applyNumberFormat="1" applyFont="1"/>
    <xf numFmtId="0" fontId="12" fillId="0" borderId="0" xfId="0" applyFont="1"/>
    <xf numFmtId="164" fontId="12" fillId="0" borderId="0" xfId="1" applyNumberFormat="1" applyFont="1"/>
    <xf numFmtId="165" fontId="11" fillId="0" borderId="0" xfId="0" applyNumberFormat="1" applyFont="1"/>
    <xf numFmtId="11" fontId="12" fillId="0" borderId="0" xfId="0" applyNumberFormat="1" applyFont="1"/>
    <xf numFmtId="165" fontId="12" fillId="0" borderId="0" xfId="0" applyNumberFormat="1" applyFont="1"/>
    <xf numFmtId="164" fontId="12" fillId="0" borderId="0" xfId="0" applyNumberFormat="1" applyFont="1"/>
    <xf numFmtId="0" fontId="13" fillId="11" borderId="0" xfId="0" applyFont="1" applyFill="1" applyAlignment="1">
      <alignment horizontal="right"/>
    </xf>
    <xf numFmtId="0" fontId="14" fillId="11" borderId="0" xfId="0" applyFont="1" applyFill="1"/>
    <xf numFmtId="0" fontId="0" fillId="11" borderId="3" xfId="0" applyFill="1" applyBorder="1" applyAlignment="1">
      <alignment horizontal="centerContinuous"/>
    </xf>
    <xf numFmtId="0" fontId="13" fillId="11" borderId="3" xfId="0" applyFont="1" applyFill="1" applyBorder="1" applyAlignment="1">
      <alignment horizontal="centerContinuous"/>
    </xf>
    <xf numFmtId="43" fontId="0" fillId="0" borderId="0" xfId="0" applyNumberFormat="1"/>
    <xf numFmtId="0" fontId="0" fillId="12" borderId="0" xfId="0" applyFill="1"/>
    <xf numFmtId="10" fontId="0" fillId="0" borderId="0" xfId="0" applyNumberFormat="1"/>
    <xf numFmtId="166" fontId="5" fillId="12" borderId="0" xfId="1" applyNumberFormat="1" applyFont="1" applyFill="1"/>
    <xf numFmtId="172" fontId="2" fillId="6" borderId="0" xfId="1" applyNumberFormat="1" applyFont="1" applyFill="1"/>
    <xf numFmtId="164" fontId="15" fillId="0" borderId="0" xfId="0" applyNumberFormat="1" applyFont="1"/>
    <xf numFmtId="165" fontId="0" fillId="3" borderId="0" xfId="0" applyNumberFormat="1" applyFill="1"/>
    <xf numFmtId="5" fontId="0" fillId="3" borderId="0" xfId="1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172" fontId="2" fillId="6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5" fontId="0" fillId="0" borderId="0" xfId="0" applyNumberFormat="1"/>
    <xf numFmtId="167" fontId="0" fillId="0" borderId="0" xfId="0" applyNumberFormat="1"/>
    <xf numFmtId="165" fontId="1" fillId="8" borderId="0" xfId="0" applyNumberFormat="1" applyFont="1" applyFill="1"/>
    <xf numFmtId="0" fontId="6" fillId="0" borderId="0" xfId="0" applyFont="1"/>
    <xf numFmtId="164" fontId="5" fillId="12" borderId="0" xfId="1" applyNumberFormat="1" applyFont="1" applyFill="1"/>
    <xf numFmtId="164" fontId="16" fillId="8" borderId="0" xfId="1" applyNumberFormat="1" applyFont="1" applyFill="1"/>
    <xf numFmtId="165" fontId="2" fillId="3" borderId="0" xfId="1" applyNumberFormat="1" applyFont="1" applyFill="1"/>
    <xf numFmtId="165" fontId="0" fillId="3" borderId="0" xfId="1" applyNumberFormat="1" applyFont="1" applyFill="1"/>
    <xf numFmtId="0" fontId="15" fillId="0" borderId="0" xfId="0" applyFont="1"/>
    <xf numFmtId="164" fontId="0" fillId="6" borderId="0" xfId="1" applyNumberFormat="1" applyFont="1" applyFill="1"/>
    <xf numFmtId="164" fontId="0" fillId="9" borderId="4" xfId="1" applyNumberFormat="1" applyFont="1" applyFill="1" applyBorder="1"/>
    <xf numFmtId="167" fontId="0" fillId="6" borderId="4" xfId="1" applyNumberFormat="1" applyFont="1" applyFill="1" applyBorder="1"/>
    <xf numFmtId="168" fontId="2" fillId="6" borderId="4" xfId="1" applyNumberFormat="1" applyFont="1" applyFill="1" applyBorder="1" applyAlignment="1">
      <alignment horizontal="right"/>
    </xf>
    <xf numFmtId="169" fontId="2" fillId="6" borderId="4" xfId="1" applyNumberFormat="1" applyFont="1" applyFill="1" applyBorder="1" applyAlignment="1">
      <alignment horizontal="right"/>
    </xf>
    <xf numFmtId="0" fontId="0" fillId="6" borderId="4" xfId="0" applyFill="1" applyBorder="1"/>
    <xf numFmtId="164" fontId="0" fillId="9" borderId="0" xfId="1" applyNumberFormat="1" applyFont="1" applyFill="1" applyBorder="1"/>
    <xf numFmtId="167" fontId="0" fillId="6" borderId="0" xfId="1" applyNumberFormat="1" applyFont="1" applyFill="1" applyBorder="1"/>
    <xf numFmtId="168" fontId="2" fillId="6" borderId="0" xfId="1" applyNumberFormat="1" applyFont="1" applyFill="1" applyBorder="1" applyAlignment="1">
      <alignment horizontal="right"/>
    </xf>
    <xf numFmtId="169" fontId="2" fillId="6" borderId="0" xfId="1" applyNumberFormat="1" applyFont="1" applyFill="1" applyBorder="1" applyAlignment="1">
      <alignment horizontal="right"/>
    </xf>
    <xf numFmtId="164" fontId="0" fillId="9" borderId="5" xfId="1" applyNumberFormat="1" applyFont="1" applyFill="1" applyBorder="1"/>
    <xf numFmtId="167" fontId="0" fillId="6" borderId="5" xfId="1" applyNumberFormat="1" applyFont="1" applyFill="1" applyBorder="1"/>
    <xf numFmtId="168" fontId="2" fillId="6" borderId="5" xfId="1" applyNumberFormat="1" applyFont="1" applyFill="1" applyBorder="1" applyAlignment="1">
      <alignment horizontal="right"/>
    </xf>
    <xf numFmtId="169" fontId="2" fillId="6" borderId="5" xfId="1" applyNumberFormat="1" applyFont="1" applyFill="1" applyBorder="1" applyAlignment="1">
      <alignment horizontal="right"/>
    </xf>
    <xf numFmtId="0" fontId="0" fillId="6" borderId="5" xfId="0" applyFill="1" applyBorder="1"/>
    <xf numFmtId="0" fontId="2" fillId="3" borderId="0" xfId="0" quotePrefix="1" applyFont="1" applyFill="1" applyAlignment="1">
      <alignment horizontal="right"/>
    </xf>
    <xf numFmtId="0" fontId="17" fillId="0" borderId="0" xfId="0" applyFont="1"/>
    <xf numFmtId="164" fontId="2" fillId="6" borderId="2" xfId="0" applyNumberFormat="1" applyFont="1" applyFill="1" applyBorder="1"/>
    <xf numFmtId="0" fontId="2" fillId="6" borderId="2" xfId="0" applyFont="1" applyFill="1" applyBorder="1"/>
    <xf numFmtId="164" fontId="0" fillId="2" borderId="0" xfId="1" applyNumberFormat="1" applyFont="1" applyFill="1"/>
    <xf numFmtId="164" fontId="10" fillId="6" borderId="0" xfId="1" applyNumberFormat="1" applyFont="1" applyFill="1"/>
    <xf numFmtId="0" fontId="10" fillId="6" borderId="0" xfId="0" applyFont="1" applyFill="1"/>
    <xf numFmtId="164" fontId="2" fillId="2" borderId="0" xfId="0" applyNumberFormat="1" applyFont="1" applyFill="1"/>
    <xf numFmtId="0" fontId="2" fillId="5" borderId="0" xfId="0" applyFont="1" applyFill="1" applyAlignment="1">
      <alignment horizontal="right"/>
    </xf>
    <xf numFmtId="0" fontId="2" fillId="2" borderId="0" xfId="0" applyFont="1" applyFill="1"/>
    <xf numFmtId="164" fontId="11" fillId="6" borderId="0" xfId="1" applyNumberFormat="1" applyFont="1" applyFill="1"/>
    <xf numFmtId="0" fontId="11" fillId="6" borderId="0" xfId="0" applyFont="1" applyFill="1"/>
    <xf numFmtId="164" fontId="12" fillId="6" borderId="0" xfId="1" applyNumberFormat="1" applyFont="1" applyFill="1"/>
    <xf numFmtId="0" fontId="12" fillId="6" borderId="0" xfId="0" applyFont="1" applyFill="1"/>
    <xf numFmtId="164" fontId="11" fillId="6" borderId="0" xfId="0" applyNumberFormat="1" applyFont="1" applyFill="1"/>
    <xf numFmtId="164" fontId="12" fillId="6" borderId="0" xfId="0" applyNumberFormat="1" applyFont="1" applyFill="1"/>
    <xf numFmtId="173" fontId="0" fillId="0" borderId="0" xfId="0" applyNumberFormat="1"/>
    <xf numFmtId="174" fontId="0" fillId="3" borderId="0" xfId="0" applyNumberFormat="1" applyFill="1"/>
    <xf numFmtId="175" fontId="0" fillId="3" borderId="0" xfId="0" applyNumberFormat="1" applyFill="1"/>
    <xf numFmtId="173" fontId="2" fillId="6" borderId="1" xfId="1" applyNumberFormat="1" applyFont="1" applyFill="1" applyBorder="1"/>
    <xf numFmtId="0" fontId="2" fillId="6" borderId="1" xfId="0" applyFont="1" applyFill="1" applyBorder="1"/>
    <xf numFmtId="173" fontId="0" fillId="6" borderId="0" xfId="1" applyNumberFormat="1" applyFont="1" applyFill="1"/>
    <xf numFmtId="173" fontId="1" fillId="6" borderId="0" xfId="1" applyNumberFormat="1" applyFont="1" applyFill="1"/>
    <xf numFmtId="173" fontId="15" fillId="6" borderId="0" xfId="1" applyNumberFormat="1" applyFont="1" applyFill="1"/>
    <xf numFmtId="0" fontId="15" fillId="6" borderId="0" xfId="0" applyFont="1" applyFill="1"/>
    <xf numFmtId="0" fontId="13" fillId="13" borderId="0" xfId="0" applyFont="1" applyFill="1" applyAlignment="1">
      <alignment horizontal="right"/>
    </xf>
    <xf numFmtId="0" fontId="13" fillId="13" borderId="0" xfId="0" applyFont="1" applyFill="1"/>
    <xf numFmtId="3" fontId="0" fillId="0" borderId="0" xfId="0" applyNumberFormat="1"/>
    <xf numFmtId="164" fontId="0" fillId="8" borderId="0" xfId="0" applyNumberFormat="1" applyFill="1"/>
    <xf numFmtId="165" fontId="0" fillId="8" borderId="0" xfId="0" applyNumberFormat="1" applyFill="1"/>
    <xf numFmtId="0" fontId="2" fillId="12" borderId="0" xfId="0" applyFont="1" applyFill="1"/>
    <xf numFmtId="10" fontId="2" fillId="12" borderId="0" xfId="0" applyNumberFormat="1" applyFont="1" applyFill="1"/>
    <xf numFmtId="0" fontId="13" fillId="14" borderId="0" xfId="0" applyFont="1" applyFill="1"/>
    <xf numFmtId="0" fontId="13" fillId="14" borderId="0" xfId="0" applyFont="1" applyFill="1" applyAlignment="1">
      <alignment horizontal="right"/>
    </xf>
    <xf numFmtId="0" fontId="13" fillId="1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64" fontId="0" fillId="0" borderId="7" xfId="1" applyNumberFormat="1" applyFont="1" applyBorder="1" applyAlignment="1">
      <alignment vertical="center"/>
    </xf>
    <xf numFmtId="0" fontId="2" fillId="15" borderId="0" xfId="0" applyFont="1" applyFill="1"/>
    <xf numFmtId="0" fontId="0" fillId="15" borderId="0" xfId="0" applyFill="1"/>
    <xf numFmtId="43" fontId="0" fillId="15" borderId="0" xfId="0" applyNumberFormat="1" applyFill="1"/>
    <xf numFmtId="165" fontId="0" fillId="15" borderId="0" xfId="0" applyNumberFormat="1" applyFill="1"/>
    <xf numFmtId="43" fontId="1" fillId="15" borderId="0" xfId="1" applyFont="1" applyFill="1"/>
    <xf numFmtId="0" fontId="2" fillId="16" borderId="0" xfId="0" applyFont="1" applyFill="1"/>
    <xf numFmtId="0" fontId="2" fillId="16" borderId="0" xfId="0" applyFont="1" applyFill="1" applyAlignment="1">
      <alignment horizontal="right"/>
    </xf>
    <xf numFmtId="0" fontId="0" fillId="16" borderId="0" xfId="0" applyFill="1"/>
    <xf numFmtId="43" fontId="0" fillId="16" borderId="0" xfId="1" applyFont="1" applyFill="1"/>
    <xf numFmtId="165" fontId="0" fillId="16" borderId="0" xfId="0" applyNumberFormat="1" applyFill="1"/>
    <xf numFmtId="0" fontId="2" fillId="16" borderId="1" xfId="0" applyFont="1" applyFill="1" applyBorder="1"/>
    <xf numFmtId="43" fontId="2" fillId="16" borderId="0" xfId="1" applyFont="1" applyFill="1"/>
    <xf numFmtId="165" fontId="2" fillId="16" borderId="0" xfId="0" applyNumberFormat="1" applyFont="1" applyFill="1"/>
    <xf numFmtId="43" fontId="0" fillId="16" borderId="0" xfId="0" applyNumberFormat="1" applyFill="1"/>
    <xf numFmtId="43" fontId="2" fillId="16" borderId="1" xfId="0" applyNumberFormat="1" applyFont="1" applyFill="1" applyBorder="1"/>
    <xf numFmtId="0" fontId="18" fillId="0" borderId="0" xfId="0" applyFont="1"/>
    <xf numFmtId="43" fontId="0" fillId="8" borderId="0" xfId="1" applyFont="1" applyFill="1"/>
    <xf numFmtId="164" fontId="11" fillId="0" borderId="0" xfId="1" applyNumberFormat="1" applyFont="1" applyFill="1"/>
    <xf numFmtId="164" fontId="2" fillId="0" borderId="0" xfId="1" applyNumberFormat="1" applyFont="1" applyFill="1"/>
    <xf numFmtId="164" fontId="10" fillId="0" borderId="0" xfId="1" applyNumberFormat="1" applyFont="1" applyFill="1"/>
    <xf numFmtId="0" fontId="2" fillId="16" borderId="0" xfId="0" quotePrefix="1" applyFont="1" applyFill="1" applyAlignment="1">
      <alignment horizontal="right"/>
    </xf>
    <xf numFmtId="0" fontId="0" fillId="12" borderId="8" xfId="0" quotePrefix="1" applyFill="1" applyBorder="1" applyAlignment="1">
      <alignment vertical="center" wrapText="1"/>
    </xf>
    <xf numFmtId="43" fontId="0" fillId="2" borderId="0" xfId="0" applyNumberFormat="1" applyFill="1"/>
    <xf numFmtId="164" fontId="0" fillId="6" borderId="0" xfId="0" applyNumberFormat="1" applyFill="1"/>
    <xf numFmtId="164" fontId="15" fillId="0" borderId="0" xfId="1" applyNumberFormat="1" applyFont="1" applyFill="1"/>
    <xf numFmtId="164" fontId="0" fillId="6" borderId="6" xfId="1" applyNumberFormat="1" applyFont="1" applyFill="1" applyBorder="1" applyAlignment="1">
      <alignment vertical="center"/>
    </xf>
    <xf numFmtId="164" fontId="0" fillId="6" borderId="7" xfId="1" applyNumberFormat="1" applyFont="1" applyFill="1" applyBorder="1" applyAlignment="1">
      <alignment vertical="center"/>
    </xf>
    <xf numFmtId="0" fontId="0" fillId="0" borderId="9" xfId="0" applyBorder="1"/>
    <xf numFmtId="0" fontId="2" fillId="0" borderId="10" xfId="0" applyFont="1" applyBorder="1" applyAlignment="1">
      <alignment horizontal="right"/>
    </xf>
    <xf numFmtId="164" fontId="0" fillId="0" borderId="10" xfId="0" applyNumberFormat="1" applyBorder="1"/>
    <xf numFmtId="164" fontId="0" fillId="0" borderId="11" xfId="0" applyNumberFormat="1" applyBorder="1"/>
    <xf numFmtId="0" fontId="2" fillId="17" borderId="0" xfId="0" applyFont="1" applyFill="1" applyAlignment="1">
      <alignment horizontal="right"/>
    </xf>
    <xf numFmtId="0" fontId="0" fillId="17" borderId="0" xfId="0" applyFill="1"/>
    <xf numFmtId="169" fontId="2" fillId="17" borderId="0" xfId="1" applyNumberFormat="1" applyFont="1" applyFill="1" applyAlignment="1">
      <alignment horizontal="right"/>
    </xf>
    <xf numFmtId="168" fontId="2" fillId="17" borderId="0" xfId="1" applyNumberFormat="1" applyFont="1" applyFill="1" applyAlignment="1">
      <alignment horizontal="right"/>
    </xf>
    <xf numFmtId="165" fontId="0" fillId="17" borderId="0" xfId="0" applyNumberFormat="1" applyFill="1"/>
    <xf numFmtId="164" fontId="6" fillId="6" borderId="0" xfId="1" applyNumberFormat="1" applyFont="1" applyFill="1"/>
    <xf numFmtId="167" fontId="2" fillId="8" borderId="0" xfId="1" applyNumberFormat="1" applyFont="1" applyFill="1" applyAlignment="1">
      <alignment horizontal="right"/>
    </xf>
    <xf numFmtId="167" fontId="6" fillId="8" borderId="0" xfId="1" applyNumberFormat="1" applyFont="1" applyFill="1" applyAlignment="1">
      <alignment horizontal="right"/>
    </xf>
    <xf numFmtId="0" fontId="0" fillId="11" borderId="0" xfId="0" applyFill="1" applyAlignment="1">
      <alignment horizontal="centerContinuous"/>
    </xf>
    <xf numFmtId="0" fontId="13" fillId="11" borderId="12" xfId="0" applyFont="1" applyFill="1" applyBorder="1" applyAlignment="1">
      <alignment horizontal="right"/>
    </xf>
    <xf numFmtId="177" fontId="6" fillId="8" borderId="0" xfId="1" applyNumberFormat="1" applyFont="1" applyFill="1" applyAlignment="1">
      <alignment horizontal="right"/>
    </xf>
    <xf numFmtId="177" fontId="2" fillId="7" borderId="0" xfId="1" applyNumberFormat="1" applyFont="1" applyFill="1" applyAlignment="1">
      <alignment horizontal="right"/>
    </xf>
    <xf numFmtId="177" fontId="1" fillId="7" borderId="0" xfId="1" applyNumberFormat="1" applyFont="1" applyFill="1" applyAlignment="1">
      <alignment horizontal="right"/>
    </xf>
    <xf numFmtId="0" fontId="16" fillId="0" borderId="0" xfId="0" applyFont="1"/>
    <xf numFmtId="165" fontId="16" fillId="0" borderId="0" xfId="0" applyNumberFormat="1" applyFont="1"/>
    <xf numFmtId="0" fontId="0" fillId="18" borderId="0" xfId="0" applyFill="1"/>
    <xf numFmtId="164" fontId="10" fillId="0" borderId="0" xfId="1" applyNumberFormat="1" applyFont="1"/>
    <xf numFmtId="165" fontId="10" fillId="0" borderId="0" xfId="1" applyNumberFormat="1" applyFont="1"/>
    <xf numFmtId="0" fontId="0" fillId="6" borderId="0" xfId="1" applyNumberFormat="1" applyFont="1" applyFill="1"/>
    <xf numFmtId="0" fontId="0" fillId="0" borderId="7" xfId="0" quotePrefix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164" fontId="0" fillId="0" borderId="13" xfId="1" applyNumberFormat="1" applyFont="1" applyBorder="1" applyAlignment="1">
      <alignment vertical="center"/>
    </xf>
    <xf numFmtId="164" fontId="0" fillId="6" borderId="13" xfId="1" applyNumberFormat="1" applyFont="1" applyFill="1" applyBorder="1" applyAlignment="1">
      <alignment vertical="center"/>
    </xf>
    <xf numFmtId="177" fontId="2" fillId="8" borderId="0" xfId="1" applyNumberFormat="1" applyFont="1" applyFill="1" applyAlignment="1">
      <alignment horizontal="right"/>
    </xf>
    <xf numFmtId="178" fontId="2" fillId="8" borderId="0" xfId="1" applyNumberFormat="1" applyFont="1" applyFill="1" applyAlignment="1">
      <alignment horizontal="right"/>
    </xf>
    <xf numFmtId="0" fontId="16" fillId="8" borderId="0" xfId="0" applyFont="1" applyFill="1"/>
    <xf numFmtId="167" fontId="19" fillId="8" borderId="0" xfId="1" applyNumberFormat="1" applyFont="1" applyFill="1" applyAlignment="1">
      <alignment horizontal="right"/>
    </xf>
    <xf numFmtId="167" fontId="16" fillId="0" borderId="0" xfId="0" applyNumberFormat="1" applyFont="1"/>
    <xf numFmtId="0" fontId="16" fillId="12" borderId="0" xfId="0" applyFont="1" applyFill="1"/>
    <xf numFmtId="176" fontId="2" fillId="3" borderId="0" xfId="0" applyNumberFormat="1" applyFont="1" applyFill="1"/>
    <xf numFmtId="175" fontId="2" fillId="3" borderId="0" xfId="0" applyNumberFormat="1" applyFont="1" applyFill="1"/>
    <xf numFmtId="174" fontId="2" fillId="3" borderId="0" xfId="0" applyNumberFormat="1" applyFont="1" applyFill="1"/>
    <xf numFmtId="165" fontId="0" fillId="0" borderId="0" xfId="2" applyNumberFormat="1" applyFont="1"/>
    <xf numFmtId="165" fontId="2" fillId="0" borderId="0" xfId="2" applyNumberFormat="1" applyFont="1"/>
    <xf numFmtId="0" fontId="20" fillId="0" borderId="0" xfId="0" applyFont="1"/>
    <xf numFmtId="0" fontId="9" fillId="6" borderId="0" xfId="0" applyFont="1" applyFill="1"/>
    <xf numFmtId="164" fontId="9" fillId="0" borderId="0" xfId="1" applyNumberFormat="1" applyFont="1"/>
    <xf numFmtId="165" fontId="9" fillId="0" borderId="0" xfId="2" applyNumberFormat="1" applyFont="1"/>
    <xf numFmtId="0" fontId="9" fillId="0" borderId="0" xfId="0" applyFont="1"/>
    <xf numFmtId="0" fontId="21" fillId="6" borderId="0" xfId="0" applyFont="1" applyFill="1"/>
    <xf numFmtId="164" fontId="21" fillId="0" borderId="0" xfId="1" applyNumberFormat="1" applyFont="1"/>
    <xf numFmtId="165" fontId="21" fillId="0" borderId="0" xfId="2" applyNumberFormat="1" applyFont="1"/>
    <xf numFmtId="0" fontId="21" fillId="0" borderId="0" xfId="0" applyFont="1"/>
    <xf numFmtId="164" fontId="21" fillId="0" borderId="0" xfId="0" applyNumberFormat="1" applyFont="1"/>
    <xf numFmtId="0" fontId="22" fillId="6" borderId="0" xfId="0" applyFont="1" applyFill="1"/>
    <xf numFmtId="164" fontId="22" fillId="0" borderId="0" xfId="1" applyNumberFormat="1" applyFont="1"/>
    <xf numFmtId="165" fontId="22" fillId="0" borderId="0" xfId="2" applyNumberFormat="1" applyFont="1"/>
    <xf numFmtId="0" fontId="22" fillId="0" borderId="0" xfId="0" applyFont="1"/>
    <xf numFmtId="164" fontId="2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rgbClr val="00B050"/>
                </a:solidFill>
              </a:rPr>
              <a:t>SẢN</a:t>
            </a:r>
            <a:r>
              <a:rPr lang="en-US" sz="2500" b="1" baseline="0">
                <a:solidFill>
                  <a:srgbClr val="00B050"/>
                </a:solidFill>
              </a:rPr>
              <a:t> LƯỢNG SẢN PHẨM CHÍNH</a:t>
            </a:r>
            <a:endParaRPr lang="en-US" sz="25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40359368598188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58218263233537"/>
          <c:y val="0.13760306846824016"/>
          <c:w val="0.80541460522243546"/>
          <c:h val="0.84363540264844983"/>
        </c:manualLayout>
      </c:layout>
      <c:barChart>
        <c:barDir val="bar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357CB99-96CF-4DAF-AC82-C9B1371CD1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23-463D-8621-4835F43C16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C1C00B-99D5-4164-A7FA-2D4566A6C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23-463D-8621-4835F43C16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E2A944-F4F6-41D1-89E0-A02793322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923-463D-8621-4835F43C16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D431C7-F0E3-47E0-985E-E44176ED8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923-463D-8621-4835F43C16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34E80D8-9B38-4F96-8ED7-83D1B0CCA5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923-463D-8621-4835F43C16C0}"/>
                </c:ext>
              </c:extLst>
            </c:dLbl>
            <c:numFmt formatCode="_(* #,##0,_);_(* \(#,##0,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'S6'!$A$8:$A$12</c:f>
              <c:strCache>
                <c:ptCount val="5"/>
                <c:pt idx="0">
                  <c:v>rPET</c:v>
                </c:pt>
                <c:pt idx="1">
                  <c:v>rHDPE thổi</c:v>
                </c:pt>
                <c:pt idx="2">
                  <c:v>rHDPE ép</c:v>
                </c:pt>
                <c:pt idx="3">
                  <c:v>rPP</c:v>
                </c:pt>
                <c:pt idx="4">
                  <c:v>Xơ sợi</c:v>
                </c:pt>
              </c:strCache>
            </c:strRef>
          </c:cat>
          <c:val>
            <c:numRef>
              <c:f>'S6'!$B$8:$B$12</c:f>
              <c:numCache>
                <c:formatCode>_(* #,##0_);_(* \(#,##0\);_(* "-"??_);_(@_)</c:formatCode>
                <c:ptCount val="5"/>
                <c:pt idx="0">
                  <c:v>4678780</c:v>
                </c:pt>
                <c:pt idx="1">
                  <c:v>927000</c:v>
                </c:pt>
                <c:pt idx="2">
                  <c:v>155750</c:v>
                </c:pt>
                <c:pt idx="3">
                  <c:v>107440</c:v>
                </c:pt>
                <c:pt idx="4">
                  <c:v>100000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'S6'!$U$8:$U$12</c15:f>
                <c15:dlblRangeCache>
                  <c:ptCount val="5"/>
                  <c:pt idx="0">
                    <c:v>4,679 | 78.4%</c:v>
                  </c:pt>
                  <c:pt idx="1">
                    <c:v>927 | 15.5%</c:v>
                  </c:pt>
                  <c:pt idx="2">
                    <c:v>156 | 2.6%</c:v>
                  </c:pt>
                  <c:pt idx="3">
                    <c:v>107 | 1.8%</c:v>
                  </c:pt>
                  <c:pt idx="4">
                    <c:v>100 | 1.7%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B923-463D-8621-4835F43C16C0}"/>
            </c:ext>
          </c:extLst>
        </c:ser>
        <c:ser>
          <c:idx val="1"/>
          <c:order val="1"/>
          <c:tx>
            <c:v>Thực tế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9B09B4F-213B-4B85-B5E4-79252868AE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923-463D-8621-4835F43C16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6F60F3-4195-4EF2-A181-CA410E9D28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923-463D-8621-4835F43C16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052626C-3C58-461E-BB30-3A120DF41C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923-463D-8621-4835F43C16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F7313A-852F-4321-B8B0-1A23B46DE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923-463D-8621-4835F43C16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CFFD99-EC1B-4E4B-82FF-24248168BC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923-463D-8621-4835F43C16C0}"/>
                </c:ext>
              </c:extLst>
            </c:dLbl>
            <c:numFmt formatCode="_(* #,##0,_);_(* \(#,##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'S6'!$A$8:$A$12</c:f>
              <c:strCache>
                <c:ptCount val="5"/>
                <c:pt idx="0">
                  <c:v>rPET</c:v>
                </c:pt>
                <c:pt idx="1">
                  <c:v>rHDPE thổi</c:v>
                </c:pt>
                <c:pt idx="2">
                  <c:v>rHDPE ép</c:v>
                </c:pt>
                <c:pt idx="3">
                  <c:v>rPP</c:v>
                </c:pt>
                <c:pt idx="4">
                  <c:v>Xơ sợi</c:v>
                </c:pt>
              </c:strCache>
            </c:strRef>
          </c:cat>
          <c:val>
            <c:numRef>
              <c:f>'S6'!$C$8:$C$12</c:f>
              <c:numCache>
                <c:formatCode>_(* #,##0_);_(* \(#,##0\);_(* "-"??_);_(@_)</c:formatCode>
                <c:ptCount val="5"/>
                <c:pt idx="0">
                  <c:v>2027640</c:v>
                </c:pt>
                <c:pt idx="1">
                  <c:v>268725.00000000006</c:v>
                </c:pt>
                <c:pt idx="2">
                  <c:v>186750</c:v>
                </c:pt>
                <c:pt idx="3">
                  <c:v>0</c:v>
                </c:pt>
                <c:pt idx="4">
                  <c:v>27300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'S6'!$V$8:$V$12</c15:f>
                <c15:dlblRangeCache>
                  <c:ptCount val="5"/>
                  <c:pt idx="0">
                    <c:v>2,028 | 80.8%</c:v>
                  </c:pt>
                  <c:pt idx="1">
                    <c:v>269 | 10.7%</c:v>
                  </c:pt>
                  <c:pt idx="2">
                    <c:v>187 | 7.4%</c:v>
                  </c:pt>
                  <c:pt idx="3">
                    <c:v> | 0.0%</c:v>
                  </c:pt>
                  <c:pt idx="4">
                    <c:v>27 | 1.1%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923-463D-8621-4835F43C1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0"/>
        <c:axId val="945590704"/>
        <c:axId val="945589264"/>
      </c:barChart>
      <c:catAx>
        <c:axId val="9455907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89264"/>
        <c:crosses val="autoZero"/>
        <c:auto val="1"/>
        <c:lblAlgn val="ctr"/>
        <c:lblOffset val="100"/>
        <c:noMultiLvlLbl val="0"/>
      </c:catAx>
      <c:valAx>
        <c:axId val="945589264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770109972001482"/>
          <c:y val="8.1495249647470139E-2"/>
          <c:w val="0.22054532359607915"/>
          <c:h val="6.9332717789029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7.1954189288836817E-2"/>
          <c:w val="0.99486621846467527"/>
          <c:h val="0.800415089179948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'S6'!$C$48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'S6'!$A$49:$B$68</c:f>
            </c:multiLvlStrRef>
          </c:cat>
          <c:val>
            <c:numRef>
              <c:f>'S6'!$C$49:$C$68</c:f>
            </c:numRef>
          </c:val>
          <c:extLst>
            <c:ext xmlns:c16="http://schemas.microsoft.com/office/drawing/2014/chart" uri="{C3380CC4-5D6E-409C-BE32-E72D297353CC}">
              <c16:uniqueId val="{00000001-D782-4A1B-A988-2153EE4DE0A0}"/>
            </c:ext>
          </c:extLst>
        </c:ser>
        <c:ser>
          <c:idx val="1"/>
          <c:order val="1"/>
          <c:tx>
            <c:strRef>
              <c:f>'S6'!$D$48</c:f>
              <c:strCache>
                <c:ptCount val="1"/>
                <c:pt idx="0">
                  <c:v>Hidden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'S6'!$A$49:$B$68</c:f>
            </c:multiLvlStrRef>
          </c:cat>
          <c:val>
            <c:numRef>
              <c:f>'S6'!$D$49:$D$68</c:f>
            </c:numRef>
          </c:val>
          <c:extLst>
            <c:ext xmlns:c16="http://schemas.microsoft.com/office/drawing/2014/chart" uri="{C3380CC4-5D6E-409C-BE32-E72D297353CC}">
              <c16:uniqueId val="{00000002-D782-4A1B-A988-2153EE4DE0A0}"/>
            </c:ext>
          </c:extLst>
        </c:ser>
        <c:ser>
          <c:idx val="2"/>
          <c:order val="2"/>
          <c:tx>
            <c:strRef>
              <c:f>'S6'!$E$48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'S6'!$A$49:$B$68</c:f>
            </c:multiLvlStrRef>
          </c:cat>
          <c:val>
            <c:numRef>
              <c:f>'S6'!$E$49:$E$68</c:f>
            </c:numRef>
          </c:val>
          <c:extLst>
            <c:ext xmlns:c16="http://schemas.microsoft.com/office/drawing/2014/chart" uri="{C3380CC4-5D6E-409C-BE32-E72D297353CC}">
              <c16:uniqueId val="{00000006-D782-4A1B-A988-2153EE4DE0A0}"/>
            </c:ext>
          </c:extLst>
        </c:ser>
        <c:ser>
          <c:idx val="3"/>
          <c:order val="3"/>
          <c:tx>
            <c:strRef>
              <c:f>'S6'!$F$48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'S6'!$A$49:$B$68</c:f>
            </c:multiLvlStrRef>
          </c:cat>
          <c:val>
            <c:numRef>
              <c:f>'S6'!$F$49:$F$68</c:f>
            </c:numRef>
          </c:val>
          <c:extLst>
            <c:ext xmlns:c16="http://schemas.microsoft.com/office/drawing/2014/chart" uri="{C3380CC4-5D6E-409C-BE32-E72D297353CC}">
              <c16:uniqueId val="{0000000D-D782-4A1B-A988-2153EE4DE0A0}"/>
            </c:ext>
          </c:extLst>
        </c:ser>
        <c:ser>
          <c:idx val="4"/>
          <c:order val="4"/>
          <c:tx>
            <c:strRef>
              <c:f>'S6'!$G$48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'S6'!$A$49:$B$68</c:f>
            </c:multiLvlStrRef>
          </c:cat>
          <c:val>
            <c:numRef>
              <c:f>'S6'!$G$49:$G$68</c:f>
            </c:numRef>
          </c:val>
          <c:extLst>
            <c:ext xmlns:c16="http://schemas.microsoft.com/office/drawing/2014/chart" uri="{C3380CC4-5D6E-409C-BE32-E72D297353CC}">
              <c16:uniqueId val="{00000010-D782-4A1B-A988-2153EE4D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3017138434919806"/>
          <c:w val="1"/>
          <c:h val="0.563361227492970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'S6'!$C$102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048190976199894E-3"/>
                  <c:y val="-0.331984233989389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'S6'!$B$103:$B$109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'S6'!$C$103:$C$109</c:f>
              <c:numCache>
                <c:formatCode>_(* #,##0,,,_);_(* \(#,##0,,,\);;_(@_)</c:formatCode>
                <c:ptCount val="7"/>
                <c:pt idx="0">
                  <c:v>209261952499.99997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C-46E0-8009-000AD0B62F8B}"/>
            </c:ext>
          </c:extLst>
        </c:ser>
        <c:ser>
          <c:idx val="1"/>
          <c:order val="1"/>
          <c:tx>
            <c:strRef>
              <c:f>'S6'!$D$102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'S6'!$B$103:$B$109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'S6'!$D$103:$D$109</c:f>
              <c:numCache>
                <c:formatCode>_(* #,##0,,,_);_(* \(#,##0,,,\);;_(@_)</c:formatCode>
                <c:ptCount val="7"/>
                <c:pt idx="1">
                  <c:v>98749975929.021225</c:v>
                </c:pt>
                <c:pt idx="2">
                  <c:v>97758074461.472961</c:v>
                </c:pt>
                <c:pt idx="3">
                  <c:v>90760246088.454956</c:v>
                </c:pt>
                <c:pt idx="4">
                  <c:v>90760246088.454956</c:v>
                </c:pt>
                <c:pt idx="5">
                  <c:v>88347880801.999985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C-46E0-8009-000AD0B62F8B}"/>
            </c:ext>
          </c:extLst>
        </c:ser>
        <c:ser>
          <c:idx val="2"/>
          <c:order val="2"/>
          <c:tx>
            <c:strRef>
              <c:f>'S6'!$E$102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1.3048190976199894E-3"/>
                  <c:y val="-5.6606359135326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7C-46E0-8009-000AD0B62F8B}"/>
                </c:ext>
              </c:extLst>
            </c:dLbl>
            <c:dLbl>
              <c:idx val="5"/>
              <c:layout>
                <c:manualLayout>
                  <c:x val="0"/>
                  <c:y val="-6.8766996506669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'S6'!$B$103:$B$109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'S6'!$E$103:$E$109</c:f>
              <c:numCache>
                <c:formatCode>[Color10]\▲_(* #,##0.0,,,_);_(* \(#,##0.0,,,\);;_(@_)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3432764546.5450501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C-46E0-8009-000AD0B62F8B}"/>
            </c:ext>
          </c:extLst>
        </c:ser>
        <c:ser>
          <c:idx val="3"/>
          <c:order val="3"/>
          <c:tx>
            <c:strRef>
              <c:f>'S6'!$F$102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399788E-3"/>
                  <c:y val="-0.172397735645670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7C-46E0-8009-000AD0B62F8B}"/>
                </c:ext>
              </c:extLst>
            </c:dLbl>
            <c:dLbl>
              <c:idx val="3"/>
              <c:layout>
                <c:manualLayout>
                  <c:x val="-2.6096381952399788E-3"/>
                  <c:y val="0.1134187740451983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7C-46E0-8009-000AD0B62F8B}"/>
                </c:ext>
              </c:extLst>
            </c:dLbl>
            <c:dLbl>
              <c:idx val="5"/>
              <c:layout>
                <c:manualLayout>
                  <c:x val="-9.5685628456920788E-17"/>
                  <c:y val="6.25009111314649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'S6'!$B$103:$B$109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'S6'!$F$103:$F$109</c:f>
              <c:numCache>
                <c:formatCode>[Color3]\▼_(* #,##0.0,,,_);_(* \(#,##0.0,,,\);;_(@_)</c:formatCode>
                <c:ptCount val="7"/>
                <c:pt idx="1">
                  <c:v>110511976570.97874</c:v>
                </c:pt>
                <c:pt idx="2">
                  <c:v>991901467.54826641</c:v>
                </c:pt>
                <c:pt idx="3">
                  <c:v>6997828373.0180006</c:v>
                </c:pt>
                <c:pt idx="4">
                  <c:v>0</c:v>
                </c:pt>
                <c:pt idx="5">
                  <c:v>5845129833.0000153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7C-46E0-8009-000AD0B62F8B}"/>
            </c:ext>
          </c:extLst>
        </c:ser>
        <c:ser>
          <c:idx val="4"/>
          <c:order val="4"/>
          <c:tx>
            <c:strRef>
              <c:f>'S6'!$G$102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37C-46E0-8009-000AD0B62F8B}"/>
              </c:ext>
            </c:extLst>
          </c:dPt>
          <c:dLbls>
            <c:dLbl>
              <c:idx val="6"/>
              <c:layout>
                <c:manualLayout>
                  <c:x val="1.3110863389550146E-3"/>
                  <c:y val="-0.1804394340197121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'S6'!$B$103:$B$109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'S6'!$G$103:$G$109</c:f>
              <c:numCache>
                <c:formatCode>_(* #,##0,,,_);_(* \(#,##0,,,\);;_(@_)</c:formatCode>
                <c:ptCount val="7"/>
                <c:pt idx="6">
                  <c:v>88347880801.999985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7C-46E0-8009-000AD0B62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AD-4061-B5B0-88E69B48DB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12722412765884"/>
                      <c:h val="0.18652408547941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8AD-4061-B5B0-88E69B48DBE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1577701560312"/>
                      <c:h val="0.15352078514938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8AD-4061-B5B0-88E69B48D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'S7'!$P$20:$Q$20</c:f>
              <c:numCache>
                <c:formatCode>_(* #,##0.0_);_(* \(#,##0.0\);_(* "-"??_);_(@_)</c:formatCode>
                <c:ptCount val="2"/>
                <c:pt idx="0">
                  <c:v>151.3713875</c:v>
                </c:pt>
                <c:pt idx="1">
                  <c:v>64.989803817031969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AD-4061-B5B0-88E69B48D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C-4E65-9F9B-8C5F5B21A5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17958874772556"/>
                      <c:h val="0.395544987569623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A7C-4E65-9F9B-8C5F5B21A5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A7C-4E65-9F9B-8C5F5B21A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'S7'!$P$21:$Q$21</c:f>
              <c:numCache>
                <c:formatCode>_(* #,##0.0_);_(* \(#,##0.0\);_(* "-"??_);_(@_)</c:formatCode>
                <c:ptCount val="2"/>
                <c:pt idx="0">
                  <c:v>30.984249999999999</c:v>
                </c:pt>
                <c:pt idx="1">
                  <c:v>7.1079904269999998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7C-4E65-9F9B-8C5F5B21A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5-443C-80D8-2C2363B624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35-443C-80D8-2C2363B624A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35-443C-80D8-2C2363B62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'S7'!$P$22:$Q$22</c:f>
              <c:numCache>
                <c:formatCode>_(* #,##0.0_);_(* \(#,##0.0\);_(* "-"??_);_(@_)</c:formatCode>
                <c:ptCount val="2"/>
                <c:pt idx="0">
                  <c:v>3.2455625000000001</c:v>
                </c:pt>
                <c:pt idx="1">
                  <c:v>3.110010066804064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35-443C-80D8-2C2363B6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D0-4A26-A79A-91DAD7A5242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D0-4A26-A79A-91DAD7A5242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D0-4A26-A79A-91DAD7A52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'S7'!$P$23:$Q$23</c:f>
              <c:numCache>
                <c:formatCode>_(* #,##0.0_);_(* \(#,##0.0\);_(* "-"??_);_(@_)</c:formatCode>
                <c:ptCount val="2"/>
                <c:pt idx="0">
                  <c:v>2.3766249999999993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D0-4A26-A79A-91DAD7A5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D3-4F25-A731-94455C4AF5E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D3-4F25-A731-94455C4AF5E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D3-4F25-A731-94455C4AF5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'S7'!$P$24:$Q$24</c:f>
              <c:numCache>
                <c:formatCode>_(* #,##0.0_);_(* \(#,##0.0\);_(* "-"??_);_(@_)</c:formatCode>
                <c:ptCount val="2"/>
                <c:pt idx="0">
                  <c:v>2.75</c:v>
                </c:pt>
                <c:pt idx="1">
                  <c:v>0.45107882416400585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3-4F25-A731-94455C4A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762-42CB-A2D2-2AE154B0F2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762-42CB-A2D2-2AE154B0F2A0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62-42CB-A2D2-2AE154B0F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'S7'!$P$5:$Q$5</c:f>
              <c:numCache>
                <c:formatCode>"$"#,##0_);\("$"#,##0\)</c:formatCode>
                <c:ptCount val="2"/>
                <c:pt idx="0">
                  <c:v>1294.1098961695143</c:v>
                </c:pt>
                <c:pt idx="1">
                  <c:v>1223.9247294403365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62-42CB-A2D2-2AE154B0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0E9-44C4-9CA3-9BB9B7CA5E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0E9-44C4-9CA3-9BB9B7CA5ED4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E9-44C4-9CA3-9BB9B7CA5E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'S7'!$P$7:$Q$7</c:f>
              <c:numCache>
                <c:formatCode>"$"#,##0_);\("$"#,##0\)</c:formatCode>
                <c:ptCount val="2"/>
                <c:pt idx="0">
                  <c:v>1336.9687162891046</c:v>
                </c:pt>
                <c:pt idx="1">
                  <c:v>1009.9040291523864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9-44C4-9CA3-9BB9B7CA5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136-49E8-9229-D946A2F8955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136-49E8-9229-D946A2F8955C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136-49E8-9229-D946A2F89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'S7'!$P$9:$Q$9</c:f>
              <c:numCache>
                <c:formatCode>"$"#,##0_);\("$"#,##0\)</c:formatCode>
                <c:ptCount val="2"/>
                <c:pt idx="0">
                  <c:v>833.53130016051364</c:v>
                </c:pt>
                <c:pt idx="1">
                  <c:v>635.90863839830354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6-49E8-9229-D946A2F8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61B-4877-8445-B72413FE763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61B-4877-8445-B72413FE7631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61B-4877-8445-B72413FE7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'S7'!$P$11:$Q$11</c:f>
              <c:numCache>
                <c:formatCode>"$"#,##0_);\("$"#,##0\)</c:formatCode>
                <c:ptCount val="2"/>
                <c:pt idx="0">
                  <c:v>884.81943410275494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B-4877-8445-B72413FE7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91F-4CB4-B1D4-584DEDCE38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1F-4CB4-B1D4-584DEDCE38CE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91F-4CB4-B1D4-584DEDCE38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'S7'!$P$13:$Q$13</c:f>
              <c:numCache>
                <c:formatCode>"$"#,##0_);\("$"#,##0\)</c:formatCode>
                <c:ptCount val="2"/>
                <c:pt idx="0">
                  <c:v>1100</c:v>
                </c:pt>
                <c:pt idx="1">
                  <c:v>630.9013436240806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F-4CB4-B1D4-584DEDCE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5337539311291E-2"/>
          <c:y val="3.4205985453949275E-2"/>
          <c:w val="0.96958925797680617"/>
          <c:h val="0.800651861435109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'S7'!$C$2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8627543660915871E-3"/>
                  <c:y val="-0.406530951142248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'S7'!$C$3:$C$17</c:f>
              <c:numCache>
                <c:formatCode>_(* #,##0,,,_);_(* \(#,##0,,,\);;_(@_)</c:formatCode>
                <c:ptCount val="15"/>
                <c:pt idx="0">
                  <c:v>209261952500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9-431A-A2BB-B1B903F80F71}"/>
            </c:ext>
          </c:extLst>
        </c:ser>
        <c:ser>
          <c:idx val="1"/>
          <c:order val="1"/>
          <c:tx>
            <c:strRef>
              <c:f>'S7'!$D$2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'S7'!$D$3:$D$17</c:f>
              <c:numCache>
                <c:formatCode>_(* #,##0,,,_);_(* \(#,##0,,,\);;_(@_)</c:formatCode>
                <c:ptCount val="15"/>
                <c:pt idx="1">
                  <c:v>123490289746.72887</c:v>
                </c:pt>
                <c:pt idx="2">
                  <c:v>119932533460.06012</c:v>
                </c:pt>
                <c:pt idx="3">
                  <c:v>97930206417.179871</c:v>
                </c:pt>
                <c:pt idx="4">
                  <c:v>95732944965.9095</c:v>
                </c:pt>
                <c:pt idx="5">
                  <c:v>95732944965.9095</c:v>
                </c:pt>
                <c:pt idx="6">
                  <c:v>95456280921.43158</c:v>
                </c:pt>
                <c:pt idx="7">
                  <c:v>93079655921.43158</c:v>
                </c:pt>
                <c:pt idx="8">
                  <c:v>93079655921.43158</c:v>
                </c:pt>
                <c:pt idx="9">
                  <c:v>91080405921.43158</c:v>
                </c:pt>
                <c:pt idx="10">
                  <c:v>90760246088.455017</c:v>
                </c:pt>
                <c:pt idx="11">
                  <c:v>90760246088.455017</c:v>
                </c:pt>
                <c:pt idx="12">
                  <c:v>94193010635.000061</c:v>
                </c:pt>
                <c:pt idx="13">
                  <c:v>88347880802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9-431A-A2BB-B1B903F80F71}"/>
            </c:ext>
          </c:extLst>
        </c:ser>
        <c:ser>
          <c:idx val="2"/>
          <c:order val="2"/>
          <c:tx>
            <c:strRef>
              <c:f>'S7'!$E$2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1.0138879298500602E-16"/>
                  <c:y val="-2.96020792414972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9-431A-A2BB-B1B903F80F71}"/>
                </c:ext>
              </c:extLst>
            </c:dLbl>
            <c:dLbl>
              <c:idx val="11"/>
              <c:layout>
                <c:manualLayout>
                  <c:x val="0"/>
                  <c:y val="-3.634875160729677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09-431A-A2BB-B1B903F80F71}"/>
                </c:ext>
              </c:extLst>
            </c:dLbl>
            <c:dLbl>
              <c:idx val="12"/>
              <c:layout>
                <c:manualLayout>
                  <c:x val="0"/>
                  <c:y val="-3.26947285378386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'S7'!$E$3:$E$17</c:f>
              <c:numCache>
                <c:formatCode>[Color10]\▲_(* #,##0.0,,,_);_(* \(#,##0.0,,,\);;_(@_)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645986757.62439811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3432764546.5450454</c:v>
                </c:pt>
                <c:pt idx="12">
                  <c:v>4400149086.9999847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09-431A-A2BB-B1B903F80F71}"/>
            </c:ext>
          </c:extLst>
        </c:ser>
        <c:ser>
          <c:idx val="3"/>
          <c:order val="3"/>
          <c:tx>
            <c:strRef>
              <c:f>'S7'!$F$2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0.19668517726426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09-431A-A2BB-B1B903F80F71}"/>
                </c:ext>
              </c:extLst>
            </c:dLbl>
            <c:dLbl>
              <c:idx val="2"/>
              <c:layout>
                <c:manualLayout>
                  <c:x val="-1.3799810388432064E-3"/>
                  <c:y val="-4.19425023548297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09-431A-A2BB-B1B903F80F71}"/>
                </c:ext>
              </c:extLst>
            </c:dLbl>
            <c:dLbl>
              <c:idx val="3"/>
              <c:layout>
                <c:manualLayout>
                  <c:x val="-1.3825904214135858E-3"/>
                  <c:y val="5.6901838323607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09-431A-A2BB-B1B903F80F71}"/>
                </c:ext>
              </c:extLst>
            </c:dLbl>
            <c:dLbl>
              <c:idx val="13"/>
              <c:layout>
                <c:manualLayout>
                  <c:x val="0"/>
                  <c:y val="5.315554015260286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'S7'!$F$3:$F$17</c:f>
              <c:numCache>
                <c:formatCode>[Color3]\▼_(* #,##0.0,,,_);_(* \(#,##0.0,,,\);;_(@_)</c:formatCode>
                <c:ptCount val="15"/>
                <c:pt idx="1">
                  <c:v>85771662753.271133</c:v>
                </c:pt>
                <c:pt idx="2">
                  <c:v>3557756286.6687527</c:v>
                </c:pt>
                <c:pt idx="3">
                  <c:v>22002327042.880257</c:v>
                </c:pt>
                <c:pt idx="4">
                  <c:v>2197261451.2703648</c:v>
                </c:pt>
                <c:pt idx="5">
                  <c:v>0</c:v>
                </c:pt>
                <c:pt idx="6">
                  <c:v>922650802.10231841</c:v>
                </c:pt>
                <c:pt idx="7">
                  <c:v>2376624999.9999995</c:v>
                </c:pt>
                <c:pt idx="8">
                  <c:v>0</c:v>
                </c:pt>
                <c:pt idx="9">
                  <c:v>1999250000</c:v>
                </c:pt>
                <c:pt idx="10">
                  <c:v>320159832.976565</c:v>
                </c:pt>
                <c:pt idx="11">
                  <c:v>0</c:v>
                </c:pt>
                <c:pt idx="12">
                  <c:v>0</c:v>
                </c:pt>
                <c:pt idx="13">
                  <c:v>10245278920.000046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09-431A-A2BB-B1B903F80F71}"/>
            </c:ext>
          </c:extLst>
        </c:ser>
        <c:ser>
          <c:idx val="4"/>
          <c:order val="4"/>
          <c:tx>
            <c:strRef>
              <c:f>'S7'!$G$2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4"/>
              <c:layout>
                <c:manualLayout>
                  <c:x val="-1.4732343064655503E-3"/>
                  <c:y val="-0.1804839224626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'S7'!$G$3:$G$17</c:f>
              <c:numCache>
                <c:formatCode>_(* #,##0,,,_);_(* \(#,##0,,,\);;_(@_)</c:formatCode>
                <c:ptCount val="15"/>
                <c:pt idx="14" formatCode="_(* #,##0.0,,,_);_(* \(#,##0.0,,,\);;_(@_)">
                  <c:v>88347880802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09-431A-A2BB-B1B903F8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5371011596898E-2"/>
          <c:y val="0"/>
          <c:w val="0.96958925797680617"/>
          <c:h val="0.85863680340417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'S8'!$C$68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6689371618155611E-3"/>
                  <c:y val="-0.40917625473776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DD-4C59-8328-0F299EBB66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'S8'!$C$69:$C$83</c:f>
              <c:numCache>
                <c:formatCode>_(* #,##0,,,_);_(* \(#,##0,,,\);;_(@_)</c:formatCode>
                <c:ptCount val="15"/>
                <c:pt idx="0" formatCode="_(* #,##0.0,,,_);_(* \(#,##0.0,,,\);;_(@_)">
                  <c:v>48459973133.623436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D-4C59-8328-0F299EBB6615}"/>
            </c:ext>
          </c:extLst>
        </c:ser>
        <c:ser>
          <c:idx val="1"/>
          <c:order val="1"/>
          <c:tx>
            <c:strRef>
              <c:f>'S8'!$D$68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'S8'!$D$69:$D$83</c:f>
              <c:numCache>
                <c:formatCode>_(* #,##0,,,_);_(* \(#,##0,,,\);;_(@_)</c:formatCode>
                <c:ptCount val="15"/>
                <c:pt idx="1">
                  <c:v>32103197192.312939</c:v>
                </c:pt>
                <c:pt idx="2">
                  <c:v>23542954965.456661</c:v>
                </c:pt>
                <c:pt idx="3">
                  <c:v>19768024997.966225</c:v>
                </c:pt>
                <c:pt idx="4">
                  <c:v>17955531547.729668</c:v>
                </c:pt>
                <c:pt idx="5">
                  <c:v>17955531547.729668</c:v>
                </c:pt>
                <c:pt idx="6">
                  <c:v>15423093288.715956</c:v>
                </c:pt>
                <c:pt idx="7">
                  <c:v>15423093288.715956</c:v>
                </c:pt>
                <c:pt idx="8">
                  <c:v>15878529057.124142</c:v>
                </c:pt>
                <c:pt idx="9">
                  <c:v>15878529057.124142</c:v>
                </c:pt>
                <c:pt idx="10">
                  <c:v>15532809829.454958</c:v>
                </c:pt>
                <c:pt idx="11">
                  <c:v>15532809829.454958</c:v>
                </c:pt>
                <c:pt idx="12">
                  <c:v>17652558878.000004</c:v>
                </c:pt>
                <c:pt idx="13">
                  <c:v>7407279957.999958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DD-4C59-8328-0F299EBB6615}"/>
            </c:ext>
          </c:extLst>
        </c:ser>
        <c:ser>
          <c:idx val="2"/>
          <c:order val="2"/>
          <c:tx>
            <c:strRef>
              <c:f>'S8'!$E$68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CDD-4C59-8328-0F299EBB661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CDD-4C59-8328-0F299EBB6615}"/>
                </c:ext>
              </c:extLst>
            </c:dLbl>
            <c:dLbl>
              <c:idx val="1"/>
              <c:layout>
                <c:manualLayout>
                  <c:x val="1.3463207703583843E-3"/>
                  <c:y val="-6.4739469757833151E-2"/>
                </c:manualLayout>
              </c:layout>
              <c:tx>
                <c:rich>
                  <a:bodyPr/>
                  <a:lstStyle/>
                  <a:p>
                    <a:fld id="{28EBF3BD-CEB2-4430-8CAB-83950D17A3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CDD-4C59-8328-0F299EBB6615}"/>
                </c:ext>
              </c:extLst>
            </c:dLbl>
            <c:dLbl>
              <c:idx val="2"/>
              <c:layout>
                <c:manualLayout>
                  <c:x val="0"/>
                  <c:y val="-2.8030617379865657E-2"/>
                </c:manualLayout>
              </c:layout>
              <c:tx>
                <c:rich>
                  <a:bodyPr/>
                  <a:lstStyle/>
                  <a:p>
                    <a:fld id="{00101D44-EC05-4227-8590-0E2A3904C6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CDD-4C59-8328-0F299EBB661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068A370-ED3E-4924-90E5-26C4D0E320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CDD-4C59-8328-0F299EBB661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53017AC-8668-4B5C-AF43-D54268E476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CDD-4C59-8328-0F299EBB6615}"/>
                </c:ext>
              </c:extLst>
            </c:dLbl>
            <c:dLbl>
              <c:idx val="5"/>
              <c:layout>
                <c:manualLayout>
                  <c:x val="-4.7712351170349945E-17"/>
                  <c:y val="-3.5852933608302884E-2"/>
                </c:manualLayout>
              </c:layout>
              <c:tx>
                <c:rich>
                  <a:bodyPr/>
                  <a:lstStyle/>
                  <a:p>
                    <a:fld id="{62149260-F191-4C72-B71E-4E2C3C7944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CDD-4C59-8328-0F299EBB661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4247AA6-FDCE-4080-A043-D569CC2B3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CDD-4C59-8328-0F299EBB6615}"/>
                </c:ext>
              </c:extLst>
            </c:dLbl>
            <c:dLbl>
              <c:idx val="7"/>
              <c:layout>
                <c:manualLayout>
                  <c:x val="0"/>
                  <c:y val="-2.5965299183626486E-2"/>
                </c:manualLayout>
              </c:layout>
              <c:tx>
                <c:rich>
                  <a:bodyPr/>
                  <a:lstStyle/>
                  <a:p>
                    <a:fld id="{314D53A0-31FC-4966-8403-D34E4EEB4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CDD-4C59-8328-0F299EBB6615}"/>
                </c:ext>
              </c:extLst>
            </c:dLbl>
            <c:dLbl>
              <c:idx val="8"/>
              <c:layout>
                <c:manualLayout>
                  <c:x val="-1.0337134415734956E-16"/>
                  <c:y val="-3.1208329786932221E-2"/>
                </c:manualLayout>
              </c:layout>
              <c:tx>
                <c:rich>
                  <a:bodyPr/>
                  <a:lstStyle/>
                  <a:p>
                    <a:fld id="{C584E420-1A63-4CF4-A91A-97259FB794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CDD-4C59-8328-0F299EBB6615}"/>
                </c:ext>
              </c:extLst>
            </c:dLbl>
            <c:dLbl>
              <c:idx val="9"/>
              <c:layout>
                <c:manualLayout>
                  <c:x val="-1.0119810024437543E-16"/>
                  <c:y val="-3.1735365668876782E-2"/>
                </c:manualLayout>
              </c:layout>
              <c:tx>
                <c:rich>
                  <a:bodyPr/>
                  <a:lstStyle/>
                  <a:p>
                    <a:fld id="{FBFBE28E-9473-481E-8B14-D97C2C4F8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CDD-4C59-8328-0F299EBB6615}"/>
                </c:ext>
              </c:extLst>
            </c:dLbl>
            <c:dLbl>
              <c:idx val="10"/>
              <c:layout>
                <c:manualLayout>
                  <c:x val="0"/>
                  <c:y val="-2.6816356522873439E-2"/>
                </c:manualLayout>
              </c:layout>
              <c:tx>
                <c:rich>
                  <a:bodyPr/>
                  <a:lstStyle/>
                  <a:p>
                    <a:fld id="{E4CAF396-6B0C-416D-8941-F47317B499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CDD-4C59-8328-0F299EBB6615}"/>
                </c:ext>
              </c:extLst>
            </c:dLbl>
            <c:dLbl>
              <c:idx val="11"/>
              <c:layout>
                <c:manualLayout>
                  <c:x val="-1.7363278955485231E-3"/>
                  <c:y val="-5.9332397328760479E-2"/>
                </c:manualLayout>
              </c:layout>
              <c:tx>
                <c:rich>
                  <a:bodyPr/>
                  <a:lstStyle/>
                  <a:p>
                    <a:fld id="{C40BF112-E064-45D3-817E-C68F6EE6C5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CDD-4C59-8328-0F299EBB6615}"/>
                </c:ext>
              </c:extLst>
            </c:dLbl>
            <c:dLbl>
              <c:idx val="12"/>
              <c:layout>
                <c:manualLayout>
                  <c:x val="1.3795272102196997E-3"/>
                  <c:y val="-5.2085702955921652E-2"/>
                </c:manualLayout>
              </c:layout>
              <c:tx>
                <c:rich>
                  <a:bodyPr/>
                  <a:lstStyle/>
                  <a:p>
                    <a:fld id="{B72E8C05-8370-4377-9714-D644C1F464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CDD-4C59-8328-0F299EBB661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FCC8A67-C806-4384-AF00-91EE8FB8FC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CDD-4C59-8328-0F299EBB661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CDD-4C59-8328-0F299EBB66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'S8'!$E$69:$E$83</c:f>
              <c:numCache>
                <c:formatCode>[Color10]\▲_(* #,##0.0,,,_);_(* \(#,##0.0,,,\);;_(@_)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163911341.71177879</c:v>
                </c:pt>
                <c:pt idx="6">
                  <c:v>0</c:v>
                </c:pt>
                <c:pt idx="7">
                  <c:v>455435768.40818661</c:v>
                </c:pt>
                <c:pt idx="8">
                  <c:v>0</c:v>
                </c:pt>
                <c:pt idx="9">
                  <c:v>11327183.663465697</c:v>
                </c:pt>
                <c:pt idx="10">
                  <c:v>0</c:v>
                </c:pt>
                <c:pt idx="11">
                  <c:v>3432764546.5450454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'S8'!$J$69:$J$83</c15:f>
                <c15:dlblRangeCache>
                  <c:ptCount val="15"/>
                  <c:pt idx="5">
                    <c:v>▲ 0.2 </c:v>
                  </c:pt>
                  <c:pt idx="7">
                    <c:v>▲ 0.5 </c:v>
                  </c:pt>
                  <c:pt idx="9">
                    <c:v>▲ 0.0 </c:v>
                  </c:pt>
                  <c:pt idx="11">
                    <c:v>▲ 3.4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ACDD-4C59-8328-0F299EBB6615}"/>
            </c:ext>
          </c:extLst>
        </c:ser>
        <c:ser>
          <c:idx val="3"/>
          <c:order val="3"/>
          <c:tx>
            <c:strRef>
              <c:f>'S8'!$F$68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CDD-4C59-8328-0F299EBB6615}"/>
                </c:ext>
              </c:extLst>
            </c:dLbl>
            <c:dLbl>
              <c:idx val="1"/>
              <c:layout>
                <c:manualLayout>
                  <c:x val="-2.4363083127134548E-3"/>
                  <c:y val="-0.1464525170105235"/>
                </c:manualLayout>
              </c:layout>
              <c:tx>
                <c:rich>
                  <a:bodyPr/>
                  <a:lstStyle/>
                  <a:p>
                    <a:fld id="{488063EC-2820-498F-802C-63AC23AE2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CDD-4C59-8328-0F299EBB6615}"/>
                </c:ext>
              </c:extLst>
            </c:dLbl>
            <c:dLbl>
              <c:idx val="2"/>
              <c:layout>
                <c:manualLayout>
                  <c:x val="-1.334692831791546E-3"/>
                  <c:y val="-8.8955890938729021E-2"/>
                </c:manualLayout>
              </c:layout>
              <c:tx>
                <c:rich>
                  <a:bodyPr/>
                  <a:lstStyle/>
                  <a:p>
                    <a:fld id="{9528A934-0FD0-42E0-90CE-24D4A2DDB2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ACDD-4C59-8328-0F299EBB6615}"/>
                </c:ext>
              </c:extLst>
            </c:dLbl>
            <c:dLbl>
              <c:idx val="3"/>
              <c:layout>
                <c:manualLayout>
                  <c:x val="-1.5108347671393477E-3"/>
                  <c:y val="5.5209442192567605E-2"/>
                </c:manualLayout>
              </c:layout>
              <c:tx>
                <c:rich>
                  <a:bodyPr/>
                  <a:lstStyle/>
                  <a:p>
                    <a:fld id="{2BDF2A71-7C68-4C79-9F22-A4BEE0F9B1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CDD-4C59-8328-0F299EBB6615}"/>
                </c:ext>
              </c:extLst>
            </c:dLbl>
            <c:dLbl>
              <c:idx val="4"/>
              <c:layout>
                <c:manualLayout>
                  <c:x val="0"/>
                  <c:y val="3.1227872419740989E-2"/>
                </c:manualLayout>
              </c:layout>
              <c:tx>
                <c:rich>
                  <a:bodyPr/>
                  <a:lstStyle/>
                  <a:p>
                    <a:fld id="{44C07362-7446-458D-AFE4-E5665F040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CDD-4C59-8328-0F299EBB66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FD7985-7B6C-4495-8F8E-3978F3DCE7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CDD-4C59-8328-0F299EBB6615}"/>
                </c:ext>
              </c:extLst>
            </c:dLbl>
            <c:dLbl>
              <c:idx val="6"/>
              <c:layout>
                <c:manualLayout>
                  <c:x val="-1.339913273115372E-3"/>
                  <c:y val="6.0599769864326025E-2"/>
                </c:manualLayout>
              </c:layout>
              <c:tx>
                <c:rich>
                  <a:bodyPr/>
                  <a:lstStyle/>
                  <a:p>
                    <a:fld id="{E1329DC8-EDCD-4CF2-8E9E-A5F29D800D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ACDD-4C59-8328-0F299EBB661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C40FF6-A1CB-4904-8491-0978814016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CDD-4C59-8328-0F299EBB661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ACE2EC-2EF3-4E42-9F43-69F98BB06D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CDD-4C59-8328-0F299EBB661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8B53042-69A7-4791-AA15-7E1DD8D39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CDD-4C59-8328-0F299EBB6615}"/>
                </c:ext>
              </c:extLst>
            </c:dLbl>
            <c:dLbl>
              <c:idx val="10"/>
              <c:layout>
                <c:manualLayout>
                  <c:x val="0"/>
                  <c:y val="3.9461389706214448E-2"/>
                </c:manualLayout>
              </c:layout>
              <c:tx>
                <c:rich>
                  <a:bodyPr/>
                  <a:lstStyle/>
                  <a:p>
                    <a:fld id="{A35B7A68-B05C-49E8-BABD-FEC9CB650E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ACDD-4C59-8328-0F299EBB661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6007A43-AAAB-402D-AAAD-E0523E585A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CDD-4C59-8328-0F299EBB6615}"/>
                </c:ext>
              </c:extLst>
            </c:dLbl>
            <c:dLbl>
              <c:idx val="12"/>
              <c:layout>
                <c:manualLayout>
                  <c:x val="3.5207822359341678E-5"/>
                  <c:y val="3.1854648370191793E-2"/>
                </c:manualLayout>
              </c:layout>
              <c:tx>
                <c:rich>
                  <a:bodyPr/>
                  <a:lstStyle/>
                  <a:p>
                    <a:fld id="{44F13DC8-0720-4065-A20C-67D303E92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ACDD-4C59-8328-0F299EBB6615}"/>
                </c:ext>
              </c:extLst>
            </c:dLbl>
            <c:dLbl>
              <c:idx val="13"/>
              <c:layout>
                <c:manualLayout>
                  <c:x val="-9.5331663810485956E-17"/>
                  <c:y val="0.11854618397014285"/>
                </c:manualLayout>
              </c:layout>
              <c:tx>
                <c:rich>
                  <a:bodyPr/>
                  <a:lstStyle/>
                  <a:p>
                    <a:fld id="{D466098F-FC67-4285-9AC2-66676C899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ACDD-4C59-8328-0F299EBB661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CDD-4C59-8328-0F299EBB66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'S8'!$F$69:$F$83</c:f>
              <c:numCache>
                <c:formatCode>[Color3]\▼_(* #,##0.0,,,_);_(* \(#,##0.0,,,\);;_(@_)</c:formatCode>
                <c:ptCount val="15"/>
                <c:pt idx="1">
                  <c:v>16356775941.310497</c:v>
                </c:pt>
                <c:pt idx="2">
                  <c:v>8560242226.8562765</c:v>
                </c:pt>
                <c:pt idx="3">
                  <c:v>3774929967.490438</c:v>
                </c:pt>
                <c:pt idx="4">
                  <c:v>1812493450.2365561</c:v>
                </c:pt>
                <c:pt idx="5">
                  <c:v>0</c:v>
                </c:pt>
                <c:pt idx="6">
                  <c:v>2696349600.725491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357046411.33265007</c:v>
                </c:pt>
                <c:pt idx="11">
                  <c:v>0</c:v>
                </c:pt>
                <c:pt idx="12">
                  <c:v>1313015498</c:v>
                </c:pt>
                <c:pt idx="13">
                  <c:v>10245278920.000046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'S8'!$K$69:$K$83</c15:f>
                <c15:dlblRangeCache>
                  <c:ptCount val="15"/>
                  <c:pt idx="1">
                    <c:v>▼ 16.4 </c:v>
                  </c:pt>
                  <c:pt idx="2">
                    <c:v>▼ 8.6 </c:v>
                  </c:pt>
                  <c:pt idx="3">
                    <c:v>▼ 3.8 </c:v>
                  </c:pt>
                  <c:pt idx="4">
                    <c:v>▼ 1.8 </c:v>
                  </c:pt>
                  <c:pt idx="6">
                    <c:v>▼ 2.7 </c:v>
                  </c:pt>
                  <c:pt idx="10">
                    <c:v>▼ 0.4 </c:v>
                  </c:pt>
                  <c:pt idx="12">
                    <c:v>▼ 1.3 </c:v>
                  </c:pt>
                  <c:pt idx="13">
                    <c:v>▼ 10.2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ACDD-4C59-8328-0F299EBB6615}"/>
            </c:ext>
          </c:extLst>
        </c:ser>
        <c:ser>
          <c:idx val="4"/>
          <c:order val="4"/>
          <c:tx>
            <c:strRef>
              <c:f>'S8'!$G$68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4"/>
              <c:layout>
                <c:manualLayout>
                  <c:x val="-2.841701127346284E-3"/>
                  <c:y val="-7.84714292431111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CDD-4C59-8328-0F299EBB66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'S8'!$G$69:$G$83</c:f>
              <c:numCache>
                <c:formatCode>_(* #,##0,,,_);_(* \(#,##0,,,\);;_(@_)</c:formatCode>
                <c:ptCount val="15"/>
                <c:pt idx="14" formatCode="_(* #,##0.0,,,_);_(* \(#,##0.0,,,\);;_(@_)">
                  <c:v>7407279957.999958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CDD-4C59-8328-0F299EBB6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  <c:max val="55000000000"/>
          <c:min val="0"/>
        </c:scaling>
        <c:delete val="0"/>
        <c:axPos val="l"/>
        <c:numFmt formatCode="_(* #,##0.0,,,_);_(* \(#,##0.0,,,\);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1768933112217E-2"/>
          <c:y val="0.1511521788729181"/>
          <c:w val="0.96959646213377559"/>
          <c:h val="0.710829107090566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'S8'!$C$2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'S8'!$A$3:$B$22</c:f>
            </c:multiLvlStrRef>
          </c:cat>
          <c:val>
            <c:numRef>
              <c:f>'S8'!$C$3:$C$22</c:f>
            </c:numRef>
          </c:val>
          <c:extLst>
            <c:ext xmlns:c16="http://schemas.microsoft.com/office/drawing/2014/chart" uri="{C3380CC4-5D6E-409C-BE32-E72D297353CC}">
              <c16:uniqueId val="{00000001-83F9-4F58-A915-C022AEBA34B1}"/>
            </c:ext>
          </c:extLst>
        </c:ser>
        <c:ser>
          <c:idx val="1"/>
          <c:order val="1"/>
          <c:tx>
            <c:strRef>
              <c:f>'S8'!$D$2</c:f>
              <c:strCache>
                <c:ptCount val="1"/>
                <c:pt idx="0">
                  <c:v>Hidden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'S8'!$A$3:$B$22</c:f>
            </c:multiLvlStrRef>
          </c:cat>
          <c:val>
            <c:numRef>
              <c:f>'S8'!$D$3:$D$22</c:f>
            </c:numRef>
          </c:val>
          <c:extLst>
            <c:ext xmlns:c16="http://schemas.microsoft.com/office/drawing/2014/chart" uri="{C3380CC4-5D6E-409C-BE32-E72D297353CC}">
              <c16:uniqueId val="{00000002-83F9-4F58-A915-C022AEBA34B1}"/>
            </c:ext>
          </c:extLst>
        </c:ser>
        <c:ser>
          <c:idx val="2"/>
          <c:order val="2"/>
          <c:tx>
            <c:strRef>
              <c:f>'S8'!$E$2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'S8'!$A$3:$B$22</c:f>
            </c:multiLvlStrRef>
          </c:cat>
          <c:val>
            <c:numRef>
              <c:f>'S8'!$E$3:$E$22</c:f>
            </c:numRef>
          </c:val>
          <c:extLst>
            <c:ext xmlns:c16="http://schemas.microsoft.com/office/drawing/2014/chart" uri="{C3380CC4-5D6E-409C-BE32-E72D297353CC}">
              <c16:uniqueId val="{00000004-83F9-4F58-A915-C022AEBA34B1}"/>
            </c:ext>
          </c:extLst>
        </c:ser>
        <c:ser>
          <c:idx val="3"/>
          <c:order val="3"/>
          <c:tx>
            <c:strRef>
              <c:f>'S8'!$F$2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'S8'!$A$3:$B$22</c:f>
            </c:multiLvlStrRef>
          </c:cat>
          <c:val>
            <c:numRef>
              <c:f>'S8'!$F$3:$F$22</c:f>
            </c:numRef>
          </c:val>
          <c:extLst>
            <c:ext xmlns:c16="http://schemas.microsoft.com/office/drawing/2014/chart" uri="{C3380CC4-5D6E-409C-BE32-E72D297353CC}">
              <c16:uniqueId val="{0000000B-83F9-4F58-A915-C022AEBA34B1}"/>
            </c:ext>
          </c:extLst>
        </c:ser>
        <c:ser>
          <c:idx val="4"/>
          <c:order val="4"/>
          <c:tx>
            <c:strRef>
              <c:f>'S8'!$G$2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'S8'!$A$3:$B$22</c:f>
            </c:multiLvlStrRef>
          </c:cat>
          <c:val>
            <c:numRef>
              <c:f>'S8'!$G$3:$G$22</c:f>
            </c:numRef>
          </c:val>
          <c:extLst>
            <c:ext xmlns:c16="http://schemas.microsoft.com/office/drawing/2014/chart" uri="{C3380CC4-5D6E-409C-BE32-E72D297353CC}">
              <c16:uniqueId val="{0000000E-83F9-4F58-A915-C022AEBA3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56959488"/>
        <c:axId val="356954688"/>
      </c:barChart>
      <c:catAx>
        <c:axId val="35695948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4688"/>
        <c:crosses val="autoZero"/>
        <c:auto val="1"/>
        <c:lblAlgn val="ctr"/>
        <c:lblOffset val="100"/>
        <c:noMultiLvlLbl val="0"/>
      </c:catAx>
      <c:valAx>
        <c:axId val="356954688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5.0920010680872499E-2"/>
          <c:w val="0.99486621846467527"/>
          <c:h val="0.821449267787912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EXW-v2'!$C$78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410132622060344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EXW-v2'!$C$79:$C$98</c:f>
              <c:numCache>
                <c:formatCode>_(* #,##0,,,_);_(* \(#,##0,,,\);;_(@_)</c:formatCode>
                <c:ptCount val="20"/>
                <c:pt idx="0" formatCode="_(* #,##0.0,,,_);_(* \(#,##0.0,,,\);;_(@_)">
                  <c:v>48459973133.623398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6-4F5E-928F-3F65F6ED3E18}"/>
            </c:ext>
          </c:extLst>
        </c:ser>
        <c:ser>
          <c:idx val="1"/>
          <c:order val="1"/>
          <c:tx>
            <c:strRef>
              <c:f>'BĐ-LG EXW-v2'!$D$78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EXW-v2'!$D$79:$D$98</c:f>
              <c:numCache>
                <c:formatCode>_(* #,##0,,,_);_(* \(#,##0,,,\);;_(@_)</c:formatCode>
                <c:ptCount val="20"/>
                <c:pt idx="1">
                  <c:v>31733939819.105095</c:v>
                </c:pt>
                <c:pt idx="2">
                  <c:v>31733939819.105095</c:v>
                </c:pt>
                <c:pt idx="3">
                  <c:v>23542954965.456642</c:v>
                </c:pt>
                <c:pt idx="4">
                  <c:v>20462771666.496628</c:v>
                </c:pt>
                <c:pt idx="5">
                  <c:v>19768024997.966206</c:v>
                </c:pt>
                <c:pt idx="6">
                  <c:v>17955531547.729649</c:v>
                </c:pt>
                <c:pt idx="7">
                  <c:v>17478364266.369156</c:v>
                </c:pt>
                <c:pt idx="8">
                  <c:v>17478364266.369156</c:v>
                </c:pt>
                <c:pt idx="9">
                  <c:v>15423093288.715935</c:v>
                </c:pt>
                <c:pt idx="10">
                  <c:v>15423093288.715935</c:v>
                </c:pt>
                <c:pt idx="11">
                  <c:v>15686982980.573488</c:v>
                </c:pt>
                <c:pt idx="12">
                  <c:v>15878529057.124123</c:v>
                </c:pt>
                <c:pt idx="13">
                  <c:v>15878529057.124123</c:v>
                </c:pt>
                <c:pt idx="14">
                  <c:v>15887556875.679535</c:v>
                </c:pt>
                <c:pt idx="15">
                  <c:v>15532809829.454941</c:v>
                </c:pt>
                <c:pt idx="16">
                  <c:v>15532809829.454941</c:v>
                </c:pt>
                <c:pt idx="17">
                  <c:v>17652558878.000008</c:v>
                </c:pt>
                <c:pt idx="18">
                  <c:v>7407279957.9999619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6-4F5E-928F-3F65F6ED3E18}"/>
            </c:ext>
          </c:extLst>
        </c:ser>
        <c:ser>
          <c:idx val="2"/>
          <c:order val="2"/>
          <c:tx>
            <c:strRef>
              <c:f>'BĐ-LG EXW-v2'!$E$78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1431357130718559E-3"/>
                  <c:y val="-4.63813759738889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9E-486F-AE98-2323528FDDE6}"/>
                </c:ext>
              </c:extLst>
            </c:dLbl>
            <c:dLbl>
              <c:idx val="14"/>
              <c:layout>
                <c:manualLayout>
                  <c:x val="-1.5320359993251221E-6"/>
                  <c:y val="-3.39005445883181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86-4F5E-928F-3F65F6ED3E18}"/>
                </c:ext>
              </c:extLst>
            </c:dLbl>
            <c:dLbl>
              <c:idx val="16"/>
              <c:layout>
                <c:manualLayout>
                  <c:x val="0"/>
                  <c:y val="-8.51236461892896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EXW-v2'!$E$79:$E$98</c:f>
              <c:numCache>
                <c:formatCode>[Color10]\▲_(* #,##0.0,,,_);_(* \(#,##0.0,,,\);;_(@_)</c:formatCode>
                <c:ptCount val="20"/>
                <c:pt idx="1">
                  <c:v>0</c:v>
                </c:pt>
                <c:pt idx="2">
                  <c:v>369257373.20782471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641078623.07227111</c:v>
                </c:pt>
                <c:pt idx="9">
                  <c:v>0</c:v>
                </c:pt>
                <c:pt idx="10">
                  <c:v>263889691.85755318</c:v>
                </c:pt>
                <c:pt idx="11">
                  <c:v>191546076.55063421</c:v>
                </c:pt>
                <c:pt idx="12">
                  <c:v>0</c:v>
                </c:pt>
                <c:pt idx="13">
                  <c:v>9027818.5554115176</c:v>
                </c:pt>
                <c:pt idx="14">
                  <c:v>2299365.1080545876</c:v>
                </c:pt>
                <c:pt idx="15">
                  <c:v>0</c:v>
                </c:pt>
                <c:pt idx="16">
                  <c:v>3432764546.5450501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86-4F5E-928F-3F65F6ED3E18}"/>
            </c:ext>
          </c:extLst>
        </c:ser>
        <c:ser>
          <c:idx val="3"/>
          <c:order val="3"/>
          <c:tx>
            <c:strRef>
              <c:f>'BĐ-LG EXW-v2'!$F$78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1430203800533764E-3"/>
                  <c:y val="7.86458569938946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86-4F5E-928F-3F65F6ED3E18}"/>
                </c:ext>
              </c:extLst>
            </c:dLbl>
            <c:dLbl>
              <c:idx val="3"/>
              <c:layout>
                <c:manualLayout>
                  <c:x val="2.0982642812013291E-17"/>
                  <c:y val="-0.177468290929741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86-4F5E-928F-3F65F6ED3E18}"/>
                </c:ext>
              </c:extLst>
            </c:dLbl>
            <c:dLbl>
              <c:idx val="4"/>
              <c:layout>
                <c:manualLayout>
                  <c:x val="0"/>
                  <c:y val="3.1552924146482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86-4F5E-928F-3F65F6ED3E18}"/>
                </c:ext>
              </c:extLst>
            </c:dLbl>
            <c:dLbl>
              <c:idx val="5"/>
              <c:layout>
                <c:manualLayout>
                  <c:x val="-3.4290611401601289E-3"/>
                  <c:y val="5.76237119786058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86-4F5E-928F-3F65F6ED3E18}"/>
                </c:ext>
              </c:extLst>
            </c:dLbl>
            <c:dLbl>
              <c:idx val="9"/>
              <c:layout>
                <c:manualLayout>
                  <c:x val="0"/>
                  <c:y val="2.872867621038071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86-4F5E-928F-3F65F6ED3E18}"/>
                </c:ext>
              </c:extLst>
            </c:dLbl>
            <c:dLbl>
              <c:idx val="15"/>
              <c:layout>
                <c:manualLayout>
                  <c:x val="-1.1445210111978314E-3"/>
                  <c:y val="-9.61192032481336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86-4F5E-928F-3F65F6ED3E18}"/>
                </c:ext>
              </c:extLst>
            </c:dLbl>
            <c:dLbl>
              <c:idx val="17"/>
              <c:layout>
                <c:manualLayout>
                  <c:x val="-1.6786114249610633E-16"/>
                  <c:y val="7.55942247469779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EXW-v2'!$F$79:$F$98</c:f>
              <c:numCache>
                <c:formatCode>[Color3]\▼_(* #,##0.0,,,_);_(* \(#,##0.0,,,\);;_(@_)</c:formatCode>
                <c:ptCount val="20"/>
                <c:pt idx="1">
                  <c:v>16726033314.518303</c:v>
                </c:pt>
                <c:pt idx="2">
                  <c:v>0</c:v>
                </c:pt>
                <c:pt idx="3">
                  <c:v>8560242226.8562756</c:v>
                </c:pt>
                <c:pt idx="4">
                  <c:v>3080183298.9600129</c:v>
                </c:pt>
                <c:pt idx="5">
                  <c:v>694746668.53042316</c:v>
                </c:pt>
                <c:pt idx="6">
                  <c:v>1812493450.2365561</c:v>
                </c:pt>
                <c:pt idx="7">
                  <c:v>477167281.36049253</c:v>
                </c:pt>
                <c:pt idx="8">
                  <c:v>0</c:v>
                </c:pt>
                <c:pt idx="9">
                  <c:v>2696349600.7254906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357046411.33265001</c:v>
                </c:pt>
                <c:pt idx="16">
                  <c:v>0</c:v>
                </c:pt>
                <c:pt idx="17">
                  <c:v>1313015497.9999847</c:v>
                </c:pt>
                <c:pt idx="18">
                  <c:v>10245278920.000046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F86-4F5E-928F-3F65F6ED3E18}"/>
            </c:ext>
          </c:extLst>
        </c:ser>
        <c:ser>
          <c:idx val="4"/>
          <c:order val="4"/>
          <c:tx>
            <c:strRef>
              <c:f>'BĐ-LG EXW-v2'!$G$78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3-4F48-87E6-253471798F57}"/>
              </c:ext>
            </c:extLst>
          </c:dPt>
          <c:dLbls>
            <c:dLbl>
              <c:idx val="19"/>
              <c:layout>
                <c:manualLayout>
                  <c:x val="-2.2890420223958307E-3"/>
                  <c:y val="-0.11563056621322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3-4F48-87E6-253471798F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EXW-v2'!$G$79:$G$98</c:f>
              <c:numCache>
                <c:formatCode>_(* #,##0,,,_);_(* \(#,##0,,,\);;_(@_)</c:formatCode>
                <c:ptCount val="20"/>
                <c:pt idx="19" formatCode="_(* #,##0.0,,,_);_(* \(#,##0.0,,,\);;_(@_)">
                  <c:v>7407279957.9999619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F86-4F5E-928F-3F65F6ED3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4488730576202072"/>
          <c:w val="1"/>
          <c:h val="0.72288622618944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EXW-v2'!$C$132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144452674859317E-3"/>
                  <c:y val="-0.373636584529978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EXW-v2'!$C$133:$C$139</c:f>
              <c:numCache>
                <c:formatCode>_(* #,##0,,,_);_(* \(#,##0,,,\);;_(@_)</c:formatCode>
                <c:ptCount val="7"/>
                <c:pt idx="0" formatCode="_(* #,##0.0,,,_);_(* \(#,##0.0,,,\);;_(@_)">
                  <c:v>48459973133.623398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8-43E6-B5EC-5C52D766083B}"/>
            </c:ext>
          </c:extLst>
        </c:ser>
        <c:ser>
          <c:idx val="1"/>
          <c:order val="1"/>
          <c:tx>
            <c:strRef>
              <c:f>'BĐ-LG EXW-v2'!$D$132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'BĐ-LG EXW-v2'!$B$133:$B$139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EXW-v2'!$D$133:$D$139</c:f>
              <c:numCache>
                <c:formatCode>_(* #,##0,,,_);_(* \(#,##0,,,\);;_(@_)</c:formatCode>
                <c:ptCount val="7"/>
                <c:pt idx="1">
                  <c:v>28449506749.197552</c:v>
                </c:pt>
                <c:pt idx="2">
                  <c:v>28449506749.197552</c:v>
                </c:pt>
                <c:pt idx="3">
                  <c:v>15532809829.454941</c:v>
                </c:pt>
                <c:pt idx="4">
                  <c:v>15532809829.454941</c:v>
                </c:pt>
                <c:pt idx="5">
                  <c:v>7407279957.9999619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8-43E6-B5EC-5C52D766083B}"/>
            </c:ext>
          </c:extLst>
        </c:ser>
        <c:ser>
          <c:idx val="2"/>
          <c:order val="2"/>
          <c:tx>
            <c:strRef>
              <c:f>'BĐ-LG EXW-v2'!$E$132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6.2654562559890292E-4"/>
                  <c:y val="-9.374215944590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EXW-v2'!$E$133:$E$139</c:f>
              <c:numCache>
                <c:formatCode>[Color10]\▲_(* #,##0.0,,,_);_(* \(#,##0.0,,,\);;_(@_)</c:formatCode>
                <c:ptCount val="7"/>
                <c:pt idx="1">
                  <c:v>0</c:v>
                </c:pt>
                <c:pt idx="2">
                  <c:v>509434769.40836143</c:v>
                </c:pt>
                <c:pt idx="3">
                  <c:v>0</c:v>
                </c:pt>
                <c:pt idx="4">
                  <c:v>3432764546.5450501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8-43E6-B5EC-5C52D766083B}"/>
            </c:ext>
          </c:extLst>
        </c:ser>
        <c:ser>
          <c:idx val="3"/>
          <c:order val="3"/>
          <c:tx>
            <c:strRef>
              <c:f>'BĐ-LG EXW-v2'!$F$132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400026E-3"/>
                  <c:y val="0.123829182568243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78-43E6-B5EC-5C52D766083B}"/>
                </c:ext>
              </c:extLst>
            </c:dLbl>
            <c:dLbl>
              <c:idx val="2"/>
              <c:layout>
                <c:manualLayout>
                  <c:x val="-1.3048190976199894E-3"/>
                  <c:y val="9.89460179137530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78-43E6-B5EC-5C52D766083B}"/>
                </c:ext>
              </c:extLst>
            </c:dLbl>
            <c:dLbl>
              <c:idx val="3"/>
              <c:layout>
                <c:manualLayout>
                  <c:x val="-2.6096381952399788E-3"/>
                  <c:y val="0.276684010205577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78-43E6-B5EC-5C52D766083B}"/>
                </c:ext>
              </c:extLst>
            </c:dLbl>
            <c:dLbl>
              <c:idx val="5"/>
              <c:layout>
                <c:manualLayout>
                  <c:x val="-1.304819097620085E-3"/>
                  <c:y val="0.105428633379984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EXW-v2'!$F$133:$F$139</c:f>
              <c:numCache>
                <c:formatCode>[Color3]\▼_(* #,##0.0,,,_);_(* \(#,##0.0,,,\);;_(@_)</c:formatCode>
                <c:ptCount val="7"/>
                <c:pt idx="1">
                  <c:v>20010466384.425846</c:v>
                </c:pt>
                <c:pt idx="2">
                  <c:v>0</c:v>
                </c:pt>
                <c:pt idx="3">
                  <c:v>13426131689.15097</c:v>
                </c:pt>
                <c:pt idx="4">
                  <c:v>0</c:v>
                </c:pt>
                <c:pt idx="5">
                  <c:v>11558294418.000031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78-43E6-B5EC-5C52D766083B}"/>
            </c:ext>
          </c:extLst>
        </c:ser>
        <c:ser>
          <c:idx val="4"/>
          <c:order val="4"/>
          <c:tx>
            <c:strRef>
              <c:f>'BĐ-LG EXW-v2'!$G$132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E78-43E6-B5EC-5C52D766083B}"/>
              </c:ext>
            </c:extLst>
          </c:dPt>
          <c:dLbls>
            <c:dLbl>
              <c:idx val="6"/>
              <c:layout>
                <c:manualLayout>
                  <c:x val="-1.2985518562851556E-3"/>
                  <c:y val="-0.18130968715638249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EXW-v2'!$G$133:$G$139</c:f>
              <c:numCache>
                <c:formatCode>_(* #,##0,,,_);_(* \(#,##0,,,\);;_(@_)</c:formatCode>
                <c:ptCount val="7"/>
                <c:pt idx="6" formatCode="_(* #,##0.0,,,_);_(* \(#,##0.0,,,\);;_(@_)">
                  <c:v>7407279957.9999619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78-43E6-B5EC-5C52D766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038128169987209E-5"/>
          <c:y val="5.734784164125234E-2"/>
          <c:w val="0.99413175910555107"/>
          <c:h val="0.837092865175658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'S10'!$B$14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721192922673498E-3"/>
                  <c:y val="-0.229868881521388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'S10'!$A$15:$A$24</c:f>
              <c:strCache>
                <c:ptCount val="10"/>
                <c:pt idx="0">
                  <c:v>KH T11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T11</c:v>
                </c:pt>
              </c:strCache>
            </c:strRef>
          </c:cat>
          <c:val>
            <c:numRef>
              <c:f>'S10'!$B$15:$B$24</c:f>
              <c:numCache>
                <c:formatCode>_(* #,##0,,,_);_(* \(#,##0,,,\);_(* "-"??_);_(@_)</c:formatCode>
                <c:ptCount val="10"/>
                <c:pt idx="0" formatCode="_(* #,##0.00,,,_);_(* \(#,##0.00,,,\);_(* &quot;-&quot;??_);_(@_)">
                  <c:v>18896186089.971825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5-4D1A-809A-6073F450F095}"/>
            </c:ext>
          </c:extLst>
        </c:ser>
        <c:ser>
          <c:idx val="1"/>
          <c:order val="1"/>
          <c:tx>
            <c:strRef>
              <c:f>'S10'!$C$14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'S10'!$A$15:$A$24</c:f>
              <c:strCache>
                <c:ptCount val="10"/>
                <c:pt idx="0">
                  <c:v>KH T11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T11</c:v>
                </c:pt>
              </c:strCache>
            </c:strRef>
          </c:cat>
          <c:val>
            <c:numRef>
              <c:f>'S10'!$C$15:$C$24</c:f>
              <c:numCache>
                <c:formatCode>_(* #,##0.0,,,_);_(* \(#,##0.0,,,\);_(* "-"??_);_(@_)</c:formatCode>
                <c:ptCount val="10"/>
                <c:pt idx="2">
                  <c:v>-11375820063.925777</c:v>
                </c:pt>
                <c:pt idx="3">
                  <c:v>-11375820063.925777</c:v>
                </c:pt>
                <c:pt idx="4">
                  <c:v>-9887543743.9214191</c:v>
                </c:pt>
                <c:pt idx="5">
                  <c:v>-9757297071.9214191</c:v>
                </c:pt>
                <c:pt idx="6">
                  <c:v>-9744502435.9214191</c:v>
                </c:pt>
                <c:pt idx="7">
                  <c:v>-9744502435.9214191</c:v>
                </c:pt>
                <c:pt idx="8">
                  <c:v>-6920289919.8635941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5-4D1A-809A-6073F450F095}"/>
            </c:ext>
          </c:extLst>
        </c:ser>
        <c:ser>
          <c:idx val="2"/>
          <c:order val="2"/>
          <c:tx>
            <c:strRef>
              <c:f>'S10'!$D$14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E75-4D1A-809A-6073F450F0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E75-4D1A-809A-6073F450F09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0536AB-7962-4A3F-B140-09649860E2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E75-4D1A-809A-6073F450F09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5524DA6-1A86-475F-B063-D3E889E04E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E75-4D1A-809A-6073F450F095}"/>
                </c:ext>
              </c:extLst>
            </c:dLbl>
            <c:dLbl>
              <c:idx val="3"/>
              <c:layout>
                <c:manualLayout>
                  <c:x val="-5.5105496961992062E-17"/>
                  <c:y val="6.0951277534294822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AE75-4D1A-809A-6073F450F095}"/>
                </c:ext>
              </c:extLst>
            </c:dLbl>
            <c:dLbl>
              <c:idx val="4"/>
              <c:layout>
                <c:manualLayout>
                  <c:x val="0"/>
                  <c:y val="5.2828385065227169E-2"/>
                </c:manualLayout>
              </c:layout>
              <c:tx>
                <c:rich>
                  <a:bodyPr/>
                  <a:lstStyle/>
                  <a:p>
                    <a:fld id="{DF1E864F-090F-4C77-AFF1-81CC1BBEE2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E75-4D1A-809A-6073F450F095}"/>
                </c:ext>
              </c:extLst>
            </c:dLbl>
            <c:dLbl>
              <c:idx val="5"/>
              <c:layout>
                <c:manualLayout>
                  <c:x val="0"/>
                  <c:y val="3.8232763575749736E-2"/>
                </c:manualLayout>
              </c:layout>
              <c:tx>
                <c:rich>
                  <a:bodyPr/>
                  <a:lstStyle/>
                  <a:p>
                    <a:fld id="{52B974B2-FD0E-409A-9C4A-D14E0CD30D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E75-4D1A-809A-6073F450F09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2302CAA-47C5-4798-949C-69B36A451F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E75-4D1A-809A-6073F450F09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E75-4D1A-809A-6073F450F095}"/>
                </c:ext>
              </c:extLst>
            </c:dLbl>
            <c:dLbl>
              <c:idx val="8"/>
              <c:layout>
                <c:manualLayout>
                  <c:x val="-1.0062091905149591E-16"/>
                  <c:y val="7.1578490753114732E-2"/>
                </c:manualLayout>
              </c:layout>
              <c:tx>
                <c:rich>
                  <a:bodyPr/>
                  <a:lstStyle/>
                  <a:p>
                    <a:fld id="{E18E0CDD-0E43-413E-A1DD-2D21CA6A5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E75-4D1A-809A-6073F450F0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'S10'!$A$15:$A$24</c:f>
              <c:strCache>
                <c:ptCount val="10"/>
                <c:pt idx="0">
                  <c:v>KH T11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T11</c:v>
                </c:pt>
              </c:strCache>
            </c:strRef>
          </c:cat>
          <c:val>
            <c:numRef>
              <c:f>'S10'!$D$15:$D$24</c:f>
              <c:numCache>
                <c:formatCode>_(* #,##0.0,,,_);_(* \(#,##0.0,,,\);_(* "-"??_);_(@_)</c:formatCode>
                <c:ptCount val="10"/>
                <c:pt idx="1">
                  <c:v>18896186089.971825</c:v>
                </c:pt>
                <c:pt idx="2">
                  <c:v>-294438218.7258296</c:v>
                </c:pt>
                <c:pt idx="4">
                  <c:v>-3618745585</c:v>
                </c:pt>
                <c:pt idx="5">
                  <c:v>-130246672</c:v>
                </c:pt>
                <c:pt idx="6">
                  <c:v>-12794636</c:v>
                </c:pt>
                <c:pt idx="8">
                  <c:v>-3930364321.0578256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'S10'!$I$15:$I$24</c15:f>
                <c15:dlblRangeCache>
                  <c:ptCount val="10"/>
                  <c:pt idx="2">
                    <c:v>▲ 0.3 </c:v>
                  </c:pt>
                  <c:pt idx="4">
                    <c:v>▲ 3.6 </c:v>
                  </c:pt>
                  <c:pt idx="5">
                    <c:v>▲ 0.1 </c:v>
                  </c:pt>
                  <c:pt idx="6">
                    <c:v>▲ 0.0 </c:v>
                  </c:pt>
                  <c:pt idx="8">
                    <c:v>▲ 3.9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AE75-4D1A-809A-6073F450F095}"/>
            </c:ext>
          </c:extLst>
        </c:ser>
        <c:ser>
          <c:idx val="3"/>
          <c:order val="3"/>
          <c:tx>
            <c:strRef>
              <c:f>'S10'!$E$14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E75-4D1A-809A-6073F450F0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E75-4D1A-809A-6073F450F095}"/>
                </c:ext>
              </c:extLst>
            </c:dLbl>
            <c:dLbl>
              <c:idx val="1"/>
              <c:layout>
                <c:manualLayout>
                  <c:x val="-4.2470873526794951E-3"/>
                  <c:y val="0.49451865075570006"/>
                </c:manualLayout>
              </c:layout>
              <c:tx>
                <c:rich>
                  <a:bodyPr/>
                  <a:lstStyle/>
                  <a:p>
                    <a:fld id="{FBF31A28-F487-454D-9D72-5721C08B02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E75-4D1A-809A-6073F450F095}"/>
                </c:ext>
              </c:extLst>
            </c:dLbl>
            <c:dLbl>
              <c:idx val="2"/>
              <c:layout>
                <c:manualLayout>
                  <c:x val="-1.3721192922673516E-3"/>
                  <c:y val="-6.5104305028673037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AE75-4D1A-809A-6073F450F095}"/>
                </c:ext>
              </c:extLst>
            </c:dLbl>
            <c:dLbl>
              <c:idx val="3"/>
              <c:layout>
                <c:manualLayout>
                  <c:x val="-2.7442385845347032E-3"/>
                  <c:y val="-4.8275057470042966E-2"/>
                </c:manualLayout>
              </c:layout>
              <c:tx>
                <c:rich>
                  <a:bodyPr/>
                  <a:lstStyle/>
                  <a:p>
                    <a:fld id="{17823AA0-D51D-44E8-AC89-8E15B6014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E75-4D1A-809A-6073F450F09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E75-4D1A-809A-6073F450F09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E75-4D1A-809A-6073F450F09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E75-4D1A-809A-6073F450F095}"/>
                </c:ext>
              </c:extLst>
            </c:dLbl>
            <c:dLbl>
              <c:idx val="7"/>
              <c:layout>
                <c:manualLayout>
                  <c:x val="1.372119292267251E-3"/>
                  <c:y val="-5.9612772340704376E-2"/>
                </c:manualLayout>
              </c:layout>
              <c:tx>
                <c:rich>
                  <a:bodyPr/>
                  <a:lstStyle/>
                  <a:p>
                    <a:fld id="{18E63520-5969-482C-8BC9-2CD8941E6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E75-4D1A-809A-6073F450F09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E75-4D1A-809A-6073F450F0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'S10'!$A$15:$A$24</c:f>
              <c:strCache>
                <c:ptCount val="10"/>
                <c:pt idx="0">
                  <c:v>KH T11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T11</c:v>
                </c:pt>
              </c:strCache>
            </c:strRef>
          </c:cat>
          <c:val>
            <c:numRef>
              <c:f>'S10'!$E$15:$E$24</c:f>
              <c:numCache>
                <c:formatCode>_(* #,##0.0,,,_);_(* \(#,##0.0,,,\);_(* "-"??_);_(@_)</c:formatCode>
                <c:ptCount val="10"/>
                <c:pt idx="1">
                  <c:v>-11670258282.651608</c:v>
                </c:pt>
                <c:pt idx="3">
                  <c:v>-2130469264.9956417</c:v>
                </c:pt>
                <c:pt idx="7">
                  <c:v>-1106151805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'S10'!$J$15:$J$24</c15:f>
                <c15:dlblRangeCache>
                  <c:ptCount val="10"/>
                  <c:pt idx="1">
                    <c:v>▼ 30.6 </c:v>
                  </c:pt>
                  <c:pt idx="3">
                    <c:v>▼ 2.1 </c:v>
                  </c:pt>
                  <c:pt idx="7">
                    <c:v>▼ 1.1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AE75-4D1A-809A-6073F450F095}"/>
            </c:ext>
          </c:extLst>
        </c:ser>
        <c:ser>
          <c:idx val="4"/>
          <c:order val="4"/>
          <c:tx>
            <c:strRef>
              <c:f>'S10'!$F$14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E75-4D1A-809A-6073F450F095}"/>
              </c:ext>
            </c:extLst>
          </c:dPt>
          <c:dLbls>
            <c:dLbl>
              <c:idx val="9"/>
              <c:layout>
                <c:manualLayout>
                  <c:x val="-1.0062091905149591E-16"/>
                  <c:y val="-0.122863912000878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'S10'!$A$15:$A$24</c:f>
              <c:strCache>
                <c:ptCount val="10"/>
                <c:pt idx="0">
                  <c:v>KH T11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T11</c:v>
                </c:pt>
              </c:strCache>
            </c:strRef>
          </c:cat>
          <c:val>
            <c:numRef>
              <c:f>'S10'!$F$15:$F$24</c:f>
              <c:numCache>
                <c:formatCode>_(* #,##0,,,_);_(* \(#,##0,,,\);_(* "-"??_);_(@_)</c:formatCode>
                <c:ptCount val="10"/>
                <c:pt idx="9" formatCode="_(* #,##0.00,,,_);_(* \(#,##0.00,,,\);_(* &quot;-&quot;??_);_(@_)">
                  <c:v>-6920289919.8635941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E75-4D1A-809A-6073F450F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09665871"/>
        <c:axId val="1609655791"/>
      </c:barChart>
      <c:catAx>
        <c:axId val="160966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55791"/>
        <c:crosses val="autoZero"/>
        <c:auto val="1"/>
        <c:lblAlgn val="ctr"/>
        <c:lblOffset val="100"/>
        <c:noMultiLvlLbl val="0"/>
      </c:catAx>
      <c:valAx>
        <c:axId val="1609655791"/>
        <c:scaling>
          <c:orientation val="minMax"/>
        </c:scaling>
        <c:delete val="1"/>
        <c:axPos val="l"/>
        <c:numFmt formatCode="_(* #,##0.00,,,_);_(* \(#,##0.00,,,\);_(* &quot;-&quot;??_);_(@_)" sourceLinked="1"/>
        <c:majorTickMark val="none"/>
        <c:minorTickMark val="none"/>
        <c:tickLblPos val="nextTo"/>
        <c:crossAx val="160966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5.0920010680872499E-2"/>
          <c:w val="0.99486621846467527"/>
          <c:h val="0.821449267787912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 (PDM)'!$C$78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410132622060344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26-4487-8EA1-03B30059E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 (PDM)'!$A$79:$B$98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 (PDM)'!$C$79:$C$98</c:f>
              <c:numCache>
                <c:formatCode>_(* #,##0,,,_);_(* \(#,##0,,,\);;_(@_)</c:formatCode>
                <c:ptCount val="20"/>
                <c:pt idx="0" formatCode="_(* #,##0.0,,,_);_(* \(#,##0.0,,,\);;_(@_)">
                  <c:v>48459973133.623398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6-4487-8EA1-03B30059EF40}"/>
            </c:ext>
          </c:extLst>
        </c:ser>
        <c:ser>
          <c:idx val="1"/>
          <c:order val="1"/>
          <c:tx>
            <c:strRef>
              <c:f>'BĐ-LG EXW-v2 (PDM)'!$D$78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'BĐ-LG EXW-v2 (PDM)'!$A$79:$B$98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 (PDM)'!$D$79:$D$98</c:f>
              <c:numCache>
                <c:formatCode>_(* #,##0,,,_);_(* \(#,##0,,,\);;_(@_)</c:formatCode>
                <c:ptCount val="20"/>
                <c:pt idx="1">
                  <c:v>31733939819.105095</c:v>
                </c:pt>
                <c:pt idx="2">
                  <c:v>31733939819.105095</c:v>
                </c:pt>
                <c:pt idx="3">
                  <c:v>23542954965.456642</c:v>
                </c:pt>
                <c:pt idx="4">
                  <c:v>20462771666.496628</c:v>
                </c:pt>
                <c:pt idx="5">
                  <c:v>19768024997.966206</c:v>
                </c:pt>
                <c:pt idx="6">
                  <c:v>17955531547.729649</c:v>
                </c:pt>
                <c:pt idx="7">
                  <c:v>17478364266.369156</c:v>
                </c:pt>
                <c:pt idx="8">
                  <c:v>17478364266.369156</c:v>
                </c:pt>
                <c:pt idx="9">
                  <c:v>15423093288.715935</c:v>
                </c:pt>
                <c:pt idx="10">
                  <c:v>15423093288.715935</c:v>
                </c:pt>
                <c:pt idx="11">
                  <c:v>15686982980.573488</c:v>
                </c:pt>
                <c:pt idx="12">
                  <c:v>15878529057.124123</c:v>
                </c:pt>
                <c:pt idx="13">
                  <c:v>15878529057.124123</c:v>
                </c:pt>
                <c:pt idx="14">
                  <c:v>15887556875.679535</c:v>
                </c:pt>
                <c:pt idx="15">
                  <c:v>15532809829.454941</c:v>
                </c:pt>
                <c:pt idx="16">
                  <c:v>15532809829.454941</c:v>
                </c:pt>
                <c:pt idx="17">
                  <c:v>17652558878.000008</c:v>
                </c:pt>
                <c:pt idx="18">
                  <c:v>7407279957.9999619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26-4487-8EA1-03B30059EF40}"/>
            </c:ext>
          </c:extLst>
        </c:ser>
        <c:ser>
          <c:idx val="2"/>
          <c:order val="2"/>
          <c:tx>
            <c:strRef>
              <c:f>'BĐ-LG EXW-v2 (PDM)'!$E$78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1431357130718559E-3"/>
                  <c:y val="-4.63813759738889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26-4487-8EA1-03B30059EF40}"/>
                </c:ext>
              </c:extLst>
            </c:dLbl>
            <c:dLbl>
              <c:idx val="14"/>
              <c:layout>
                <c:manualLayout>
                  <c:x val="-1.5320359993251221E-6"/>
                  <c:y val="-3.39005445883181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26-4487-8EA1-03B30059EF40}"/>
                </c:ext>
              </c:extLst>
            </c:dLbl>
            <c:dLbl>
              <c:idx val="16"/>
              <c:layout>
                <c:manualLayout>
                  <c:x val="0"/>
                  <c:y val="-8.51236461892896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26-4487-8EA1-03B30059E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 (PDM)'!$A$79:$B$98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 (PDM)'!$E$79:$E$98</c:f>
              <c:numCache>
                <c:formatCode>[Color10]\▲_(* #,##0.0,,,_);_(* \(#,##0.0,,,\);;_(@_)</c:formatCode>
                <c:ptCount val="20"/>
                <c:pt idx="1">
                  <c:v>0</c:v>
                </c:pt>
                <c:pt idx="2">
                  <c:v>369257373.20782471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641078623.07227111</c:v>
                </c:pt>
                <c:pt idx="9">
                  <c:v>0</c:v>
                </c:pt>
                <c:pt idx="10">
                  <c:v>263889691.85755318</c:v>
                </c:pt>
                <c:pt idx="11">
                  <c:v>191546076.55063421</c:v>
                </c:pt>
                <c:pt idx="12">
                  <c:v>0</c:v>
                </c:pt>
                <c:pt idx="13">
                  <c:v>9027818.5554115176</c:v>
                </c:pt>
                <c:pt idx="14">
                  <c:v>2299365.1080545876</c:v>
                </c:pt>
                <c:pt idx="15">
                  <c:v>0</c:v>
                </c:pt>
                <c:pt idx="16">
                  <c:v>3432764546.5450501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26-4487-8EA1-03B30059EF40}"/>
            </c:ext>
          </c:extLst>
        </c:ser>
        <c:ser>
          <c:idx val="3"/>
          <c:order val="3"/>
          <c:tx>
            <c:strRef>
              <c:f>'BĐ-LG EXW-v2 (PDM)'!$F$78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1430203800533764E-3"/>
                  <c:y val="7.86458569938946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26-4487-8EA1-03B30059EF40}"/>
                </c:ext>
              </c:extLst>
            </c:dLbl>
            <c:dLbl>
              <c:idx val="3"/>
              <c:layout>
                <c:manualLayout>
                  <c:x val="2.0982642812013291E-17"/>
                  <c:y val="-0.177468290929741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926-4487-8EA1-03B30059EF40}"/>
                </c:ext>
              </c:extLst>
            </c:dLbl>
            <c:dLbl>
              <c:idx val="4"/>
              <c:layout>
                <c:manualLayout>
                  <c:x val="0"/>
                  <c:y val="3.1552924146482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26-4487-8EA1-03B30059EF40}"/>
                </c:ext>
              </c:extLst>
            </c:dLbl>
            <c:dLbl>
              <c:idx val="5"/>
              <c:layout>
                <c:manualLayout>
                  <c:x val="-3.4290611401601289E-3"/>
                  <c:y val="5.76237119786058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926-4487-8EA1-03B30059EF40}"/>
                </c:ext>
              </c:extLst>
            </c:dLbl>
            <c:dLbl>
              <c:idx val="9"/>
              <c:layout>
                <c:manualLayout>
                  <c:x val="0"/>
                  <c:y val="2.872867621038071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26-4487-8EA1-03B30059EF40}"/>
                </c:ext>
              </c:extLst>
            </c:dLbl>
            <c:dLbl>
              <c:idx val="15"/>
              <c:layout>
                <c:manualLayout>
                  <c:x val="-1.1445210111978314E-3"/>
                  <c:y val="-9.61192032481336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926-4487-8EA1-03B30059EF40}"/>
                </c:ext>
              </c:extLst>
            </c:dLbl>
            <c:dLbl>
              <c:idx val="17"/>
              <c:layout>
                <c:manualLayout>
                  <c:x val="-1.6786114249610633E-16"/>
                  <c:y val="7.55942247469779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926-4487-8EA1-03B30059E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 (PDM)'!$A$79:$B$98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 (PDM)'!$F$79:$F$98</c:f>
              <c:numCache>
                <c:formatCode>[Color3]\▼_(* #,##0.0,,,_);_(* \(#,##0.0,,,\);;_(@_)</c:formatCode>
                <c:ptCount val="20"/>
                <c:pt idx="1">
                  <c:v>16726033314.518303</c:v>
                </c:pt>
                <c:pt idx="2">
                  <c:v>0</c:v>
                </c:pt>
                <c:pt idx="3">
                  <c:v>8560242226.8562756</c:v>
                </c:pt>
                <c:pt idx="4">
                  <c:v>3080183298.9600129</c:v>
                </c:pt>
                <c:pt idx="5">
                  <c:v>694746668.53042316</c:v>
                </c:pt>
                <c:pt idx="6">
                  <c:v>1812493450.2365561</c:v>
                </c:pt>
                <c:pt idx="7">
                  <c:v>477167281.36049253</c:v>
                </c:pt>
                <c:pt idx="8">
                  <c:v>0</c:v>
                </c:pt>
                <c:pt idx="9">
                  <c:v>2696349600.7254906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357046411.33265001</c:v>
                </c:pt>
                <c:pt idx="16">
                  <c:v>0</c:v>
                </c:pt>
                <c:pt idx="17">
                  <c:v>1313015497.9999847</c:v>
                </c:pt>
                <c:pt idx="18">
                  <c:v>10245278920.000046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926-4487-8EA1-03B30059EF40}"/>
            </c:ext>
          </c:extLst>
        </c:ser>
        <c:ser>
          <c:idx val="4"/>
          <c:order val="4"/>
          <c:tx>
            <c:strRef>
              <c:f>'BĐ-LG EXW-v2 (PDM)'!$G$78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926-4487-8EA1-03B30059EF40}"/>
              </c:ext>
            </c:extLst>
          </c:dPt>
          <c:dLbls>
            <c:dLbl>
              <c:idx val="19"/>
              <c:layout>
                <c:manualLayout>
                  <c:x val="-2.2890420223958307E-3"/>
                  <c:y val="-0.11563056621322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926-4487-8EA1-03B30059E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 (PDM)'!$A$79:$B$98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T11</c:v>
                  </c:pt>
                </c:lvl>
              </c:multiLvlStrCache>
            </c:multiLvlStrRef>
          </c:cat>
          <c:val>
            <c:numRef>
              <c:f>'BĐ-LG EXW-v2 (PDM)'!$G$79:$G$98</c:f>
              <c:numCache>
                <c:formatCode>_(* #,##0,,,_);_(* \(#,##0,,,\);;_(@_)</c:formatCode>
                <c:ptCount val="20"/>
                <c:pt idx="19" formatCode="_(* #,##0.0,,,_);_(* \(#,##0.0,,,\);;_(@_)">
                  <c:v>7407279957.9999619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926-4487-8EA1-03B30059E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4488730576202072"/>
          <c:w val="1"/>
          <c:h val="0.72288622618944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 (PDM)'!$C$132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144452674859317E-3"/>
                  <c:y val="-0.373636584529978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54-41C7-92C4-8E208E58F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 (PDM)'!$B$133:$B$139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 (PDM)'!$C$133:$C$139</c:f>
              <c:numCache>
                <c:formatCode>_(* #,##0,,,_);_(* \(#,##0,,,\);;_(@_)</c:formatCode>
                <c:ptCount val="7"/>
                <c:pt idx="0" formatCode="_(* #,##0.0,,,_);_(* \(#,##0.0,,,\);;_(@_)">
                  <c:v>48459973133.623398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4-41C7-92C4-8E208E58F8FE}"/>
            </c:ext>
          </c:extLst>
        </c:ser>
        <c:ser>
          <c:idx val="1"/>
          <c:order val="1"/>
          <c:tx>
            <c:strRef>
              <c:f>'BĐ-LG EXW-v2 (PDM)'!$D$132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'BĐ-LG EXW-v2 (PDM)'!$B$133:$B$139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 (PDM)'!$D$133:$D$139</c:f>
              <c:numCache>
                <c:formatCode>_(* #,##0,,,_);_(* \(#,##0,,,\);;_(@_)</c:formatCode>
                <c:ptCount val="7"/>
                <c:pt idx="1">
                  <c:v>28449506749.197552</c:v>
                </c:pt>
                <c:pt idx="2">
                  <c:v>28449506749.197552</c:v>
                </c:pt>
                <c:pt idx="3">
                  <c:v>15532809829.454941</c:v>
                </c:pt>
                <c:pt idx="4">
                  <c:v>15532809829.454941</c:v>
                </c:pt>
                <c:pt idx="5">
                  <c:v>7407279957.9999619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54-41C7-92C4-8E208E58F8FE}"/>
            </c:ext>
          </c:extLst>
        </c:ser>
        <c:ser>
          <c:idx val="2"/>
          <c:order val="2"/>
          <c:tx>
            <c:strRef>
              <c:f>'BĐ-LG EXW-v2 (PDM)'!$E$132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6.2654562559890292E-4"/>
                  <c:y val="-9.374215944590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54-41C7-92C4-8E208E58F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'BĐ-LG EXW-v2 (PDM)'!$B$133:$B$139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 (PDM)'!$E$133:$E$139</c:f>
              <c:numCache>
                <c:formatCode>[Color10]\▲_(* #,##0.0,,,_);_(* \(#,##0.0,,,\);;_(@_)</c:formatCode>
                <c:ptCount val="7"/>
                <c:pt idx="1">
                  <c:v>0</c:v>
                </c:pt>
                <c:pt idx="2">
                  <c:v>509434769.40836143</c:v>
                </c:pt>
                <c:pt idx="3">
                  <c:v>0</c:v>
                </c:pt>
                <c:pt idx="4">
                  <c:v>3432764546.5450501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54-41C7-92C4-8E208E58F8FE}"/>
            </c:ext>
          </c:extLst>
        </c:ser>
        <c:ser>
          <c:idx val="3"/>
          <c:order val="3"/>
          <c:tx>
            <c:strRef>
              <c:f>'BĐ-LG EXW-v2 (PDM)'!$F$132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400026E-3"/>
                  <c:y val="0.123829182568243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54-41C7-92C4-8E208E58F8FE}"/>
                </c:ext>
              </c:extLst>
            </c:dLbl>
            <c:dLbl>
              <c:idx val="2"/>
              <c:layout>
                <c:manualLayout>
                  <c:x val="-1.3048190976199894E-3"/>
                  <c:y val="9.89460179137530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54-41C7-92C4-8E208E58F8FE}"/>
                </c:ext>
              </c:extLst>
            </c:dLbl>
            <c:dLbl>
              <c:idx val="3"/>
              <c:layout>
                <c:manualLayout>
                  <c:x val="-2.6096381952399788E-3"/>
                  <c:y val="0.276684010205577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54-41C7-92C4-8E208E58F8FE}"/>
                </c:ext>
              </c:extLst>
            </c:dLbl>
            <c:dLbl>
              <c:idx val="5"/>
              <c:layout>
                <c:manualLayout>
                  <c:x val="-1.304819097620085E-3"/>
                  <c:y val="0.105428633379984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54-41C7-92C4-8E208E58F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 (PDM)'!$B$133:$B$139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 (PDM)'!$F$133:$F$139</c:f>
              <c:numCache>
                <c:formatCode>[Color3]\▼_(* #,##0.0,,,_);_(* \(#,##0.0,,,\);;_(@_)</c:formatCode>
                <c:ptCount val="7"/>
                <c:pt idx="1">
                  <c:v>20010466384.425846</c:v>
                </c:pt>
                <c:pt idx="2">
                  <c:v>0</c:v>
                </c:pt>
                <c:pt idx="3">
                  <c:v>13426131689.15097</c:v>
                </c:pt>
                <c:pt idx="4">
                  <c:v>0</c:v>
                </c:pt>
                <c:pt idx="5">
                  <c:v>11558294418.000031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54-41C7-92C4-8E208E58F8FE}"/>
            </c:ext>
          </c:extLst>
        </c:ser>
        <c:ser>
          <c:idx val="4"/>
          <c:order val="4"/>
          <c:tx>
            <c:strRef>
              <c:f>'BĐ-LG EXW-v2 (PDM)'!$G$132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354-41C7-92C4-8E208E58F8FE}"/>
              </c:ext>
            </c:extLst>
          </c:dPt>
          <c:dLbls>
            <c:dLbl>
              <c:idx val="6"/>
              <c:layout>
                <c:manualLayout>
                  <c:x val="-1.2985518562851556E-3"/>
                  <c:y val="-0.18130968715638249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9354-41C7-92C4-8E208E58F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 (PDM)'!$B$133:$B$139</c:f>
              <c:strCache>
                <c:ptCount val="7"/>
                <c:pt idx="0">
                  <c:v>KH T11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T11</c:v>
                </c:pt>
              </c:strCache>
            </c:strRef>
          </c:cat>
          <c:val>
            <c:numRef>
              <c:f>'BĐ-LG EXW-v2 (PDM)'!$G$133:$G$139</c:f>
              <c:numCache>
                <c:formatCode>_(* #,##0,,,_);_(* \(#,##0,,,\);;_(@_)</c:formatCode>
                <c:ptCount val="7"/>
                <c:pt idx="6" formatCode="_(* #,##0.0,,,_);_(* \(#,##0.0,,,\);;_(@_)">
                  <c:v>7407279957.9999619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54-41C7-92C4-8E208E58F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5371011596898E-2"/>
          <c:y val="0"/>
          <c:w val="0.96958925797680617"/>
          <c:h val="0.85863680340417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'S11'!$C$68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6689371618155611E-3"/>
                  <c:y val="-0.40917625473776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3F-4AF4-A3EF-1B2068B60A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'S11'!$A$69:$B$83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'S11'!$C$69:$C$83</c:f>
              <c:numCache>
                <c:formatCode>_(* #,##0,,,_);_(* \(#,##0,,,\);;_(@_)</c:formatCode>
                <c:ptCount val="15"/>
                <c:pt idx="0" formatCode="_(* #,##0.0,,,_);_(* \(#,##0.0,,,\);;_(@_)">
                  <c:v>48459973133.623436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F-4AF4-A3EF-1B2068B60A8F}"/>
            </c:ext>
          </c:extLst>
        </c:ser>
        <c:ser>
          <c:idx val="1"/>
          <c:order val="1"/>
          <c:tx>
            <c:strRef>
              <c:f>'S11'!$D$68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'S11'!$A$69:$B$83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'S11'!$D$69:$D$83</c:f>
              <c:numCache>
                <c:formatCode>_(* #,##0,,,_);_(* \(#,##0,,,\);;_(@_)</c:formatCode>
                <c:ptCount val="15"/>
                <c:pt idx="1">
                  <c:v>32103197192.312939</c:v>
                </c:pt>
                <c:pt idx="2">
                  <c:v>23542954965.456661</c:v>
                </c:pt>
                <c:pt idx="3">
                  <c:v>19768024997.966225</c:v>
                </c:pt>
                <c:pt idx="4">
                  <c:v>17955531547.729668</c:v>
                </c:pt>
                <c:pt idx="5">
                  <c:v>17955531547.729668</c:v>
                </c:pt>
                <c:pt idx="6">
                  <c:v>15423093288.715956</c:v>
                </c:pt>
                <c:pt idx="7">
                  <c:v>15423093288.715956</c:v>
                </c:pt>
                <c:pt idx="8">
                  <c:v>15878529057.124142</c:v>
                </c:pt>
                <c:pt idx="9">
                  <c:v>15878529057.124142</c:v>
                </c:pt>
                <c:pt idx="10">
                  <c:v>15532809829.454958</c:v>
                </c:pt>
                <c:pt idx="11">
                  <c:v>15532809829.454958</c:v>
                </c:pt>
                <c:pt idx="12">
                  <c:v>17652558878.000004</c:v>
                </c:pt>
                <c:pt idx="13">
                  <c:v>7407279957.999958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F-4AF4-A3EF-1B2068B60A8F}"/>
            </c:ext>
          </c:extLst>
        </c:ser>
        <c:ser>
          <c:idx val="2"/>
          <c:order val="2"/>
          <c:tx>
            <c:strRef>
              <c:f>'S11'!$E$68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C3F-4AF4-A3EF-1B2068B60A8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3F-4AF4-A3EF-1B2068B60A8F}"/>
                </c:ext>
              </c:extLst>
            </c:dLbl>
            <c:dLbl>
              <c:idx val="1"/>
              <c:layout>
                <c:manualLayout>
                  <c:x val="1.3463207703583843E-3"/>
                  <c:y val="-6.4739469757833151E-2"/>
                </c:manualLayout>
              </c:layout>
              <c:tx>
                <c:rich>
                  <a:bodyPr/>
                  <a:lstStyle/>
                  <a:p>
                    <a:fld id="{A28E9670-2683-42E8-8A93-9700836F6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3F-4AF4-A3EF-1B2068B60A8F}"/>
                </c:ext>
              </c:extLst>
            </c:dLbl>
            <c:dLbl>
              <c:idx val="2"/>
              <c:layout>
                <c:manualLayout>
                  <c:x val="0"/>
                  <c:y val="-2.8030617379865657E-2"/>
                </c:manualLayout>
              </c:layout>
              <c:tx>
                <c:rich>
                  <a:bodyPr/>
                  <a:lstStyle/>
                  <a:p>
                    <a:fld id="{F69D1EAE-CE3F-4F2E-8B29-90D281B338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3F-4AF4-A3EF-1B2068B60A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A1FB5D-20F9-4360-95A2-827A94389D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C3F-4AF4-A3EF-1B2068B60A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FA31A43-B7D6-4ECB-A57A-3FBFEA8AF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C3F-4AF4-A3EF-1B2068B60A8F}"/>
                </c:ext>
              </c:extLst>
            </c:dLbl>
            <c:dLbl>
              <c:idx val="5"/>
              <c:layout>
                <c:manualLayout>
                  <c:x val="-4.7712351170349945E-17"/>
                  <c:y val="-3.5852933608302884E-2"/>
                </c:manualLayout>
              </c:layout>
              <c:tx>
                <c:rich>
                  <a:bodyPr/>
                  <a:lstStyle/>
                  <a:p>
                    <a:fld id="{58729E34-67D1-485C-AA5F-84F9889528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C3F-4AF4-A3EF-1B2068B60A8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A1B71E4-273D-4567-88F2-72935244AE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C3F-4AF4-A3EF-1B2068B60A8F}"/>
                </c:ext>
              </c:extLst>
            </c:dLbl>
            <c:dLbl>
              <c:idx val="7"/>
              <c:layout>
                <c:manualLayout>
                  <c:x val="0"/>
                  <c:y val="-2.5965299183626486E-2"/>
                </c:manualLayout>
              </c:layout>
              <c:tx>
                <c:rich>
                  <a:bodyPr/>
                  <a:lstStyle/>
                  <a:p>
                    <a:fld id="{59AC540D-3961-4239-9087-BFB6BF8F2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C3F-4AF4-A3EF-1B2068B60A8F}"/>
                </c:ext>
              </c:extLst>
            </c:dLbl>
            <c:dLbl>
              <c:idx val="8"/>
              <c:layout>
                <c:manualLayout>
                  <c:x val="-1.0337134415734956E-16"/>
                  <c:y val="-3.1208329786932221E-2"/>
                </c:manualLayout>
              </c:layout>
              <c:tx>
                <c:rich>
                  <a:bodyPr/>
                  <a:lstStyle/>
                  <a:p>
                    <a:fld id="{595D0226-2503-477A-B85F-2D6FFA2BB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C3F-4AF4-A3EF-1B2068B60A8F}"/>
                </c:ext>
              </c:extLst>
            </c:dLbl>
            <c:dLbl>
              <c:idx val="9"/>
              <c:layout>
                <c:manualLayout>
                  <c:x val="-1.0119810024437543E-16"/>
                  <c:y val="-3.1735365668876782E-2"/>
                </c:manualLayout>
              </c:layout>
              <c:tx>
                <c:rich>
                  <a:bodyPr/>
                  <a:lstStyle/>
                  <a:p>
                    <a:fld id="{7B6C9BF8-74C3-46DD-8320-90A3AFF50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C3F-4AF4-A3EF-1B2068B60A8F}"/>
                </c:ext>
              </c:extLst>
            </c:dLbl>
            <c:dLbl>
              <c:idx val="10"/>
              <c:layout>
                <c:manualLayout>
                  <c:x val="0"/>
                  <c:y val="-2.6816356522873439E-2"/>
                </c:manualLayout>
              </c:layout>
              <c:tx>
                <c:rich>
                  <a:bodyPr/>
                  <a:lstStyle/>
                  <a:p>
                    <a:fld id="{F5E8F613-6516-418B-A224-BC481BEEC6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C3F-4AF4-A3EF-1B2068B60A8F}"/>
                </c:ext>
              </c:extLst>
            </c:dLbl>
            <c:dLbl>
              <c:idx val="11"/>
              <c:layout>
                <c:manualLayout>
                  <c:x val="-1.7363278955485231E-3"/>
                  <c:y val="-5.9332397328760479E-2"/>
                </c:manualLayout>
              </c:layout>
              <c:tx>
                <c:rich>
                  <a:bodyPr/>
                  <a:lstStyle/>
                  <a:p>
                    <a:fld id="{16C74DDC-427D-4ABF-BC5E-32EC5A022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C3F-4AF4-A3EF-1B2068B60A8F}"/>
                </c:ext>
              </c:extLst>
            </c:dLbl>
            <c:dLbl>
              <c:idx val="12"/>
              <c:layout>
                <c:manualLayout>
                  <c:x val="1.3795272102196997E-3"/>
                  <c:y val="-5.2085702955921652E-2"/>
                </c:manualLayout>
              </c:layout>
              <c:tx>
                <c:rich>
                  <a:bodyPr/>
                  <a:lstStyle/>
                  <a:p>
                    <a:fld id="{D8246C82-DA0D-4E84-A454-3D6DD75011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3F-4AF4-A3EF-1B2068B60A8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ED3E6C7-5BD7-4393-88EF-A3E316A263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C3F-4AF4-A3EF-1B2068B60A8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C3F-4AF4-A3EF-1B2068B60A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'S11'!$A$69:$B$83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'S11'!$E$69:$E$83</c:f>
              <c:numCache>
                <c:formatCode>[Color10]\▲_(* #,##0.0,,,_);_(* \(#,##0.0,,,\);;_(@_)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163911341.71177879</c:v>
                </c:pt>
                <c:pt idx="6">
                  <c:v>0</c:v>
                </c:pt>
                <c:pt idx="7">
                  <c:v>455435768.40818661</c:v>
                </c:pt>
                <c:pt idx="8">
                  <c:v>0</c:v>
                </c:pt>
                <c:pt idx="9">
                  <c:v>11327183.663465697</c:v>
                </c:pt>
                <c:pt idx="10">
                  <c:v>0</c:v>
                </c:pt>
                <c:pt idx="11">
                  <c:v>3432764546.5450454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'S11'!$J$69:$J$83</c15:f>
                <c15:dlblRangeCache>
                  <c:ptCount val="15"/>
                  <c:pt idx="5">
                    <c:v>▲ 0.2 </c:v>
                  </c:pt>
                  <c:pt idx="7">
                    <c:v>▲ 0.5 </c:v>
                  </c:pt>
                  <c:pt idx="9">
                    <c:v>▲ 0.0 </c:v>
                  </c:pt>
                  <c:pt idx="11">
                    <c:v>▲ 3.4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CC3F-4AF4-A3EF-1B2068B60A8F}"/>
            </c:ext>
          </c:extLst>
        </c:ser>
        <c:ser>
          <c:idx val="3"/>
          <c:order val="3"/>
          <c:tx>
            <c:strRef>
              <c:f>'S11'!$F$68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C3F-4AF4-A3EF-1B2068B60A8F}"/>
                </c:ext>
              </c:extLst>
            </c:dLbl>
            <c:dLbl>
              <c:idx val="1"/>
              <c:layout>
                <c:manualLayout>
                  <c:x val="-2.4363083127134548E-3"/>
                  <c:y val="-0.1464525170105235"/>
                </c:manualLayout>
              </c:layout>
              <c:tx>
                <c:rich>
                  <a:bodyPr/>
                  <a:lstStyle/>
                  <a:p>
                    <a:fld id="{A04243A4-F08E-4623-8EEB-00E33B03C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CC3F-4AF4-A3EF-1B2068B60A8F}"/>
                </c:ext>
              </c:extLst>
            </c:dLbl>
            <c:dLbl>
              <c:idx val="2"/>
              <c:layout>
                <c:manualLayout>
                  <c:x val="-1.334692831791546E-3"/>
                  <c:y val="-8.8955890938729021E-2"/>
                </c:manualLayout>
              </c:layout>
              <c:tx>
                <c:rich>
                  <a:bodyPr/>
                  <a:lstStyle/>
                  <a:p>
                    <a:fld id="{C6FAF76B-69CC-4000-8ED3-E959B55B76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CC3F-4AF4-A3EF-1B2068B60A8F}"/>
                </c:ext>
              </c:extLst>
            </c:dLbl>
            <c:dLbl>
              <c:idx val="3"/>
              <c:layout>
                <c:manualLayout>
                  <c:x val="-1.5108347671393477E-3"/>
                  <c:y val="5.5209442192567605E-2"/>
                </c:manualLayout>
              </c:layout>
              <c:tx>
                <c:rich>
                  <a:bodyPr/>
                  <a:lstStyle/>
                  <a:p>
                    <a:fld id="{95D36B91-B448-40C9-B46B-01F83580B6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C3F-4AF4-A3EF-1B2068B60A8F}"/>
                </c:ext>
              </c:extLst>
            </c:dLbl>
            <c:dLbl>
              <c:idx val="4"/>
              <c:layout>
                <c:manualLayout>
                  <c:x val="0"/>
                  <c:y val="3.1227872419740989E-2"/>
                </c:manualLayout>
              </c:layout>
              <c:tx>
                <c:rich>
                  <a:bodyPr/>
                  <a:lstStyle/>
                  <a:p>
                    <a:fld id="{B6A45A8C-6148-4289-AA25-B5D61CD314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CC3F-4AF4-A3EF-1B2068B60A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35FDF31-55F3-4F96-8F89-E560D5E6D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C3F-4AF4-A3EF-1B2068B60A8F}"/>
                </c:ext>
              </c:extLst>
            </c:dLbl>
            <c:dLbl>
              <c:idx val="6"/>
              <c:layout>
                <c:manualLayout>
                  <c:x val="-1.339913273115372E-3"/>
                  <c:y val="6.0599769864326025E-2"/>
                </c:manualLayout>
              </c:layout>
              <c:tx>
                <c:rich>
                  <a:bodyPr/>
                  <a:lstStyle/>
                  <a:p>
                    <a:fld id="{1663ACA7-8E5A-45CD-9675-203B5C02A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CC3F-4AF4-A3EF-1B2068B60A8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B2376A4-33B5-4BB4-8D62-A1F568AE6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C3F-4AF4-A3EF-1B2068B60A8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40F342D-D704-49FB-AD45-B9CD1249AD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C3F-4AF4-A3EF-1B2068B60A8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396A282-A06F-4C7B-A43F-4D4BA762FD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C3F-4AF4-A3EF-1B2068B60A8F}"/>
                </c:ext>
              </c:extLst>
            </c:dLbl>
            <c:dLbl>
              <c:idx val="10"/>
              <c:layout>
                <c:manualLayout>
                  <c:x val="0"/>
                  <c:y val="3.9461389706214448E-2"/>
                </c:manualLayout>
              </c:layout>
              <c:tx>
                <c:rich>
                  <a:bodyPr/>
                  <a:lstStyle/>
                  <a:p>
                    <a:fld id="{592964F4-53E1-4377-8A5D-9FA4B0C7F9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CC3F-4AF4-A3EF-1B2068B60A8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95DCB6D-8C80-443C-949A-0840112E7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C3F-4AF4-A3EF-1B2068B60A8F}"/>
                </c:ext>
              </c:extLst>
            </c:dLbl>
            <c:dLbl>
              <c:idx val="12"/>
              <c:layout>
                <c:manualLayout>
                  <c:x val="3.5207822359341678E-5"/>
                  <c:y val="3.1854648370191793E-2"/>
                </c:manualLayout>
              </c:layout>
              <c:tx>
                <c:rich>
                  <a:bodyPr/>
                  <a:lstStyle/>
                  <a:p>
                    <a:fld id="{03A431F0-9CA6-41A9-9EBA-0AB64F378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CC3F-4AF4-A3EF-1B2068B60A8F}"/>
                </c:ext>
              </c:extLst>
            </c:dLbl>
            <c:dLbl>
              <c:idx val="13"/>
              <c:layout>
                <c:manualLayout>
                  <c:x val="-9.5331663810485956E-17"/>
                  <c:y val="0.11854618397014285"/>
                </c:manualLayout>
              </c:layout>
              <c:tx>
                <c:rich>
                  <a:bodyPr/>
                  <a:lstStyle/>
                  <a:p>
                    <a:fld id="{31F02089-35DF-4F34-AB02-1CE08DE1F8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CC3F-4AF4-A3EF-1B2068B60A8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C3F-4AF4-A3EF-1B2068B60A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'S11'!$A$69:$B$83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'S11'!$F$69:$F$83</c:f>
              <c:numCache>
                <c:formatCode>[Color3]\▼_(* #,##0.0,,,_);_(* \(#,##0.0,,,\);;_(@_)</c:formatCode>
                <c:ptCount val="15"/>
                <c:pt idx="1">
                  <c:v>16356775941.310497</c:v>
                </c:pt>
                <c:pt idx="2">
                  <c:v>8560242226.8562765</c:v>
                </c:pt>
                <c:pt idx="3">
                  <c:v>3774929967.490438</c:v>
                </c:pt>
                <c:pt idx="4">
                  <c:v>1812493450.2365561</c:v>
                </c:pt>
                <c:pt idx="5">
                  <c:v>0</c:v>
                </c:pt>
                <c:pt idx="6">
                  <c:v>2696349600.725491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357046411.33265007</c:v>
                </c:pt>
                <c:pt idx="11">
                  <c:v>0</c:v>
                </c:pt>
                <c:pt idx="12">
                  <c:v>1313015498</c:v>
                </c:pt>
                <c:pt idx="13">
                  <c:v>10245278920.000046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'S11'!$K$69:$K$83</c15:f>
                <c15:dlblRangeCache>
                  <c:ptCount val="15"/>
                  <c:pt idx="1">
                    <c:v>▼ 16.4 </c:v>
                  </c:pt>
                  <c:pt idx="2">
                    <c:v>▼ 8.6 </c:v>
                  </c:pt>
                  <c:pt idx="3">
                    <c:v>▼ 3.8 </c:v>
                  </c:pt>
                  <c:pt idx="4">
                    <c:v>▼ 1.8 </c:v>
                  </c:pt>
                  <c:pt idx="6">
                    <c:v>▼ 2.7 </c:v>
                  </c:pt>
                  <c:pt idx="10">
                    <c:v>▼ 0.4 </c:v>
                  </c:pt>
                  <c:pt idx="12">
                    <c:v>▼ 1.3 </c:v>
                  </c:pt>
                  <c:pt idx="13">
                    <c:v>▼ 10.2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CC3F-4AF4-A3EF-1B2068B60A8F}"/>
            </c:ext>
          </c:extLst>
        </c:ser>
        <c:ser>
          <c:idx val="4"/>
          <c:order val="4"/>
          <c:tx>
            <c:strRef>
              <c:f>'S11'!$G$68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4"/>
              <c:layout>
                <c:manualLayout>
                  <c:x val="-2.841701127346284E-3"/>
                  <c:y val="-7.84714292431111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C3F-4AF4-A3EF-1B2068B60A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'S11'!$A$69:$B$83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T11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T11</c:v>
                  </c:pt>
                </c:lvl>
              </c:multiLvlStrCache>
            </c:multiLvlStrRef>
          </c:cat>
          <c:val>
            <c:numRef>
              <c:f>'S11'!$G$69:$G$83</c:f>
              <c:numCache>
                <c:formatCode>_(* #,##0,,,_);_(* \(#,##0,,,\);;_(@_)</c:formatCode>
                <c:ptCount val="15"/>
                <c:pt idx="14" formatCode="_(* #,##0.0,,,_);_(* \(#,##0.0,,,\);;_(@_)">
                  <c:v>7407279957.999958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C3F-4AF4-A3EF-1B2068B60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  <c:max val="55000000000"/>
          <c:min val="0"/>
        </c:scaling>
        <c:delete val="0"/>
        <c:axPos val="l"/>
        <c:numFmt formatCode="_(* #,##0.0,,,_);_(* \(#,##0.0,,,\);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1768933112217E-2"/>
          <c:y val="0.1511521788729181"/>
          <c:w val="0.96959646213377559"/>
          <c:h val="0.710829107090566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'S8'!$C$2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'S8'!$A$3:$B$22</c:f>
            </c:multiLvlStrRef>
          </c:cat>
          <c:val>
            <c:numRef>
              <c:f>'S8'!$C$3:$C$22</c:f>
            </c:numRef>
          </c:val>
          <c:extLst>
            <c:ext xmlns:c16="http://schemas.microsoft.com/office/drawing/2014/chart" uri="{C3380CC4-5D6E-409C-BE32-E72D297353CC}">
              <c16:uniqueId val="{00000000-6831-4DC4-89FA-6BED58416199}"/>
            </c:ext>
          </c:extLst>
        </c:ser>
        <c:ser>
          <c:idx val="1"/>
          <c:order val="1"/>
          <c:tx>
            <c:strRef>
              <c:f>'S8'!$D$2</c:f>
              <c:strCache>
                <c:ptCount val="1"/>
                <c:pt idx="0">
                  <c:v>Hidden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'S8'!$A$3:$B$22</c:f>
            </c:multiLvlStrRef>
          </c:cat>
          <c:val>
            <c:numRef>
              <c:f>'S8'!$D$3:$D$22</c:f>
            </c:numRef>
          </c:val>
          <c:extLst>
            <c:ext xmlns:c16="http://schemas.microsoft.com/office/drawing/2014/chart" uri="{C3380CC4-5D6E-409C-BE32-E72D297353CC}">
              <c16:uniqueId val="{00000001-6831-4DC4-89FA-6BED58416199}"/>
            </c:ext>
          </c:extLst>
        </c:ser>
        <c:ser>
          <c:idx val="2"/>
          <c:order val="2"/>
          <c:tx>
            <c:strRef>
              <c:f>'S8'!$E$2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'S8'!$A$3:$B$22</c:f>
            </c:multiLvlStrRef>
          </c:cat>
          <c:val>
            <c:numRef>
              <c:f>'S8'!$E$3:$E$22</c:f>
            </c:numRef>
          </c:val>
          <c:extLst>
            <c:ext xmlns:c16="http://schemas.microsoft.com/office/drawing/2014/chart" uri="{C3380CC4-5D6E-409C-BE32-E72D297353CC}">
              <c16:uniqueId val="{00000002-6831-4DC4-89FA-6BED58416199}"/>
            </c:ext>
          </c:extLst>
        </c:ser>
        <c:ser>
          <c:idx val="3"/>
          <c:order val="3"/>
          <c:tx>
            <c:strRef>
              <c:f>'S8'!$F$2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'S8'!$A$3:$B$22</c:f>
            </c:multiLvlStrRef>
          </c:cat>
          <c:val>
            <c:numRef>
              <c:f>'S8'!$F$3:$F$22</c:f>
            </c:numRef>
          </c:val>
          <c:extLst>
            <c:ext xmlns:c16="http://schemas.microsoft.com/office/drawing/2014/chart" uri="{C3380CC4-5D6E-409C-BE32-E72D297353CC}">
              <c16:uniqueId val="{00000003-6831-4DC4-89FA-6BED58416199}"/>
            </c:ext>
          </c:extLst>
        </c:ser>
        <c:ser>
          <c:idx val="4"/>
          <c:order val="4"/>
          <c:tx>
            <c:strRef>
              <c:f>'S8'!$G$2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'S8'!$A$3:$B$22</c:f>
            </c:multiLvlStrRef>
          </c:cat>
          <c:val>
            <c:numRef>
              <c:f>'S8'!$G$3:$G$22</c:f>
            </c:numRef>
          </c:val>
          <c:extLst>
            <c:ext xmlns:c16="http://schemas.microsoft.com/office/drawing/2014/chart" uri="{C3380CC4-5D6E-409C-BE32-E72D297353CC}">
              <c16:uniqueId val="{00000004-6831-4DC4-89FA-6BED58416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56959488"/>
        <c:axId val="356954688"/>
      </c:barChart>
      <c:catAx>
        <c:axId val="35695948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4688"/>
        <c:crosses val="autoZero"/>
        <c:auto val="1"/>
        <c:lblAlgn val="ctr"/>
        <c:lblOffset val="100"/>
        <c:noMultiLvlLbl val="0"/>
      </c:catAx>
      <c:valAx>
        <c:axId val="356954688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359021</xdr:colOff>
      <xdr:row>2</xdr:row>
      <xdr:rowOff>123264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3CBCFF-552F-4958-9C0E-5B35B2CBB5B5}"/>
            </a:ext>
          </a:extLst>
        </xdr:cNvPr>
        <xdr:cNvSpPr/>
      </xdr:nvSpPr>
      <xdr:spPr>
        <a:xfrm>
          <a:off x="1" y="0"/>
          <a:ext cx="2187820" cy="50426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FF00"/>
              </a:solidFill>
            </a:rPr>
            <a:t>Vẽ</a:t>
          </a:r>
          <a:r>
            <a:rPr lang="en-US" sz="1100" b="1" baseline="0">
              <a:solidFill>
                <a:srgbClr val="FFFF00"/>
              </a:solidFill>
            </a:rPr>
            <a:t> tổng sản lượng sản phẩm chính -&gt; tác động MIX -&gt; để thấy rõ là cty đang bán </a:t>
          </a:r>
          <a:r>
            <a:rPr lang="en-US" sz="1100" b="1" u="sng" baseline="0">
              <a:solidFill>
                <a:srgbClr val="FFFF00"/>
              </a:solidFill>
            </a:rPr>
            <a:t>mặt hàng xơ sợi </a:t>
          </a:r>
          <a:r>
            <a:rPr lang="en-US" sz="1100" b="1" baseline="0">
              <a:solidFill>
                <a:srgbClr val="FFFF00"/>
              </a:solidFill>
            </a:rPr>
            <a:t>nhiều hơn trong tháng 8</a:t>
          </a:r>
        </a:p>
      </xdr:txBody>
    </xdr:sp>
    <xdr:clientData/>
  </xdr:twoCellAnchor>
  <xdr:twoCellAnchor>
    <xdr:from>
      <xdr:col>0</xdr:col>
      <xdr:colOff>459437</xdr:colOff>
      <xdr:row>124</xdr:row>
      <xdr:rowOff>34738</xdr:rowOff>
    </xdr:from>
    <xdr:to>
      <xdr:col>7</xdr:col>
      <xdr:colOff>1141706</xdr:colOff>
      <xdr:row>146</xdr:row>
      <xdr:rowOff>11206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49DF27-54B1-4B4B-ABA3-E563CFC6C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69</xdr:row>
      <xdr:rowOff>175091</xdr:rowOff>
    </xdr:from>
    <xdr:to>
      <xdr:col>9</xdr:col>
      <xdr:colOff>831757</xdr:colOff>
      <xdr:row>98</xdr:row>
      <xdr:rowOff>84604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821D06E-B301-9601-B02A-91F731FFD87E}"/>
            </a:ext>
          </a:extLst>
        </xdr:cNvPr>
        <xdr:cNvGrpSpPr/>
      </xdr:nvGrpSpPr>
      <xdr:grpSpPr>
        <a:xfrm>
          <a:off x="0" y="8591176"/>
          <a:ext cx="11604345" cy="0"/>
          <a:chOff x="790854" y="17443355"/>
          <a:chExt cx="11096345" cy="543401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31DD0BE-6D21-4101-892F-E240E7A3E770}"/>
              </a:ext>
            </a:extLst>
          </xdr:cNvPr>
          <xdr:cNvGraphicFramePr>
            <a:graphicFrameLocks/>
          </xdr:cNvGraphicFramePr>
        </xdr:nvGraphicFramePr>
        <xdr:xfrm>
          <a:off x="790854" y="17443355"/>
          <a:ext cx="11096345" cy="54340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7ADF889-E2F1-4BD9-8203-38F4F10D1358}"/>
              </a:ext>
            </a:extLst>
          </xdr:cNvPr>
          <xdr:cNvSpPr/>
        </xdr:nvSpPr>
        <xdr:spPr>
          <a:xfrm>
            <a:off x="2140324" y="18411265"/>
            <a:ext cx="8359589" cy="3384177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0</xdr:col>
      <xdr:colOff>461682</xdr:colOff>
      <xdr:row>111</xdr:row>
      <xdr:rowOff>20171</xdr:rowOff>
    </xdr:from>
    <xdr:ext cx="9733150" cy="2400861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619EE2-1CAA-4909-B62F-1E1F1201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0.02226</cdr:y>
    </cdr:from>
    <cdr:to>
      <cdr:x>0.14469</cdr:x>
      <cdr:y>0.08707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C8F0976-AE8D-BE88-5F3A-47FD74867BAD}"/>
            </a:ext>
          </a:extLst>
        </cdr:cNvPr>
        <cdr:cNvSpPr txBox="1"/>
      </cdr:nvSpPr>
      <cdr:spPr>
        <a:xfrm xmlns:a="http://schemas.openxmlformats.org/drawingml/2006/main">
          <a:off x="0" y="88527"/>
          <a:ext cx="1154768" cy="257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1" kern="1200"/>
            <a:t>Đvt:</a:t>
          </a:r>
          <a:r>
            <a:rPr lang="en-US" sz="1100" i="1" kern="1200" baseline="0"/>
            <a:t> tấn | %cơ cấu</a:t>
          </a:r>
          <a:endParaRPr lang="en-US" sz="1100" i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0.91971</cdr:x>
      <cdr:y>0.03136</cdr:y>
    </cdr:from>
    <cdr:to>
      <cdr:x>1</cdr:x>
      <cdr:y>0.14637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205419" y="170389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-14.55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-18.1%)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0.06301</cdr:x>
      <cdr:y>0.70348</cdr:y>
    </cdr:from>
    <cdr:to>
      <cdr:x>0.846</cdr:x>
      <cdr:y>0.86503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699181" y="3822719"/>
          <a:ext cx="8688327" cy="877865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Dthu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115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140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(-25.3 tỷ ~ -18.0%)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Dthu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6.9 </a:t>
            </a:r>
            <a:r>
              <a:rPr lang="en-US" sz="1500" baseline="0">
                <a:solidFill>
                  <a:srgbClr val="C00000"/>
                </a:solidFill>
              </a:rPr>
              <a:t>/ 23.4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(-16.5 tỷ ~ -70.4%)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Dthu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1.1</a:t>
            </a:r>
            <a:r>
              <a:rPr lang="en-US" sz="1500" baseline="0">
                <a:solidFill>
                  <a:srgbClr val="C00000"/>
                </a:solidFill>
              </a:rPr>
              <a:t> / 2.9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(-1.8 tỷ ~ -62.4%)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Dthu EXW</a:t>
            </a:r>
            <a:r>
              <a:rPr lang="en-US" sz="1500" b="1" baseline="0">
                <a:solidFill>
                  <a:srgbClr val="C00000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1.1</a:t>
            </a:r>
            <a:r>
              <a:rPr lang="en-US" sz="1500" b="1" baseline="0">
                <a:solidFill>
                  <a:srgbClr val="C00000"/>
                </a:solidFill>
              </a:rPr>
              <a:t> </a:t>
            </a:r>
            <a:r>
              <a:rPr lang="en-US" sz="1500" baseline="0">
                <a:solidFill>
                  <a:srgbClr val="C00000"/>
                </a:solidFill>
              </a:rPr>
              <a:t>/ 2.2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(-1.1  tỷ ~ -49.5%)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00B050"/>
                </a:solidFill>
              </a:rPr>
              <a:t>Dthu EXW</a:t>
            </a:r>
            <a:r>
              <a:rPr lang="en-US" sz="1500" b="1" baseline="0">
                <a:solidFill>
                  <a:srgbClr val="00B05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00B050"/>
                </a:solidFill>
              </a:rPr>
              <a:t>đạt </a:t>
            </a:r>
            <a:r>
              <a:rPr lang="en-US" sz="1800" b="1" baseline="0">
                <a:solidFill>
                  <a:srgbClr val="00B050"/>
                </a:solidFill>
              </a:rPr>
              <a:t>9.8</a:t>
            </a:r>
            <a:r>
              <a:rPr lang="en-US" sz="1500" baseline="0">
                <a:solidFill>
                  <a:srgbClr val="00B050"/>
                </a:solidFill>
              </a:rPr>
              <a:t> / 2.8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00B05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0.84126</cdr:x>
      <cdr:y>0.45107</cdr:y>
    </cdr:from>
    <cdr:to>
      <cdr:x>0.89768</cdr:x>
      <cdr:y>0.66245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47200" y="2451100"/>
          <a:ext cx="626863" cy="114865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0.06215</cdr:x>
      <cdr:y>0.45457</cdr:y>
    </cdr:from>
    <cdr:to>
      <cdr:x>0.83759</cdr:x>
      <cdr:y>0.65819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689638" y="2470139"/>
          <a:ext cx="8604550" cy="1106474"/>
          <a:chOff x="690563" y="2470150"/>
          <a:chExt cx="8615870" cy="1106489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470150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Giá bán trung bình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$1,206/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$1.266 ~ -4.7%)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30479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Giá bán trung bình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 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$1,257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$1,3</a:t>
            </a:r>
            <a:r>
              <a:rPr lang="vi-VN" sz="1000" b="0" i="0" baseline="0">
                <a:solidFill>
                  <a:sysClr val="windowText" lastClr="000000"/>
                </a:solidFill>
                <a:latin typeface="Aptos Narrow (Body)"/>
              </a:rPr>
              <a:t>4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7 ~ -6.7%)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67728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$697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$835 ~ -16.6%)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04977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$859/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tấn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(KH là $887 ~ -3.1%)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42225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$664/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tấn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 </a:t>
            </a:r>
          </a:p>
          <a:p xmlns:a="http://schemas.openxmlformats.org/drawingml/2006/main">
            <a:pPr algn="l"/>
            <a:r>
              <a:rPr lang="en-US" sz="1000" b="0" i="0" baseline="0">
                <a:solidFill>
                  <a:sysClr val="windowText" lastClr="000000"/>
                </a:solidFill>
              </a:rPr>
              <a:t>(KH là $1,100 ~ +39.7%)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0.37748</cdr:x>
      <cdr:y>0.31774</cdr:y>
    </cdr:from>
    <cdr:to>
      <cdr:x>0.5285</cdr:x>
      <cdr:y>0.42982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88648" y="1726630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0.53366</cdr:x>
      <cdr:y>0.31537</cdr:y>
    </cdr:from>
    <cdr:to>
      <cdr:x>0.68468</cdr:x>
      <cdr:y>0.42745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921674" y="1713727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0.64989</cdr:x>
      <cdr:y>0.02268</cdr:y>
    </cdr:from>
    <cdr:to>
      <cdr:x>0.91338</cdr:x>
      <cdr:y>0.13295</cdr:y>
    </cdr:to>
    <cdr:sp macro="" textlink="">
      <cdr:nvSpPr>
        <cdr:cNvPr id="19" name="Speech Bubble: Rectangle with Corners Rounded 18">
          <a:extLst xmlns:a="http://schemas.openxmlformats.org/drawingml/2006/main">
            <a:ext uri="{FF2B5EF4-FFF2-40B4-BE49-F238E27FC236}">
              <a16:creationId xmlns:a16="http://schemas.microsoft.com/office/drawing/2014/main" id="{703B310C-8E2F-EE05-2EC0-FE0012EC7082}"/>
            </a:ext>
          </a:extLst>
        </cdr:cNvPr>
        <cdr:cNvSpPr/>
      </cdr:nvSpPr>
      <cdr:spPr>
        <a:xfrm xmlns:a="http://schemas.openxmlformats.org/drawingml/2006/main">
          <a:off x="7211358" y="123265"/>
          <a:ext cx="2923813" cy="599187"/>
        </a:xfrm>
        <a:prstGeom xmlns:a="http://schemas.openxmlformats.org/drawingml/2006/main" prst="wedgeRoundRectCallout">
          <a:avLst>
            <a:gd name="adj1" fmla="val 45545"/>
            <a:gd name="adj2" fmla="val 82442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- D</a:t>
          </a:r>
          <a:r>
            <a:rPr lang="en-US" sz="1100" baseline="0">
              <a:solidFill>
                <a:sysClr val="windowText" lastClr="000000"/>
              </a:solidFill>
            </a:rPr>
            <a:t>thu EPR: 0.18/3.3 ~ </a:t>
          </a:r>
          <a:r>
            <a:rPr lang="en-US" sz="1100" b="1" baseline="0">
              <a:solidFill>
                <a:sysClr val="windowText" lastClr="000000"/>
              </a:solidFill>
            </a:rPr>
            <a:t>giảm 3.1</a:t>
          </a:r>
          <a:endParaRPr lang="en-US" sz="1100" baseline="0">
            <a:solidFill>
              <a:sysClr val="windowText" lastClr="000000"/>
            </a:solidFill>
          </a:endParaRPr>
        </a:p>
        <a:p xmlns:a="http://schemas.openxmlformats.org/drawingml/2006/main">
          <a:pPr algn="l"/>
          <a:r>
            <a:rPr lang="en-US" sz="1100" baseline="0">
              <a:solidFill>
                <a:sysClr val="windowText" lastClr="000000"/>
              </a:solidFill>
            </a:rPr>
            <a:t>- Dây đai đạt : 1.3/2.6 tỷ ~ </a:t>
          </a:r>
          <a:r>
            <a:rPr lang="en-US" sz="1100" b="1" baseline="0">
              <a:solidFill>
                <a:sysClr val="windowText" lastClr="000000"/>
              </a:solidFill>
            </a:rPr>
            <a:t>giảm 1.3 tỷ</a:t>
          </a:r>
        </a:p>
        <a:p xmlns:a="http://schemas.openxmlformats.org/drawingml/2006/main">
          <a:pPr algn="l"/>
          <a:r>
            <a:rPr lang="en-US" sz="1100" b="0" baseline="0">
              <a:solidFill>
                <a:sysClr val="windowText" lastClr="000000"/>
              </a:solidFill>
            </a:rPr>
            <a:t>- Thực tế có bán phó sản: + </a:t>
          </a:r>
          <a:r>
            <a:rPr lang="en-US" sz="1100" b="1" baseline="0">
              <a:solidFill>
                <a:sysClr val="windowText" lastClr="000000"/>
              </a:solidFill>
            </a:rPr>
            <a:t>3.4 tỷ</a:t>
          </a:r>
          <a:r>
            <a:rPr lang="en-US" sz="1100" b="0" baseline="0">
              <a:solidFill>
                <a:sysClr val="windowText" lastClr="000000"/>
              </a:solidFill>
            </a:rPr>
            <a:t> (KH không có)</a:t>
          </a:r>
          <a:endParaRPr lang="en-US" sz="1100" b="1">
            <a:solidFill>
              <a:sysClr val="windowText" lastClr="000000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0.88465</cdr:x>
      <cdr:y>0.26184</cdr:y>
    </cdr:from>
    <cdr:to>
      <cdr:x>0.97619</cdr:x>
      <cdr:y>0.53186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8610418" y="628651"/>
          <a:ext cx="890972" cy="64826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-121 </a:t>
          </a:r>
          <a:r>
            <a:rPr lang="en-US" sz="1500" b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 -57.8%)</a:t>
          </a:r>
          <a:endParaRPr lang="en-US" sz="1100" b="0" i="1" kern="1200">
            <a:solidFill>
              <a:srgbClr val="C00000"/>
            </a:solidFill>
            <a:latin typeface="+mn-lt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0.13113</cdr:x>
      <cdr:y>0.02954</cdr:y>
    </cdr:from>
    <cdr:to>
      <cdr:x>0.4345</cdr:x>
      <cdr:y>0.27943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E765567D-CF32-2BB8-AE9D-D3069B8B8080}"/>
            </a:ext>
          </a:extLst>
        </cdr:cNvPr>
        <cdr:cNvSpPr/>
      </cdr:nvSpPr>
      <cdr:spPr>
        <a:xfrm xmlns:a="http://schemas.openxmlformats.org/drawingml/2006/main">
          <a:off x="1276350" y="70926"/>
          <a:ext cx="2952750" cy="599951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800" b="1" baseline="0">
              <a:solidFill>
                <a:sysClr val="windowText" lastClr="000000"/>
              </a:solidFill>
              <a:latin typeface="+mn-lt"/>
            </a:rPr>
            <a:t>2.51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/ 5.97 ngàn tấn </a:t>
          </a:r>
        </a:p>
        <a:p xmlns:a="http://schemas.openxmlformats.org/drawingml/2006/main">
          <a:pPr algn="l"/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-3.5  ~  -57.9%).</a:t>
          </a:r>
        </a:p>
      </cdr:txBody>
    </cdr:sp>
  </cdr:relSizeAnchor>
  <cdr:relSizeAnchor xmlns:cdr="http://schemas.openxmlformats.org/drawingml/2006/chartDrawing">
    <cdr:from>
      <cdr:x>0.57465</cdr:x>
      <cdr:y>0.06013</cdr:y>
    </cdr:from>
    <cdr:to>
      <cdr:x>0.7105</cdr:x>
      <cdr:y>0.50191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43ED2DC5-E12B-C7C5-5725-C378978E6DB3}"/>
            </a:ext>
          </a:extLst>
        </cdr:cNvPr>
        <cdr:cNvSpPr/>
      </cdr:nvSpPr>
      <cdr:spPr>
        <a:xfrm xmlns:a="http://schemas.openxmlformats.org/drawingml/2006/main">
          <a:off x="5593155" y="144359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ysClr val="windowText" lastClr="000000"/>
              </a:solidFill>
              <a:latin typeface="+mn-lt"/>
            </a:rPr>
            <a:t>Tăng</a:t>
          </a:r>
          <a:r>
            <a:rPr lang="en-US" sz="1200" baseline="0">
              <a:solidFill>
                <a:sysClr val="windowText" lastClr="000000"/>
              </a:solidFill>
              <a:latin typeface="+mn-lt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</a:rPr>
            <a:t>25,000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+mn-lt"/>
            </a:rPr>
            <a:t>26,188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(+1,188 ~ 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+ 4.8%)</a:t>
          </a:r>
        </a:p>
      </cdr:txBody>
    </cdr:sp>
  </cdr:relSizeAnchor>
  <cdr:relSizeAnchor xmlns:cdr="http://schemas.openxmlformats.org/drawingml/2006/chartDrawing">
    <cdr:from>
      <cdr:x>0.72226</cdr:x>
      <cdr:y>0.028</cdr:y>
    </cdr:from>
    <cdr:to>
      <cdr:x>0.88662</cdr:x>
      <cdr:y>0.54003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9807E970-0E37-F977-1B87-AB72D9FF011E}"/>
            </a:ext>
          </a:extLst>
        </cdr:cNvPr>
        <cdr:cNvSpPr/>
      </cdr:nvSpPr>
      <cdr:spPr>
        <a:xfrm xmlns:a="http://schemas.openxmlformats.org/drawingml/2006/main">
          <a:off x="7029865" y="67224"/>
          <a:ext cx="1599785" cy="1229313"/>
        </a:xfrm>
        <a:prstGeom xmlns:a="http://schemas.openxmlformats.org/drawingml/2006/main" prst="wedgeRoundRectCallout">
          <a:avLst>
            <a:gd name="adj1" fmla="val -242"/>
            <a:gd name="adj2" fmla="val 5891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-</a:t>
          </a:r>
          <a:r>
            <a:rPr lang="en-US" sz="1000" b="1" baseline="0">
              <a:solidFill>
                <a:sysClr val="windowText" lastClr="000000"/>
              </a:solidFill>
            </a:rPr>
            <a:t> KH có lập bán cho các khách hàng giá CIF, DDP,</a:t>
          </a:r>
          <a:r>
            <a:rPr lang="en-US" sz="1000" b="0" baseline="0">
              <a:solidFill>
                <a:sysClr val="windowText" lastClr="000000"/>
              </a:solidFill>
            </a:rPr>
            <a:t> thực tế không có: </a:t>
          </a:r>
          <a:r>
            <a:rPr lang="en-US" sz="1000" b="1" baseline="0">
              <a:solidFill>
                <a:sysClr val="windowText" lastClr="000000"/>
              </a:solidFill>
            </a:rPr>
            <a:t>-10 tỷ</a:t>
          </a:r>
        </a:p>
        <a:p xmlns:a="http://schemas.openxmlformats.org/drawingml/2006/main">
          <a:pPr algn="l"/>
          <a:endParaRPr lang="en-US" sz="1000" b="1" baseline="0">
            <a:solidFill>
              <a:sysClr val="windowText" lastClr="000000"/>
            </a:solidFill>
          </a:endParaRPr>
        </a:p>
        <a:p xmlns:a="http://schemas.openxmlformats.org/drawingml/2006/main">
          <a:pPr algn="l"/>
          <a:r>
            <a:rPr lang="en-US" sz="1000" b="1" baseline="0">
              <a:solidFill>
                <a:sysClr val="windowText" lastClr="000000"/>
              </a:solidFill>
            </a:rPr>
            <a:t>-Thực tế có bán phó sản (vảy PET, HD ép), </a:t>
          </a:r>
          <a:r>
            <a:rPr lang="en-US" sz="1000" b="0" baseline="0">
              <a:solidFill>
                <a:sysClr val="windowText" lastClr="000000"/>
              </a:solidFill>
            </a:rPr>
            <a:t>KH không có: </a:t>
          </a:r>
          <a:r>
            <a:rPr lang="en-US" sz="1000" b="1" baseline="0">
              <a:solidFill>
                <a:sysClr val="windowText" lastClr="000000"/>
              </a:solidFill>
            </a:rPr>
            <a:t>+4.3 tỷ</a:t>
          </a:r>
          <a:endParaRPr 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43</xdr:row>
      <xdr:rowOff>163830</xdr:rowOff>
    </xdr:from>
    <xdr:ext cx="1207770" cy="120777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51E8C3-50B0-4D18-B8B3-385DC6872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1264920</xdr:colOff>
      <xdr:row>43</xdr:row>
      <xdr:rowOff>167640</xdr:rowOff>
    </xdr:from>
    <xdr:ext cx="1211580" cy="122301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45F001-79EB-440C-B88C-FB27803D1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43</xdr:row>
      <xdr:rowOff>137160</xdr:rowOff>
    </xdr:from>
    <xdr:ext cx="1211580" cy="1215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E13835-5E24-4175-BC0F-6EC0D8321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548640</xdr:colOff>
      <xdr:row>43</xdr:row>
      <xdr:rowOff>121920</xdr:rowOff>
    </xdr:from>
    <xdr:ext cx="1184910" cy="119443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23F0AA-D6E7-432D-99FD-AC0AE4D5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76200</xdr:colOff>
      <xdr:row>43</xdr:row>
      <xdr:rowOff>129540</xdr:rowOff>
    </xdr:from>
    <xdr:ext cx="1234440" cy="122301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455D0-C6B9-460E-9D51-32E5AF3B2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609600</xdr:colOff>
      <xdr:row>50</xdr:row>
      <xdr:rowOff>0</xdr:rowOff>
    </xdr:from>
    <xdr:ext cx="1457325" cy="120015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A756D3-C656-45B1-BC6A-D4AF0DA02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2</xdr:col>
      <xdr:colOff>137160</xdr:colOff>
      <xdr:row>49</xdr:row>
      <xdr:rowOff>175260</xdr:rowOff>
    </xdr:from>
    <xdr:ext cx="1282065" cy="121539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3CE97B-EEEC-4DAF-A1B2-F8C61FDE4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3</xdr:col>
      <xdr:colOff>213360</xdr:colOff>
      <xdr:row>49</xdr:row>
      <xdr:rowOff>175260</xdr:rowOff>
    </xdr:from>
    <xdr:ext cx="1221105" cy="1215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74ED05-8D39-4CEE-A568-E83DDB04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815340</xdr:colOff>
      <xdr:row>50</xdr:row>
      <xdr:rowOff>30480</xdr:rowOff>
    </xdr:from>
    <xdr:ext cx="1184910" cy="120777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1E34E8-DE4A-4882-94CA-AB86A8913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403860</xdr:colOff>
      <xdr:row>50</xdr:row>
      <xdr:rowOff>38100</xdr:rowOff>
    </xdr:from>
    <xdr:ext cx="1253490" cy="120015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8D0145-A27D-4BDE-BDCD-532A4725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17</xdr:row>
      <xdr:rowOff>19610</xdr:rowOff>
    </xdr:from>
    <xdr:ext cx="10239376" cy="50521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F5D91-2252-4A2C-B802-F69BB4FE4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0.90742</cdr:x>
      <cdr:y>0.38287</cdr:y>
    </cdr:from>
    <cdr:to>
      <cdr:x>0.99415</cdr:x>
      <cdr:y>0.5069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9291439" y="1934310"/>
          <a:ext cx="888061" cy="626621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3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-121 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-57.8%)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0.72651</cdr:x>
      <cdr:y>0.55273</cdr:y>
    </cdr:from>
    <cdr:to>
      <cdr:x>0.79044</cdr:x>
      <cdr:y>0.80671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439009" y="2792492"/>
          <a:ext cx="654603" cy="128315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26,188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(+1,188 ~ +4.8%)</a:t>
          </a:r>
        </a:p>
      </cdr:txBody>
    </cdr:sp>
  </cdr:relSizeAnchor>
  <cdr:relSizeAnchor xmlns:cdr="http://schemas.openxmlformats.org/drawingml/2006/chartDrawing">
    <cdr:from>
      <cdr:x>0.78683</cdr:x>
      <cdr:y>0.3598</cdr:y>
    </cdr:from>
    <cdr:to>
      <cdr:x>0.91517</cdr:x>
      <cdr:y>0.45726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3CC39BE1-D29F-D86B-90B1-8F07DE64FA39}"/>
            </a:ext>
          </a:extLst>
        </cdr:cNvPr>
        <cdr:cNvSpPr/>
      </cdr:nvSpPr>
      <cdr:spPr>
        <a:xfrm xmlns:a="http://schemas.openxmlformats.org/drawingml/2006/main">
          <a:off x="8056623" y="1817778"/>
          <a:ext cx="1314121" cy="492384"/>
        </a:xfrm>
        <a:prstGeom xmlns:a="http://schemas.openxmlformats.org/drawingml/2006/main" prst="wedgeRoundRectCallout">
          <a:avLst>
            <a:gd name="adj1" fmla="val -16361"/>
            <a:gd name="adj2" fmla="val 6721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aseline="0">
              <a:solidFill>
                <a:sysClr val="windowText" lastClr="000000"/>
              </a:solidFill>
            </a:rPr>
            <a:t>Thực tế có bán phó sản (KH không có)</a:t>
          </a:r>
        </a:p>
      </cdr:txBody>
    </cdr:sp>
  </cdr:relSizeAnchor>
  <cdr:relSizeAnchor xmlns:cdr="http://schemas.openxmlformats.org/drawingml/2006/chartDrawing">
    <cdr:from>
      <cdr:x>0.08067</cdr:x>
      <cdr:y>0.71447</cdr:y>
    </cdr:from>
    <cdr:to>
      <cdr:x>0.2069</cdr:x>
      <cdr:y>0.85523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826015" y="3609629"/>
          <a:ext cx="1292517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Dthu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62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151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(-89 tỷ ~ -59.0%)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0.20678</cdr:x>
      <cdr:y>0.7107</cdr:y>
    </cdr:from>
    <cdr:to>
      <cdr:x>0.3401</cdr:x>
      <cdr:y>0.85146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117300" y="3590579"/>
          <a:ext cx="1365113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b="1">
              <a:solidFill>
                <a:srgbClr val="C00000"/>
              </a:solidFill>
            </a:rPr>
            <a:t>Dthu EXW</a:t>
          </a:r>
          <a:r>
            <a:rPr lang="en-US" sz="900" b="1" baseline="0">
              <a:solidFill>
                <a:srgbClr val="C00000"/>
              </a:solidFill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</a:rPr>
            <a:t>đạt </a:t>
          </a:r>
          <a:r>
            <a:rPr lang="en-US" sz="1300" b="1" baseline="0">
              <a:solidFill>
                <a:srgbClr val="C00000"/>
              </a:solidFill>
            </a:rPr>
            <a:t>6.8 </a:t>
          </a:r>
          <a:r>
            <a:rPr lang="en-US" sz="1100" baseline="0">
              <a:solidFill>
                <a:srgbClr val="C00000"/>
              </a:solidFill>
            </a:rPr>
            <a:t>/ 31.0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</a:rPr>
            <a:t>(-24.2  tỷ ~ -78.1%)</a:t>
          </a:r>
          <a:endParaRPr lang="en-US" sz="900" i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0.33998</cdr:x>
      <cdr:y>0.7107</cdr:y>
    </cdr:from>
    <cdr:to>
      <cdr:x>0.46951</cdr:x>
      <cdr:y>0.85146</cdr:y>
    </cdr:to>
    <cdr:sp macro="" textlink="">
      <cdr:nvSpPr>
        <cdr:cNvPr id="9" name="Rectangle: Rounded Corners 8">
          <a:extLst xmlns:a="http://schemas.openxmlformats.org/drawingml/2006/main">
            <a:ext uri="{FF2B5EF4-FFF2-40B4-BE49-F238E27FC236}">
              <a16:creationId xmlns:a16="http://schemas.microsoft.com/office/drawing/2014/main" id="{727C2A85-2A8E-42BF-D768-A7DB8468BE71}"/>
            </a:ext>
          </a:extLst>
        </cdr:cNvPr>
        <cdr:cNvSpPr/>
      </cdr:nvSpPr>
      <cdr:spPr>
        <a:xfrm xmlns:a="http://schemas.openxmlformats.org/drawingml/2006/main">
          <a:off x="3481181" y="3590579"/>
          <a:ext cx="1326306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>
              <a:solidFill>
                <a:sysClr val="windowText" lastClr="000000"/>
              </a:solidFill>
            </a:rPr>
            <a:t>Dthu EXW</a:t>
          </a:r>
          <a:r>
            <a:rPr lang="en-US" sz="1000" b="1" baseline="0">
              <a:solidFill>
                <a:sysClr val="windowText" lastClr="000000"/>
              </a:solidFill>
            </a:rPr>
            <a:t> rHD ép 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3.0</a:t>
          </a:r>
          <a:r>
            <a:rPr lang="en-US" sz="1100" baseline="0">
              <a:solidFill>
                <a:sysClr val="windowText" lastClr="000000"/>
              </a:solidFill>
            </a:rPr>
            <a:t>/ 3.2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(-0.3  tỷ ~ -8.5%)</a:t>
          </a:r>
        </a:p>
      </cdr:txBody>
    </cdr:sp>
  </cdr:relSizeAnchor>
  <cdr:relSizeAnchor xmlns:cdr="http://schemas.openxmlformats.org/drawingml/2006/chartDrawing">
    <cdr:from>
      <cdr:x>0.46939</cdr:x>
      <cdr:y>0.7107</cdr:y>
    </cdr:from>
    <cdr:to>
      <cdr:x>0.59805</cdr:x>
      <cdr:y>0.85146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806255" y="3590579"/>
          <a:ext cx="1317398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</a:rPr>
            <a:t>Dthu EXW</a:t>
          </a:r>
          <a:r>
            <a:rPr lang="en-US" sz="1100" b="1" baseline="0">
              <a:solidFill>
                <a:sysClr val="windowText" lastClr="000000"/>
              </a:solidFill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- </a:t>
          </a:r>
          <a:r>
            <a:rPr lang="en-US" sz="1100" baseline="0">
              <a:solidFill>
                <a:sysClr val="windowText" lastClr="000000"/>
              </a:solidFill>
            </a:rPr>
            <a:t>/ 1.95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Không bán</a:t>
          </a:r>
          <a:endParaRPr lang="en-US" sz="900" i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0.59793</cdr:x>
      <cdr:y>0.71259</cdr:y>
    </cdr:from>
    <cdr:to>
      <cdr:x>0.72682</cdr:x>
      <cdr:y>0.85335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5C2CC392-DEEB-B763-5676-05B8A9FE9D2C}"/>
            </a:ext>
          </a:extLst>
        </cdr:cNvPr>
        <cdr:cNvSpPr/>
      </cdr:nvSpPr>
      <cdr:spPr>
        <a:xfrm xmlns:a="http://schemas.openxmlformats.org/drawingml/2006/main">
          <a:off x="6122421" y="3600104"/>
          <a:ext cx="1319753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>
              <a:solidFill>
                <a:sysClr val="windowText" lastClr="000000"/>
              </a:solidFill>
            </a:rPr>
            <a:t>Dthu EXW</a:t>
          </a:r>
          <a:r>
            <a:rPr lang="en-US" sz="1000" b="1" baseline="0">
              <a:solidFill>
                <a:sysClr val="windowText" lastClr="000000"/>
              </a:solidFill>
            </a:rPr>
            <a:t> Xơ Sợi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0.4</a:t>
          </a:r>
          <a:r>
            <a:rPr lang="en-US" sz="1100" baseline="0">
              <a:solidFill>
                <a:sysClr val="windowText" lastClr="000000"/>
              </a:solidFill>
            </a:rPr>
            <a:t> / 2.8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(-2.3 tỷ ~ -84.3%)</a:t>
          </a:r>
        </a:p>
      </cdr:txBody>
    </cdr:sp>
  </cdr:relSizeAnchor>
  <cdr:relSizeAnchor xmlns:cdr="http://schemas.openxmlformats.org/drawingml/2006/chartDrawing">
    <cdr:from>
      <cdr:x>0.07358</cdr:x>
      <cdr:y>0.44855</cdr:y>
    </cdr:from>
    <cdr:to>
      <cdr:x>0.20692</cdr:x>
      <cdr:y>0.71621</cdr:y>
    </cdr:to>
    <cdr:sp macro="" textlink="">
      <cdr:nvSpPr>
        <cdr:cNvPr id="12" name="Rectangle: Rounded Corners 11">
          <a:extLst xmlns:a="http://schemas.openxmlformats.org/drawingml/2006/main">
            <a:ext uri="{FF2B5EF4-FFF2-40B4-BE49-F238E27FC236}">
              <a16:creationId xmlns:a16="http://schemas.microsoft.com/office/drawing/2014/main" id="{989622FD-2883-ED47-E68D-12B698FEEB2B}"/>
            </a:ext>
          </a:extLst>
        </cdr:cNvPr>
        <cdr:cNvSpPr/>
      </cdr:nvSpPr>
      <cdr:spPr>
        <a:xfrm xmlns:a="http://schemas.openxmlformats.org/drawingml/2006/main">
          <a:off x="677160" y="2210587"/>
          <a:ext cx="1227132" cy="131912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2.03</a:t>
          </a:r>
          <a:r>
            <a:rPr lang="en-US" sz="11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/ </a:t>
          </a:r>
          <a:r>
            <a:rPr lang="en-US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4.68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(-2.65 ~ -</a:t>
          </a:r>
          <a:r>
            <a:rPr lang="vi-VN" sz="10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5</a:t>
          </a:r>
          <a:r>
            <a:rPr lang="en-US" sz="10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6.7%)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$1,224/</a:t>
          </a:r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tấn</a:t>
          </a:r>
        </a:p>
        <a:p xmlns:a="http://schemas.openxmlformats.org/drawingml/2006/main">
          <a:pPr algn="l"/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(KH là $1.294 ~ </a:t>
          </a:r>
        </a:p>
        <a:p xmlns:a="http://schemas.openxmlformats.org/drawingml/2006/main">
          <a:pPr algn="l"/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-5.4%)</a:t>
          </a:r>
        </a:p>
      </cdr:txBody>
    </cdr:sp>
  </cdr:relSizeAnchor>
  <cdr:relSizeAnchor xmlns:cdr="http://schemas.openxmlformats.org/drawingml/2006/chartDrawing">
    <cdr:from>
      <cdr:x>0.21114</cdr:x>
      <cdr:y>0.07924</cdr:y>
    </cdr:from>
    <cdr:to>
      <cdr:x>0.33637</cdr:x>
      <cdr:y>0.40903</cdr:y>
    </cdr:to>
    <cdr:sp macro="" textlink="">
      <cdr:nvSpPr>
        <cdr:cNvPr id="13" name="Rectangle: Rounded Corners 12">
          <a:extLst xmlns:a="http://schemas.openxmlformats.org/drawingml/2006/main">
            <a:ext uri="{FF2B5EF4-FFF2-40B4-BE49-F238E27FC236}">
              <a16:creationId xmlns:a16="http://schemas.microsoft.com/office/drawing/2014/main" id="{C69EC2F0-A1F6-1194-59FD-1FE89CF88F42}"/>
            </a:ext>
          </a:extLst>
        </cdr:cNvPr>
        <cdr:cNvSpPr/>
      </cdr:nvSpPr>
      <cdr:spPr>
        <a:xfrm xmlns:a="http://schemas.openxmlformats.org/drawingml/2006/main">
          <a:off x="1943100" y="390525"/>
          <a:ext cx="1152526" cy="1625317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0.27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0.93 </a:t>
          </a:r>
          <a:endParaRPr lang="vi-VN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(-0.66 ~ -71.0%)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$1,010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/tấn 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$1,3</a:t>
          </a:r>
          <a:r>
            <a:rPr lang="vi-VN" sz="1000" b="0" i="0" baseline="0">
              <a:solidFill>
                <a:sysClr val="windowText" lastClr="000000"/>
              </a:solidFill>
              <a:latin typeface="Aptos Narrow (Body)"/>
            </a:rPr>
            <a:t>3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7 ~ 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-24.5%)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0.34025</cdr:x>
      <cdr:y>0.07924</cdr:y>
    </cdr:from>
    <cdr:to>
      <cdr:x>0.46545</cdr:x>
      <cdr:y>0.4095</cdr:y>
    </cdr:to>
    <cdr:sp macro="" textlink="">
      <cdr:nvSpPr>
        <cdr:cNvPr id="14" name="Rectangle: Rounded Corners 13">
          <a:extLst xmlns:a="http://schemas.openxmlformats.org/drawingml/2006/main">
            <a:ext uri="{FF2B5EF4-FFF2-40B4-BE49-F238E27FC236}">
              <a16:creationId xmlns:a16="http://schemas.microsoft.com/office/drawing/2014/main" id="{71350912-DCC6-AECB-C2C3-C331A1FE9FD8}"/>
            </a:ext>
          </a:extLst>
        </cdr:cNvPr>
        <cdr:cNvSpPr/>
      </cdr:nvSpPr>
      <cdr:spPr>
        <a:xfrm xmlns:a="http://schemas.openxmlformats.org/drawingml/2006/main">
          <a:off x="3131369" y="390525"/>
          <a:ext cx="1152144" cy="162763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0.19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/0.16 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(+0.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03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 ~ +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20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%)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$636</a:t>
          </a:r>
          <a:r>
            <a:rPr lang="vi-VN" sz="1000" b="1" i="0" baseline="0">
              <a:solidFill>
                <a:sysClr val="windowText" lastClr="000000"/>
              </a:solidFill>
              <a:latin typeface="Aptos Narrow (Body)"/>
            </a:rPr>
            <a:t>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$834 ~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-</a:t>
          </a:r>
          <a:r>
            <a:rPr lang="vi-VN" sz="1000" b="0" i="0" baseline="0">
              <a:solidFill>
                <a:sysClr val="windowText" lastClr="000000"/>
              </a:solidFill>
              <a:latin typeface="Aptos Narrow (Body)"/>
            </a:rPr>
            <a:t>2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3.7%)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0.59841</cdr:x>
      <cdr:y>0.07924</cdr:y>
    </cdr:from>
    <cdr:to>
      <cdr:x>0.7236</cdr:x>
      <cdr:y>0.4095</cdr:y>
    </cdr:to>
    <cdr:sp macro="" textlink="">
      <cdr:nvSpPr>
        <cdr:cNvPr id="18" name="Rectangle: Rounded Corners 17">
          <a:extLst xmlns:a="http://schemas.openxmlformats.org/drawingml/2006/main">
            <a:ext uri="{FF2B5EF4-FFF2-40B4-BE49-F238E27FC236}">
              <a16:creationId xmlns:a16="http://schemas.microsoft.com/office/drawing/2014/main" id="{B2B9285F-EA58-1F5B-517A-516301C3CBEA}"/>
            </a:ext>
          </a:extLst>
        </cdr:cNvPr>
        <cdr:cNvSpPr/>
      </cdr:nvSpPr>
      <cdr:spPr>
        <a:xfrm xmlns:a="http://schemas.openxmlformats.org/drawingml/2006/main">
          <a:off x="5507142" y="390525"/>
          <a:ext cx="1152144" cy="162763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0.03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 </a:t>
          </a:r>
          <a:endParaRPr lang="vi-VN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(-0.07</a:t>
          </a:r>
          <a:r>
            <a:rPr lang="vi-VN" sz="1000" i="1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~ -72.7</a:t>
          </a:r>
          <a:r>
            <a:rPr lang="vi-VN" sz="1000" i="1" baseline="0">
              <a:solidFill>
                <a:sysClr val="windowText" lastClr="000000"/>
              </a:solidFill>
              <a:latin typeface="Aptos Narrow (Body)"/>
            </a:rPr>
            <a:t>%</a:t>
          </a:r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$63</a:t>
          </a:r>
          <a:r>
            <a:rPr lang="vi-VN" sz="1000" b="1" i="0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</a:t>
          </a:r>
          <a:r>
            <a:rPr lang="vi-VN" sz="1000" b="0" i="0" baseline="0">
              <a:solidFill>
                <a:sysClr val="windowText" lastClr="000000"/>
              </a:solidFill>
              <a:latin typeface="Aptos Narrow (Body)"/>
            </a:rPr>
            <a:t>1,100</a:t>
          </a:r>
          <a:endParaRPr lang="en-US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~ -</a:t>
          </a:r>
          <a:r>
            <a:rPr lang="vi-VN" sz="1000" b="0" i="0" baseline="0">
              <a:solidFill>
                <a:sysClr val="windowText" lastClr="000000"/>
              </a:solidFill>
              <a:latin typeface="Aptos Narrow (Body)"/>
            </a:rPr>
            <a:t>4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2.6%)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0.32966</cdr:x>
      <cdr:y>0.57926</cdr:y>
    </cdr:from>
    <cdr:to>
      <cdr:x>0.46678</cdr:x>
      <cdr:y>0.71233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6AE61A77-D434-7403-482C-8DFD10BDB44C}"/>
            </a:ext>
          </a:extLst>
        </cdr:cNvPr>
        <cdr:cNvSpPr txBox="1"/>
      </cdr:nvSpPr>
      <cdr:spPr>
        <a:xfrm xmlns:a="http://schemas.openxmlformats.org/drawingml/2006/main">
          <a:off x="3375513" y="2926535"/>
          <a:ext cx="1404023" cy="67229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/>
            <a:t>Hiện</a:t>
          </a:r>
          <a:r>
            <a:rPr lang="en-US" sz="900" i="1" baseline="0"/>
            <a:t> tại đang đẩy bán các mặt hàng tồn kho lâu (không nằm trong KH)</a:t>
          </a:r>
          <a:endParaRPr lang="en-US" sz="900" i="1"/>
        </a:p>
      </cdr:txBody>
    </cdr:sp>
  </cdr:relSizeAnchor>
  <cdr:relSizeAnchor xmlns:cdr="http://schemas.openxmlformats.org/drawingml/2006/chartDrawing">
    <cdr:from>
      <cdr:x>0.46535</cdr:x>
      <cdr:y>0.57555</cdr:y>
    </cdr:from>
    <cdr:to>
      <cdr:x>0.59719</cdr:x>
      <cdr:y>0.70862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6E959F5-6E02-DFDA-1F8C-EC4124513669}"/>
            </a:ext>
          </a:extLst>
        </cdr:cNvPr>
        <cdr:cNvSpPr txBox="1"/>
      </cdr:nvSpPr>
      <cdr:spPr>
        <a:xfrm xmlns:a="http://schemas.openxmlformats.org/drawingml/2006/main">
          <a:off x="4764894" y="2907791"/>
          <a:ext cx="1349959" cy="67229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/>
            <a:t>Hiện</a:t>
          </a:r>
          <a:r>
            <a:rPr lang="en-US" sz="900" i="1" baseline="0"/>
            <a:t> tại đang đẩy bán các mặt hàng tồn kho lâu (không nằm trong KH)</a:t>
          </a:r>
          <a:endParaRPr lang="en-US" sz="900" i="1"/>
        </a:p>
      </cdr:txBody>
    </cdr:sp>
  </cdr:relSizeAnchor>
  <cdr:relSizeAnchor xmlns:cdr="http://schemas.openxmlformats.org/drawingml/2006/chartDrawing">
    <cdr:from>
      <cdr:x>0.92847</cdr:x>
      <cdr:y>0</cdr:y>
    </cdr:from>
    <cdr:to>
      <cdr:x>1</cdr:x>
      <cdr:y>0.05265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7FB920C5-CE79-C2B7-42F5-C901889439C9}"/>
            </a:ext>
          </a:extLst>
        </cdr:cNvPr>
        <cdr:cNvSpPr txBox="1"/>
      </cdr:nvSpPr>
      <cdr:spPr>
        <a:xfrm xmlns:a="http://schemas.openxmlformats.org/drawingml/2006/main">
          <a:off x="8547849" y="0"/>
          <a:ext cx="658538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0.79566</cdr:x>
      <cdr:y>0.63698</cdr:y>
    </cdr:from>
    <cdr:to>
      <cdr:x>0.924</cdr:x>
      <cdr:y>0.78153</cdr:y>
    </cdr:to>
    <cdr:sp macro="" textlink="">
      <cdr:nvSpPr>
        <cdr:cNvPr id="19" name="Speech Bubble: Rectangle with Corners Rounded 18">
          <a:extLst xmlns:a="http://schemas.openxmlformats.org/drawingml/2006/main">
            <a:ext uri="{FF2B5EF4-FFF2-40B4-BE49-F238E27FC236}">
              <a16:creationId xmlns:a16="http://schemas.microsoft.com/office/drawing/2014/main" id="{38A0E2C8-88CE-2F07-0CD6-0E016A0F9948}"/>
            </a:ext>
          </a:extLst>
        </cdr:cNvPr>
        <cdr:cNvSpPr/>
      </cdr:nvSpPr>
      <cdr:spPr>
        <a:xfrm xmlns:a="http://schemas.openxmlformats.org/drawingml/2006/main">
          <a:off x="8147062" y="3218118"/>
          <a:ext cx="1314121" cy="730292"/>
        </a:xfrm>
        <a:prstGeom xmlns:a="http://schemas.openxmlformats.org/drawingml/2006/main" prst="wedgeRoundRectCallout">
          <a:avLst>
            <a:gd name="adj1" fmla="val 25678"/>
            <a:gd name="adj2" fmla="val -67433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9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KH có lập bán cho các khách hàng giá CIF, DDP,</a:t>
          </a:r>
          <a:r>
            <a:rPr lang="en-US" sz="9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thực tế không có: </a:t>
          </a:r>
          <a:r>
            <a:rPr lang="en-US" sz="9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-10 tỷ</a:t>
          </a:r>
          <a:endParaRPr lang="en-US" sz="900">
            <a:solidFill>
              <a:schemeClr val="tx1"/>
            </a:solidFill>
            <a:effectLst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85</xdr:row>
      <xdr:rowOff>81854</xdr:rowOff>
    </xdr:from>
    <xdr:to>
      <xdr:col>9</xdr:col>
      <xdr:colOff>7431</xdr:colOff>
      <xdr:row>110</xdr:row>
      <xdr:rowOff>147315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3A56AF-0401-4EA4-926A-473011F07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23</xdr:row>
      <xdr:rowOff>28575</xdr:rowOff>
    </xdr:from>
    <xdr:to>
      <xdr:col>21</xdr:col>
      <xdr:colOff>358207</xdr:colOff>
      <xdr:row>46</xdr:row>
      <xdr:rowOff>131512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FF954-AF33-463F-9D25-ACCF23656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0.913</cdr:x>
      <cdr:y>0.58622</cdr:y>
    </cdr:from>
    <cdr:to>
      <cdr:x>0.99973</cdr:x>
      <cdr:y>0.71348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8920565" y="2830263"/>
          <a:ext cx="847401" cy="61440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</a:t>
          </a:r>
          <a:r>
            <a:rPr lang="vi-VN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4</a:t>
          </a:r>
          <a:r>
            <a:rPr lang="en-US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1Tỷ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-84.7%)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0.72325</cdr:x>
      <cdr:y>0.64296</cdr:y>
    </cdr:from>
    <cdr:to>
      <cdr:x>0.79144</cdr:x>
      <cdr:y>0.86696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066510" y="3104174"/>
          <a:ext cx="666254" cy="108146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</a:t>
          </a:r>
          <a:r>
            <a:rPr lang="vi-VN" sz="1000" b="1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88</a:t>
          </a:r>
          <a:endParaRPr lang="en-US" sz="7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(+1,</a:t>
          </a:r>
          <a:r>
            <a:rPr lang="vi-VN" sz="700" i="1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88 ~ +4.8%)</a:t>
          </a:r>
        </a:p>
      </cdr:txBody>
    </cdr:sp>
  </cdr:relSizeAnchor>
  <cdr:relSizeAnchor xmlns:cdr="http://schemas.openxmlformats.org/drawingml/2006/chartDrawing">
    <cdr:from>
      <cdr:x>0.07854</cdr:x>
      <cdr:y>0.71809</cdr:y>
    </cdr:from>
    <cdr:to>
      <cdr:x>0.20601</cdr:x>
      <cdr:y>0.85885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767379" y="3466911"/>
          <a:ext cx="1245453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3.9</a:t>
          </a:r>
          <a:r>
            <a:rPr lang="vi-VN" sz="13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28.9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(-24.9 tỷ ~ -86.3%)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0.20816</cdr:x>
      <cdr:y>0.71809</cdr:y>
    </cdr:from>
    <cdr:to>
      <cdr:x>0.33546</cdr:x>
      <cdr:y>0.85885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033839" y="3466911"/>
          <a:ext cx="1243792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-0.27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5.3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(-5.6 tỷ ~ -0.27%)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0.33761</cdr:x>
      <cdr:y>0.71809</cdr:y>
    </cdr:from>
    <cdr:to>
      <cdr:x>0.46491</cdr:x>
      <cdr:y>0.85885</cdr:y>
    </cdr:to>
    <cdr:sp macro="" textlink="">
      <cdr:nvSpPr>
        <cdr:cNvPr id="9" name="Rectangle: Rounded Corners 8">
          <a:extLst xmlns:a="http://schemas.openxmlformats.org/drawingml/2006/main">
            <a:ext uri="{FF2B5EF4-FFF2-40B4-BE49-F238E27FC236}">
              <a16:creationId xmlns:a16="http://schemas.microsoft.com/office/drawing/2014/main" id="{727C2A85-2A8E-42BF-D768-A7DB8468BE71}"/>
            </a:ext>
          </a:extLst>
        </cdr:cNvPr>
        <cdr:cNvSpPr/>
      </cdr:nvSpPr>
      <cdr:spPr>
        <a:xfrm xmlns:a="http://schemas.openxmlformats.org/drawingml/2006/main">
          <a:off x="3298637" y="3466911"/>
          <a:ext cx="1243792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rHD ép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-1.7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 / 0.8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(-2.5 tỷ)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0.46706</cdr:x>
      <cdr:y>0.71809</cdr:y>
    </cdr:from>
    <cdr:to>
      <cdr:x>0.59435</cdr:x>
      <cdr:y>0.85885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563436" y="3466911"/>
          <a:ext cx="1243694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chemeClr val="tx1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chemeClr val="tx1"/>
              </a:solidFill>
              <a:latin typeface="Aptos Narrow (Body)"/>
            </a:rPr>
            <a:t>- 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/ -</a:t>
          </a:r>
          <a:r>
            <a:rPr lang="vi-VN" sz="1100" baseline="0">
              <a:solidFill>
                <a:schemeClr val="tx1"/>
              </a:solidFill>
              <a:latin typeface="Aptos Narrow (Body)"/>
            </a:rPr>
            <a:t>0.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46 tỷ </a:t>
          </a:r>
        </a:p>
        <a:p xmlns:a="http://schemas.openxmlformats.org/drawingml/2006/main">
          <a:pPr algn="ctr"/>
          <a:r>
            <a:rPr lang="en-US" sz="900" i="1" baseline="0">
              <a:solidFill>
                <a:schemeClr val="tx1"/>
              </a:solidFill>
              <a:latin typeface="Aptos Narrow (Body)"/>
            </a:rPr>
            <a:t>(không có bán)</a:t>
          </a:r>
          <a:endParaRPr lang="en-US" sz="900" i="1">
            <a:solidFill>
              <a:schemeClr val="tx1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0.34275</cdr:x>
      <cdr:y>0.25514</cdr:y>
    </cdr:from>
    <cdr:to>
      <cdr:x>0.46337</cdr:x>
      <cdr:y>0.51847</cdr:y>
    </cdr:to>
    <cdr:sp macro="" textlink="">
      <cdr:nvSpPr>
        <cdr:cNvPr id="12" name="Rectangle: Rounded Corners 11">
          <a:extLst xmlns:a="http://schemas.openxmlformats.org/drawingml/2006/main">
            <a:ext uri="{FF2B5EF4-FFF2-40B4-BE49-F238E27FC236}">
              <a16:creationId xmlns:a16="http://schemas.microsoft.com/office/drawing/2014/main" id="{179349C4-9AD3-2396-3083-D6F4F3A5C830}"/>
            </a:ext>
          </a:extLst>
        </cdr:cNvPr>
        <cdr:cNvSpPr/>
      </cdr:nvSpPr>
      <cdr:spPr>
        <a:xfrm xmlns:a="http://schemas.openxmlformats.org/drawingml/2006/main">
          <a:off x="3348858" y="1231783"/>
          <a:ext cx="1178525" cy="1271347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chemeClr val="tx1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0.19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 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/ 0.16 </a:t>
          </a:r>
        </a:p>
        <a:p xmlns:a="http://schemas.openxmlformats.org/drawingml/2006/main">
          <a:pPr algn="l"/>
          <a:r>
            <a:rPr lang="en-US" sz="1000" baseline="0">
              <a:solidFill>
                <a:schemeClr val="tx1"/>
              </a:solidFill>
              <a:latin typeface="Aptos Narrow (Body)"/>
            </a:rPr>
            <a:t>ngàn tấn </a:t>
          </a:r>
        </a:p>
        <a:p xmlns:a="http://schemas.openxmlformats.org/drawingml/2006/main">
          <a:pPr algn="l"/>
          <a:r>
            <a:rPr lang="en-US" sz="1000" baseline="0">
              <a:solidFill>
                <a:schemeClr val="tx1"/>
              </a:solidFill>
              <a:latin typeface="Aptos Narrow (Body)"/>
            </a:rPr>
            <a:t>(+0.03 ~ +20%)</a:t>
          </a:r>
        </a:p>
        <a:p xmlns:a="http://schemas.openxmlformats.org/drawingml/2006/main">
          <a:pPr algn="l"/>
          <a:endParaRPr lang="en-US" sz="1000" i="1" baseline="0">
            <a:solidFill>
              <a:schemeClr val="tx1"/>
            </a:solidFill>
            <a:latin typeface="Aptos Narrow (Body)"/>
          </a:endParaRPr>
        </a:p>
        <a:p xmlns:a="http://schemas.openxmlformats.org/drawingml/2006/main">
          <a:r>
            <a:rPr lang="en-US" sz="1000" b="1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LG đơn vị </a:t>
          </a:r>
          <a:r>
            <a:rPr lang="en-US" sz="1000" b="0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đạt    </a:t>
          </a:r>
        </a:p>
        <a:p xmlns:a="http://schemas.openxmlformats.org/drawingml/2006/main">
          <a:r>
            <a:rPr lang="en-US" sz="1000" b="1" i="0" baseline="0">
              <a:solidFill>
                <a:srgbClr val="FF0000"/>
              </a:solidFill>
              <a:effectLst/>
              <a:latin typeface="Aptos Narrow (Body)"/>
              <a:ea typeface="+mn-ea"/>
              <a:cs typeface="+mn-cs"/>
            </a:rPr>
            <a:t>- </a:t>
          </a:r>
          <a:r>
            <a:rPr lang="en-US" sz="1100" b="1" i="0" baseline="0">
              <a:solidFill>
                <a:srgbClr val="FF0000"/>
              </a:solidFill>
              <a:effectLst/>
              <a:latin typeface="Aptos Narrow (Body)"/>
              <a:ea typeface="+mn-ea"/>
              <a:cs typeface="+mn-cs"/>
            </a:rPr>
            <a:t>$366/tấn </a:t>
          </a:r>
          <a:r>
            <a:rPr lang="en-US" sz="1000" b="0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(KH là $211/tấn)</a:t>
          </a:r>
          <a:endParaRPr lang="en-US" sz="1000">
            <a:solidFill>
              <a:schemeClr val="tx1"/>
            </a:solidFill>
            <a:effectLst/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0.59651</cdr:x>
      <cdr:y>0.71866</cdr:y>
    </cdr:from>
    <cdr:to>
      <cdr:x>0.7238</cdr:x>
      <cdr:y>0.85885</cdr:y>
    </cdr:to>
    <cdr:sp macro="" textlink="">
      <cdr:nvSpPr>
        <cdr:cNvPr id="16" name="Rectangle: Rounded Corners 15">
          <a:extLst xmlns:a="http://schemas.openxmlformats.org/drawingml/2006/main">
            <a:ext uri="{FF2B5EF4-FFF2-40B4-BE49-F238E27FC236}">
              <a16:creationId xmlns:a16="http://schemas.microsoft.com/office/drawing/2014/main" id="{752729F3-CCAE-F822-42F0-AEF1409700A7}"/>
            </a:ext>
          </a:extLst>
        </cdr:cNvPr>
        <cdr:cNvSpPr/>
      </cdr:nvSpPr>
      <cdr:spPr>
        <a:xfrm xmlns:a="http://schemas.openxmlformats.org/drawingml/2006/main">
          <a:off x="5828234" y="3469662"/>
          <a:ext cx="1243694" cy="67683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vi-VN" sz="1100" b="1" baseline="0">
              <a:solidFill>
                <a:srgbClr val="C00000"/>
              </a:solidFill>
              <a:latin typeface="Aptos Narrow (Body)"/>
            </a:rPr>
            <a:t>Xơ sợi</a:t>
          </a:r>
          <a:endParaRPr lang="en-US" sz="1100" b="1" baseline="0">
            <a:solidFill>
              <a:srgbClr val="C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-0.36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-0.02 tỷ (-</a:t>
          </a:r>
          <a:r>
            <a:rPr lang="en-US" sz="900" i="1" baseline="0">
              <a:solidFill>
                <a:srgbClr val="C00000"/>
              </a:solidFill>
              <a:latin typeface="Aptos Narrow (Body)"/>
            </a:rPr>
            <a:t>0.34 tỷ)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0.33989</cdr:x>
      <cdr:y>0.1216</cdr:y>
    </cdr:from>
    <cdr:to>
      <cdr:x>0.48655</cdr:x>
      <cdr:y>0.23721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04F91C8D-5F94-8656-9E8F-0E53CAD8644B}"/>
            </a:ext>
          </a:extLst>
        </cdr:cNvPr>
        <cdr:cNvSpPr txBox="1"/>
      </cdr:nvSpPr>
      <cdr:spPr>
        <a:xfrm xmlns:a="http://schemas.openxmlformats.org/drawingml/2006/main">
          <a:off x="3320954" y="587078"/>
          <a:ext cx="1432950" cy="5581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/>
            <a:t>Hiện</a:t>
          </a:r>
          <a:r>
            <a:rPr lang="en-US" sz="900" i="1" baseline="0"/>
            <a:t> tại đang đẩy bán các mặt hàng tồn kho lâu (không nằm trong KH)</a:t>
          </a:r>
          <a:endParaRPr lang="en-US" sz="900" i="1"/>
        </a:p>
      </cdr:txBody>
    </cdr:sp>
  </cdr:relSizeAnchor>
  <cdr:relSizeAnchor xmlns:cdr="http://schemas.openxmlformats.org/drawingml/2006/chartDrawing">
    <cdr:from>
      <cdr:x>0.21537</cdr:x>
      <cdr:y>0.22054</cdr:y>
    </cdr:from>
    <cdr:to>
      <cdr:x>0.33568</cdr:x>
      <cdr:y>0.48324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E2858B31-9008-AB8C-0093-A0E652627B3B}"/>
            </a:ext>
          </a:extLst>
        </cdr:cNvPr>
        <cdr:cNvSpPr/>
      </cdr:nvSpPr>
      <cdr:spPr>
        <a:xfrm xmlns:a="http://schemas.openxmlformats.org/drawingml/2006/main">
          <a:off x="2104332" y="1064775"/>
          <a:ext cx="1175496" cy="1268305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0.27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0.93</a:t>
          </a:r>
        </a:p>
        <a:p xmlns:a="http://schemas.openxmlformats.org/drawingml/2006/main">
          <a:pPr algn="l"/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 ngàn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(-0.66 ~ -71.0%).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</a:t>
          </a:r>
        </a:p>
        <a:p xmlns:a="http://schemas.openxmlformats.org/drawingml/2006/main">
          <a:pPr algn="l"/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-$40/tấn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$229/tấn)</a:t>
          </a:r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0.14557</cdr:x>
      <cdr:y>0.09471</cdr:y>
    </cdr:from>
    <cdr:to>
      <cdr:x>0.335</cdr:x>
      <cdr:y>0.21089</cdr:y>
    </cdr:to>
    <cdr:sp macro="" textlink="">
      <cdr:nvSpPr>
        <cdr:cNvPr id="21" name="Speech Bubble: Rectangle with Corners Rounded 20">
          <a:extLst xmlns:a="http://schemas.openxmlformats.org/drawingml/2006/main">
            <a:ext uri="{FF2B5EF4-FFF2-40B4-BE49-F238E27FC236}">
              <a16:creationId xmlns:a16="http://schemas.microsoft.com/office/drawing/2014/main" id="{653A09C5-2448-3BA5-1A91-6C66478BA92E}"/>
            </a:ext>
          </a:extLst>
        </cdr:cNvPr>
        <cdr:cNvSpPr/>
      </cdr:nvSpPr>
      <cdr:spPr>
        <a:xfrm xmlns:a="http://schemas.openxmlformats.org/drawingml/2006/main">
          <a:off x="1422337" y="457273"/>
          <a:ext cx="1850836" cy="560912"/>
        </a:xfrm>
        <a:prstGeom xmlns:a="http://schemas.openxmlformats.org/drawingml/2006/main" prst="wedgeRoundRectCallout">
          <a:avLst>
            <a:gd name="adj1" fmla="val -31744"/>
            <a:gd name="adj2" fmla="val 11798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3.6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5.0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100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0.07705</cdr:x>
      <cdr:y>0.49205</cdr:y>
    </cdr:from>
    <cdr:to>
      <cdr:x>0.20796</cdr:x>
      <cdr:y>0.72671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6B76A25C-21E0-46F4-ED15-CFD157785426}"/>
            </a:ext>
          </a:extLst>
        </cdr:cNvPr>
        <cdr:cNvSpPr/>
      </cdr:nvSpPr>
      <cdr:spPr>
        <a:xfrm xmlns:a="http://schemas.openxmlformats.org/drawingml/2006/main">
          <a:off x="752821" y="2375596"/>
          <a:ext cx="1279064" cy="113293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chemeClr val="tx1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2.03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 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/ 4.68 ng. tấn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(-2.6 ~ -56.7%)</a:t>
          </a:r>
          <a:endParaRPr lang="en-US" sz="1000">
            <a:solidFill>
              <a:schemeClr val="tx1"/>
            </a:solidFill>
            <a:effectLst/>
          </a:endParaRPr>
        </a:p>
        <a:p xmlns:a="http://schemas.openxmlformats.org/drawingml/2006/main">
          <a:pPr algn="l"/>
          <a:endParaRPr lang="en-US" sz="1000" i="1" baseline="0">
            <a:solidFill>
              <a:schemeClr val="tx1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chemeClr val="tx1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100" b="1" i="0" baseline="0">
              <a:solidFill>
                <a:schemeClr val="tx1"/>
              </a:solidFill>
              <a:latin typeface="Aptos Narrow (Body)"/>
            </a:rPr>
            <a:t>$78/tấn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(KH là $247/tấn ~ -57%)</a:t>
          </a:r>
          <a:endParaRPr lang="en-US" sz="1000" i="1" baseline="0">
            <a:solidFill>
              <a:schemeClr val="tx1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0.75279</cdr:x>
      <cdr:y>0.43681</cdr:y>
    </cdr:from>
    <cdr:to>
      <cdr:x>1</cdr:x>
      <cdr:y>0.49985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AEB20BFC-A160-26BF-4A08-AE61263E6869}"/>
            </a:ext>
          </a:extLst>
        </cdr:cNvPr>
        <cdr:cNvSpPr/>
      </cdr:nvSpPr>
      <cdr:spPr>
        <a:xfrm xmlns:a="http://schemas.openxmlformats.org/drawingml/2006/main">
          <a:off x="7355177" y="2108896"/>
          <a:ext cx="2415379" cy="304347"/>
        </a:xfrm>
        <a:prstGeom xmlns:a="http://schemas.openxmlformats.org/drawingml/2006/main" prst="wedgeRoundRectCallout">
          <a:avLst>
            <a:gd name="adj1" fmla="val -24301"/>
            <a:gd name="adj2" fmla="val 124808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1100" b="1" baseline="0">
              <a:solidFill>
                <a:sysClr val="windowText" lastClr="000000"/>
              </a:solidFill>
              <a:latin typeface="Aptos Narrow (Body)"/>
            </a:rPr>
            <a:t>- Cp thuê máy: 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tăng chi phí</a:t>
          </a:r>
          <a:r>
            <a:rPr lang="vi-VN" sz="1100" b="1" baseline="0">
              <a:solidFill>
                <a:sysClr val="windowText" lastClr="000000"/>
              </a:solidFill>
              <a:latin typeface="Aptos Narrow (Body)"/>
            </a:rPr>
            <a:t> 1.4 tỷ</a:t>
          </a:r>
          <a:endParaRPr lang="en-US" sz="1100" b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0.60001</cdr:x>
      <cdr:y>0.4263</cdr:y>
    </cdr:from>
    <cdr:to>
      <cdr:x>0.72471</cdr:x>
      <cdr:y>0.54474</cdr:y>
    </cdr:to>
    <cdr:sp macro="" textlink="">
      <cdr:nvSpPr>
        <cdr:cNvPr id="17" name="Rectangle: Rounded Corners 16">
          <a:extLst xmlns:a="http://schemas.openxmlformats.org/drawingml/2006/main">
            <a:ext uri="{FF2B5EF4-FFF2-40B4-BE49-F238E27FC236}">
              <a16:creationId xmlns:a16="http://schemas.microsoft.com/office/drawing/2014/main" id="{427209E9-E46C-3D8A-3CC6-3E4008503131}"/>
            </a:ext>
          </a:extLst>
        </cdr:cNvPr>
        <cdr:cNvSpPr/>
      </cdr:nvSpPr>
      <cdr:spPr>
        <a:xfrm xmlns:a="http://schemas.openxmlformats.org/drawingml/2006/main">
          <a:off x="5862384" y="2058158"/>
          <a:ext cx="1218388" cy="571824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Sản</a:t>
          </a:r>
          <a:r>
            <a:rPr lang="en-US" sz="1000" b="1" baseline="0">
              <a:solidFill>
                <a:sysClr val="windowText" lastClr="000000"/>
              </a:solidFill>
            </a:rPr>
            <a:t> lượng</a:t>
          </a:r>
          <a:r>
            <a:rPr lang="en-US" sz="1000" baseline="0">
              <a:solidFill>
                <a:sysClr val="windowText" lastClr="000000"/>
              </a:solidFill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</a:rPr>
            <a:t>0.03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000" baseline="0">
              <a:solidFill>
                <a:sysClr val="windowText" lastClr="000000"/>
              </a:solidFill>
            </a:rPr>
            <a:t>/ 0.1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</a:rPr>
            <a:t>(-0.07 ~ -73%)</a:t>
          </a:r>
        </a:p>
      </cdr:txBody>
    </cdr:sp>
  </cdr:relSizeAnchor>
  <cdr:relSizeAnchor xmlns:cdr="http://schemas.openxmlformats.org/drawingml/2006/chartDrawing">
    <cdr:from>
      <cdr:x>0.93022</cdr:x>
      <cdr:y>0.18252</cdr:y>
    </cdr:from>
    <cdr:to>
      <cdr:x>0.99967</cdr:x>
      <cdr:y>0.23185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FD2D692-1B9B-087C-88DE-97B54BB255D8}"/>
            </a:ext>
          </a:extLst>
        </cdr:cNvPr>
        <cdr:cNvSpPr txBox="1"/>
      </cdr:nvSpPr>
      <cdr:spPr>
        <a:xfrm xmlns:a="http://schemas.openxmlformats.org/drawingml/2006/main">
          <a:off x="9088761" y="881188"/>
          <a:ext cx="678566" cy="238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0.0052</cdr:x>
      <cdr:y>0</cdr:y>
    </cdr:from>
    <cdr:to>
      <cdr:x>0.16106</cdr:x>
      <cdr:y>0.05999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D5D5125-E3F5-E81C-00A5-1E5E945BD905}"/>
            </a:ext>
          </a:extLst>
        </cdr:cNvPr>
        <cdr:cNvSpPr txBox="1"/>
      </cdr:nvSpPr>
      <cdr:spPr>
        <a:xfrm xmlns:a="http://schemas.openxmlformats.org/drawingml/2006/main">
          <a:off x="50800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23.2%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0.84414</cdr:x>
      <cdr:y>0</cdr:y>
    </cdr:from>
    <cdr:to>
      <cdr:x>1</cdr:x>
      <cdr:y>0.05999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692448F1-20B2-1AC3-4D2D-60A63D1EC35E}"/>
            </a:ext>
          </a:extLst>
        </cdr:cNvPr>
        <cdr:cNvSpPr txBox="1"/>
      </cdr:nvSpPr>
      <cdr:spPr>
        <a:xfrm xmlns:a="http://schemas.openxmlformats.org/drawingml/2006/main">
          <a:off x="8247707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8.4%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0.90819</cdr:x>
      <cdr:y>0.38728</cdr:y>
    </cdr:from>
    <cdr:to>
      <cdr:x>1</cdr:x>
      <cdr:y>0.52422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78CD73D-67CD-8CDB-D617-6657A87D5BD0}"/>
            </a:ext>
          </a:extLst>
        </cdr:cNvPr>
        <cdr:cNvSpPr txBox="1"/>
      </cdr:nvSpPr>
      <cdr:spPr>
        <a:xfrm xmlns:a="http://schemas.openxmlformats.org/drawingml/2006/main">
          <a:off x="8128075" y="1736725"/>
          <a:ext cx="821682" cy="61409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3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- 24.4Tỷ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0.27187</cdr:y>
    </cdr:from>
    <cdr:to>
      <cdr:x>0.65985</cdr:x>
      <cdr:y>0.97068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FD08CFA-F8DE-228F-AC90-1FFB5EAB3170}"/>
            </a:ext>
          </a:extLst>
        </cdr:cNvPr>
        <cdr:cNvSpPr/>
      </cdr:nvSpPr>
      <cdr:spPr>
        <a:xfrm xmlns:a="http://schemas.openxmlformats.org/drawingml/2006/main">
          <a:off x="0" y="1219178"/>
          <a:ext cx="5905497" cy="313376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359021</xdr:colOff>
      <xdr:row>2</xdr:row>
      <xdr:rowOff>29308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D1C1AA-F9FC-44E4-B886-28F359BBCE02}"/>
            </a:ext>
          </a:extLst>
        </xdr:cNvPr>
        <xdr:cNvSpPr/>
      </xdr:nvSpPr>
      <xdr:spPr>
        <a:xfrm>
          <a:off x="1" y="0"/>
          <a:ext cx="2187820" cy="41030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FF00"/>
              </a:solidFill>
            </a:rPr>
            <a:t>Vẽ</a:t>
          </a:r>
          <a:r>
            <a:rPr lang="en-US" sz="1100" b="1" baseline="0">
              <a:solidFill>
                <a:srgbClr val="FFFF00"/>
              </a:solidFill>
            </a:rPr>
            <a:t> tổng sản lượng sản phẩm chính -&gt; tác động MIX -&gt; để thấy rõ là cty đang bán </a:t>
          </a:r>
          <a:r>
            <a:rPr lang="en-US" sz="1100" b="1" u="sng" baseline="0">
              <a:solidFill>
                <a:srgbClr val="FFFF00"/>
              </a:solidFill>
            </a:rPr>
            <a:t>mặt hàng xơ sợi </a:t>
          </a:r>
          <a:r>
            <a:rPr lang="en-US" sz="1100" b="1" baseline="0">
              <a:solidFill>
                <a:srgbClr val="FFFF00"/>
              </a:solidFill>
            </a:rPr>
            <a:t>nhiều hơn trong tháng 7</a:t>
          </a:r>
        </a:p>
      </xdr:txBody>
    </xdr:sp>
    <xdr:clientData/>
  </xdr:twoCellAnchor>
  <xdr:oneCellAnchor>
    <xdr:from>
      <xdr:col>2</xdr:col>
      <xdr:colOff>152118</xdr:colOff>
      <xdr:row>100</xdr:row>
      <xdr:rowOff>29414</xdr:rowOff>
    </xdr:from>
    <xdr:ext cx="11109792" cy="54340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14BCFE-00FD-4813-BA40-96A100EA8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154933</xdr:colOff>
      <xdr:row>102</xdr:row>
      <xdr:rowOff>7797</xdr:rowOff>
    </xdr:from>
    <xdr:to>
      <xdr:col>10</xdr:col>
      <xdr:colOff>315616</xdr:colOff>
      <xdr:row>119</xdr:row>
      <xdr:rowOff>153474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18BB37D-48FE-4C0A-BF38-1247BE402FBB}"/>
            </a:ext>
          </a:extLst>
        </xdr:cNvPr>
        <xdr:cNvSpPr/>
      </xdr:nvSpPr>
      <xdr:spPr>
        <a:xfrm>
          <a:off x="3639962" y="19438797"/>
          <a:ext cx="8385801" cy="33841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0</xdr:colOff>
      <xdr:row>135</xdr:row>
      <xdr:rowOff>0</xdr:rowOff>
    </xdr:from>
    <xdr:ext cx="12815609" cy="5053852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EC566B-D833-4C27-952E-4EAEE0714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1018346</xdr:colOff>
      <xdr:row>136</xdr:row>
      <xdr:rowOff>136665</xdr:rowOff>
    </xdr:from>
    <xdr:to>
      <xdr:col>18</xdr:col>
      <xdr:colOff>950429</xdr:colOff>
      <xdr:row>154</xdr:row>
      <xdr:rowOff>91842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923B029-F5BC-F587-774E-52123DED8742}"/>
            </a:ext>
          </a:extLst>
        </xdr:cNvPr>
        <xdr:cNvSpPr/>
      </xdr:nvSpPr>
      <xdr:spPr>
        <a:xfrm>
          <a:off x="13819946" y="26044665"/>
          <a:ext cx="8333133" cy="33841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0.91599</cdr:x>
      <cdr:y>0.42936</cdr:y>
    </cdr:from>
    <cdr:to>
      <cdr:x>0.99628</cdr:x>
      <cdr:y>0.54437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164141" y="2333124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-79%)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0.062</cdr:x>
      <cdr:y>0.72204</cdr:y>
    </cdr:from>
    <cdr:to>
      <cdr:x>0.84499</cdr:x>
      <cdr:y>0.88359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688807" y="3923575"/>
          <a:ext cx="8698856" cy="877865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LG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9.2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25.4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(-16.1 tỷ ~ -64.0%)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LG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0.84 </a:t>
            </a:r>
            <a:r>
              <a:rPr lang="en-US" sz="1500" baseline="0">
                <a:solidFill>
                  <a:srgbClr val="C00000"/>
                </a:solidFill>
              </a:rPr>
              <a:t>/ 4.2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(-3.4 tỷ ~ -80.2%)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-0.47</a:t>
            </a:r>
            <a:r>
              <a:rPr lang="en-US" sz="1500" baseline="0">
                <a:solidFill>
                  <a:srgbClr val="C00000"/>
                </a:solidFill>
              </a:rPr>
              <a:t> / 0.8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(-1.2 tỷ)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chemeClr val="tx1"/>
                </a:solidFill>
              </a:rPr>
              <a:t>LG EXW</a:t>
            </a:r>
            <a:r>
              <a:rPr lang="en-US" sz="1500" b="1" baseline="0">
                <a:solidFill>
                  <a:schemeClr val="tx1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chemeClr val="tx1"/>
                </a:solidFill>
              </a:rPr>
              <a:t>đạt </a:t>
            </a:r>
            <a:r>
              <a:rPr lang="en-US" sz="1800" b="1" baseline="0">
                <a:solidFill>
                  <a:schemeClr val="tx1"/>
                </a:solidFill>
              </a:rPr>
              <a:t>-0.2</a:t>
            </a:r>
            <a:r>
              <a:rPr lang="en-US" sz="1500" b="1" baseline="0">
                <a:solidFill>
                  <a:schemeClr val="tx1"/>
                </a:solidFill>
              </a:rPr>
              <a:t> </a:t>
            </a:r>
            <a:r>
              <a:rPr lang="en-US" sz="1500" baseline="0">
                <a:solidFill>
                  <a:schemeClr val="tx1"/>
                </a:solidFill>
              </a:rPr>
              <a:t>/ -0.35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chemeClr val="tx1"/>
                </a:solidFill>
              </a:rPr>
              <a:t>(+0.17 tỷ)</a:t>
            </a:r>
            <a:endParaRPr lang="en-US" sz="1300" i="1">
              <a:solidFill>
                <a:schemeClr val="tx1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-5.3 </a:t>
            </a:r>
            <a:r>
              <a:rPr lang="en-US" sz="1500" baseline="0">
                <a:solidFill>
                  <a:srgbClr val="C00000"/>
                </a:solidFill>
              </a:rPr>
              <a:t>/ 0.08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0.83823</cdr:x>
      <cdr:y>0.27785</cdr:y>
    </cdr:from>
    <cdr:to>
      <cdr:x>0.89465</cdr:x>
      <cdr:y>0.48923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01293" y="1509826"/>
          <a:ext cx="626056" cy="114864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0.71145</cdr:x>
      <cdr:y>0.01461</cdr:y>
    </cdr:from>
    <cdr:to>
      <cdr:x>0.8963</cdr:x>
      <cdr:y>0.10956</cdr:y>
    </cdr:to>
    <cdr:sp macro="" textlink="">
      <cdr:nvSpPr>
        <cdr:cNvPr id="12" name="Speech Bubble: Rectangle with Corners Rounded 11">
          <a:extLst xmlns:a="http://schemas.openxmlformats.org/drawingml/2006/main">
            <a:ext uri="{FF2B5EF4-FFF2-40B4-BE49-F238E27FC236}">
              <a16:creationId xmlns:a16="http://schemas.microsoft.com/office/drawing/2014/main" id="{123D37DD-35ED-CC91-EA7D-518D155EC94D}"/>
            </a:ext>
          </a:extLst>
        </cdr:cNvPr>
        <cdr:cNvSpPr/>
      </cdr:nvSpPr>
      <cdr:spPr>
        <a:xfrm xmlns:a="http://schemas.openxmlformats.org/drawingml/2006/main">
          <a:off x="7894506" y="79370"/>
          <a:ext cx="2051159" cy="515959"/>
        </a:xfrm>
        <a:prstGeom xmlns:a="http://schemas.openxmlformats.org/drawingml/2006/main" prst="wedgeRoundRectCallout">
          <a:avLst>
            <a:gd name="adj1" fmla="val 53180"/>
            <a:gd name="adj2" fmla="val 10785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KH</a:t>
          </a:r>
          <a:r>
            <a:rPr lang="en-US" sz="1100" baseline="0">
              <a:solidFill>
                <a:sysClr val="windowText" lastClr="000000"/>
              </a:solidFill>
            </a:rPr>
            <a:t> có doanh thu EPR:</a:t>
          </a:r>
          <a:r>
            <a:rPr lang="en-US" sz="1100" b="1" baseline="0">
              <a:solidFill>
                <a:sysClr val="windowText" lastClr="000000"/>
              </a:solidFill>
            </a:rPr>
            <a:t> 3.5 tỷ </a:t>
          </a:r>
          <a:r>
            <a:rPr lang="en-US" sz="1100" baseline="0">
              <a:solidFill>
                <a:sysClr val="windowText" lastClr="000000"/>
              </a:solidFill>
            </a:rPr>
            <a:t>(thực tế chưa phát sinh) </a:t>
          </a:r>
          <a:endParaRPr lang="en-US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0.06215</cdr:x>
      <cdr:y>0.27722</cdr:y>
    </cdr:from>
    <cdr:to>
      <cdr:x>0.83658</cdr:x>
      <cdr:y>0.72624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690474" y="1506417"/>
          <a:ext cx="8603756" cy="2439981"/>
          <a:chOff x="690563" y="1226280"/>
          <a:chExt cx="8604650" cy="2440007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559798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$101/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$229 ~ -17.3%)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19259" y="122628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$159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$245 ~ -35%)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56508" y="1248691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rgbClr val="FF0000"/>
                </a:solidFill>
              </a:rPr>
              <a:t>-$315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$226)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16198" y="1528202"/>
            <a:ext cx="1664208" cy="546763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31005" y="1516997"/>
            <a:ext cx="1664208" cy="571508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</cdr:txBody>
      </cdr:sp>
    </cdr:grpSp>
  </cdr:relSizeAnchor>
  <cdr:relSizeAnchor xmlns:cdr="http://schemas.openxmlformats.org/drawingml/2006/chartDrawing">
    <cdr:from>
      <cdr:x>0.37243</cdr:x>
      <cdr:y>0.16514</cdr:y>
    </cdr:from>
    <cdr:to>
      <cdr:x>0.52345</cdr:x>
      <cdr:y>0.27722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32620" y="897394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0.52558</cdr:x>
      <cdr:y>0.16896</cdr:y>
    </cdr:from>
    <cdr:to>
      <cdr:x>0.6766</cdr:x>
      <cdr:y>0.28104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832026" y="918109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0.91292</cdr:x>
      <cdr:y>0.02378</cdr:y>
    </cdr:from>
    <cdr:to>
      <cdr:x>1</cdr:x>
      <cdr:y>0.08751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037BFA9-081A-28CF-C7ED-AA109E15A0D2}"/>
            </a:ext>
          </a:extLst>
        </cdr:cNvPr>
        <cdr:cNvSpPr txBox="1"/>
      </cdr:nvSpPr>
      <cdr:spPr>
        <a:xfrm xmlns:a="http://schemas.openxmlformats.org/drawingml/2006/main">
          <a:off x="10130062" y="129241"/>
          <a:ext cx="966283" cy="346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5.0%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0.00054</cdr:x>
      <cdr:y>0</cdr:y>
    </cdr:from>
    <cdr:to>
      <cdr:x>0.08728</cdr:x>
      <cdr:y>0.03679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93F7FDA8-2BB2-5E9D-D4B3-7E5C17FFFEB6}"/>
            </a:ext>
          </a:extLst>
        </cdr:cNvPr>
        <cdr:cNvSpPr txBox="1"/>
      </cdr:nvSpPr>
      <cdr:spPr>
        <a:xfrm xmlns:a="http://schemas.openxmlformats.org/drawingml/2006/main">
          <a:off x="5977" y="0"/>
          <a:ext cx="962494" cy="199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17.8%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16.2%)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0.22436</cdr:x>
      <cdr:y>0</cdr:y>
    </cdr:from>
    <cdr:to>
      <cdr:x>0.43287</cdr:x>
      <cdr:y>0.14542</cdr:y>
    </cdr:to>
    <cdr:sp macro="" textlink="">
      <cdr:nvSpPr>
        <cdr:cNvPr id="22" name="Speech Bubble: Rectangle with Corners Rounded 21">
          <a:extLst xmlns:a="http://schemas.openxmlformats.org/drawingml/2006/main">
            <a:ext uri="{FF2B5EF4-FFF2-40B4-BE49-F238E27FC236}">
              <a16:creationId xmlns:a16="http://schemas.microsoft.com/office/drawing/2014/main" id="{7BADB968-B02B-44E2-6B68-E92B002AA910}"/>
            </a:ext>
          </a:extLst>
        </cdr:cNvPr>
        <cdr:cNvSpPr/>
      </cdr:nvSpPr>
      <cdr:spPr>
        <a:xfrm xmlns:a="http://schemas.openxmlformats.org/drawingml/2006/main">
          <a:off x="2492579" y="0"/>
          <a:ext cx="2316502" cy="790214"/>
        </a:xfrm>
        <a:prstGeom xmlns:a="http://schemas.openxmlformats.org/drawingml/2006/main" prst="wedgeRoundRectCallout">
          <a:avLst>
            <a:gd name="adj1" fmla="val -53407"/>
            <a:gd name="adj2" fmla="val 3150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11.6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6.3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85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Nguyên nhân là do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</a:t>
          </a:r>
          <a:r>
            <a:rPr lang="en-US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mua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chai/vảy tăng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Chai: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18,789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/ 16,566đ/kg; +2,223 ~ + 13.4%.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Vảy: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20,104 </a:t>
          </a:r>
          <a:r>
            <a:rPr lang="en-US" sz="850" b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/ 18,780 đ/kg; +1,324 ~ +7%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0.88441</cdr:x>
      <cdr:y>0.41463</cdr:y>
    </cdr:from>
    <cdr:to>
      <cdr:x>0.97595</cdr:x>
      <cdr:y>0.51264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11334294" y="2095500"/>
          <a:ext cx="1173141" cy="49530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-24.4 </a:t>
          </a:r>
          <a:r>
            <a:rPr lang="en-US" sz="11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1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0.18457</cdr:x>
      <cdr:y>0.50573</cdr:y>
    </cdr:from>
    <cdr:to>
      <cdr:x>0.38794</cdr:x>
      <cdr:y>0.62444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101D8DAD-BB9B-8CF2-F9F6-16C2D8406980}"/>
            </a:ext>
          </a:extLst>
        </cdr:cNvPr>
        <cdr:cNvSpPr/>
      </cdr:nvSpPr>
      <cdr:spPr>
        <a:xfrm xmlns:a="http://schemas.openxmlformats.org/drawingml/2006/main">
          <a:off x="2365375" y="2555875"/>
          <a:ext cx="2606343" cy="59995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800" b="1" baseline="0">
              <a:solidFill>
                <a:sysClr val="windowText" lastClr="000000"/>
              </a:solidFill>
              <a:latin typeface="+mn-lt"/>
            </a:rPr>
            <a:t>5.19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/ 5.44</a:t>
          </a:r>
        </a:p>
        <a:p xmlns:a="http://schemas.openxmlformats.org/drawingml/2006/main">
          <a:pPr algn="l"/>
          <a:r>
            <a:rPr lang="en-US" sz="1500" baseline="0">
              <a:solidFill>
                <a:sysClr val="windowText" lastClr="000000"/>
              </a:solidFill>
              <a:latin typeface="+mn-lt"/>
            </a:rPr>
            <a:t>ngàn tấn 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-0.25  ~  -4.6%).</a:t>
          </a:r>
        </a:p>
      </cdr:txBody>
    </cdr:sp>
  </cdr:relSizeAnchor>
  <cdr:relSizeAnchor xmlns:cdr="http://schemas.openxmlformats.org/drawingml/2006/chartDrawing">
    <cdr:from>
      <cdr:x>0.59484</cdr:x>
      <cdr:y>0.24752</cdr:y>
    </cdr:from>
    <cdr:to>
      <cdr:x>0.69801</cdr:x>
      <cdr:y>0.45739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468E62E3-D146-E067-64FD-1C47D1151CE2}"/>
            </a:ext>
          </a:extLst>
        </cdr:cNvPr>
        <cdr:cNvSpPr/>
      </cdr:nvSpPr>
      <cdr:spPr>
        <a:xfrm xmlns:a="http://schemas.openxmlformats.org/drawingml/2006/main">
          <a:off x="7623175" y="1250950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ysClr val="windowText" lastClr="000000"/>
              </a:solidFill>
              <a:latin typeface="+mn-lt"/>
            </a:rPr>
            <a:t>Tăng</a:t>
          </a:r>
          <a:r>
            <a:rPr lang="en-US" sz="1200" baseline="0">
              <a:solidFill>
                <a:sysClr val="windowText" lastClr="000000"/>
              </a:solidFill>
              <a:latin typeface="+mn-lt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</a:rPr>
            <a:t>25,000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+mn-lt"/>
            </a:rPr>
            <a:t>26,133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(+1,133 ~ + 4.5%)</a:t>
          </a:r>
        </a:p>
      </cdr:txBody>
    </cdr:sp>
  </cdr:relSizeAnchor>
  <cdr:relSizeAnchor xmlns:cdr="http://schemas.openxmlformats.org/drawingml/2006/chartDrawing">
    <cdr:from>
      <cdr:x>0.00396</cdr:x>
      <cdr:y>0.01005</cdr:y>
    </cdr:from>
    <cdr:to>
      <cdr:x>0.07747</cdr:x>
      <cdr:y>0.07861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939D2E8-3433-5A28-E2E8-3315376258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42002" cy="346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19.8%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18.4%)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0.91145</cdr:x>
      <cdr:y>0.00817</cdr:y>
    </cdr:from>
    <cdr:to>
      <cdr:x>0.98697</cdr:x>
      <cdr:y>0.07673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B3FC853-511D-4F9B-214B-A2621CC9C45B}"/>
            </a:ext>
          </a:extLst>
        </cdr:cNvPr>
        <cdr:cNvSpPr txBox="1"/>
      </cdr:nvSpPr>
      <cdr:spPr>
        <a:xfrm xmlns:a="http://schemas.openxmlformats.org/drawingml/2006/main">
          <a:off x="11680825" y="41275"/>
          <a:ext cx="967770" cy="346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6.8%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130484</xdr:rowOff>
    </xdr:from>
    <xdr:ext cx="9255755" cy="451713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C092D-684B-4264-8344-208B33E4A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0.8986</cdr:x>
      <cdr:y>0.39361</cdr:y>
    </cdr:from>
    <cdr:to>
      <cdr:x>0.98835</cdr:x>
      <cdr:y>0.52909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EEF96EE-A418-B5B0-B266-E3E4F2AF370F}"/>
            </a:ext>
          </a:extLst>
        </cdr:cNvPr>
        <cdr:cNvSpPr txBox="1"/>
      </cdr:nvSpPr>
      <cdr:spPr>
        <a:xfrm xmlns:a="http://schemas.openxmlformats.org/drawingml/2006/main">
          <a:off x="8317221" y="1778002"/>
          <a:ext cx="830704" cy="611982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- 28.9 Tỷ</a:t>
          </a:r>
        </a:p>
        <a:p xmlns:a="http://schemas.openxmlformats.org/drawingml/2006/main">
          <a:pPr algn="ctr"/>
          <a:r>
            <a:rPr lang="en-US" sz="1200" b="0" i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(~</a:t>
          </a:r>
          <a:r>
            <a:rPr lang="en-US" sz="1200" b="0" i="1" kern="1200" baseline="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 -131.5%)</a:t>
          </a:r>
          <a:endParaRPr lang="en-US" sz="1200" b="0" i="1" kern="1200">
            <a:solidFill>
              <a:srgbClr val="C00000"/>
            </a:solidFill>
            <a:latin typeface="+mn-lt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0.79102</cdr:x>
      <cdr:y>0.77104</cdr:y>
    </cdr:from>
    <cdr:to>
      <cdr:x>0.90645</cdr:x>
      <cdr:y>0.89431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25D2CAB3-E630-9DCC-98B9-B49175BBD466}"/>
            </a:ext>
          </a:extLst>
        </cdr:cNvPr>
        <cdr:cNvSpPr/>
      </cdr:nvSpPr>
      <cdr:spPr>
        <a:xfrm xmlns:a="http://schemas.openxmlformats.org/drawingml/2006/main">
          <a:off x="7321496" y="3482890"/>
          <a:ext cx="1068391" cy="556827"/>
        </a:xfrm>
        <a:prstGeom xmlns:a="http://schemas.openxmlformats.org/drawingml/2006/main" prst="wedgeRoundRectCallout">
          <a:avLst>
            <a:gd name="adj1" fmla="val 10691"/>
            <a:gd name="adj2" fmla="val -6855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>
              <a:solidFill>
                <a:sysClr val="windowText" lastClr="000000"/>
              </a:solidFill>
            </a:rPr>
            <a:t>Hoàn</a:t>
          </a:r>
          <a:r>
            <a:rPr lang="en-US" sz="1100" b="1" baseline="0">
              <a:solidFill>
                <a:sysClr val="windowText" lastClr="000000"/>
              </a:solidFill>
            </a:rPr>
            <a:t> trích thuế TNDN do </a:t>
          </a:r>
          <a:r>
            <a:rPr lang="en-US" sz="1100" b="0" baseline="0">
              <a:solidFill>
                <a:sysClr val="windowText" lastClr="000000"/>
              </a:solidFill>
            </a:rPr>
            <a:t>kết quả âm</a:t>
          </a:r>
        </a:p>
      </cdr:txBody>
    </cdr:sp>
  </cdr:relSizeAnchor>
  <cdr:relSizeAnchor xmlns:cdr="http://schemas.openxmlformats.org/drawingml/2006/chartDrawing">
    <cdr:from>
      <cdr:x>0.21188</cdr:x>
      <cdr:y>0.0551</cdr:y>
    </cdr:from>
    <cdr:to>
      <cdr:x>0.58089</cdr:x>
      <cdr:y>0.17111</cdr:y>
    </cdr:to>
    <cdr:sp macro="" textlink="">
      <cdr:nvSpPr>
        <cdr:cNvPr id="6" name="Speech Bubble: Rectangle with Corners Rounded 5">
          <a:extLst xmlns:a="http://schemas.openxmlformats.org/drawingml/2006/main">
            <a:ext uri="{FF2B5EF4-FFF2-40B4-BE49-F238E27FC236}">
              <a16:creationId xmlns:a16="http://schemas.microsoft.com/office/drawing/2014/main" id="{0B845C69-639D-91E9-B759-DA25AA6507BF}"/>
            </a:ext>
          </a:extLst>
        </cdr:cNvPr>
        <cdr:cNvSpPr/>
      </cdr:nvSpPr>
      <cdr:spPr>
        <a:xfrm xmlns:a="http://schemas.openxmlformats.org/drawingml/2006/main">
          <a:off x="1961109" y="248894"/>
          <a:ext cx="3415467" cy="524033"/>
        </a:xfrm>
        <a:prstGeom xmlns:a="http://schemas.openxmlformats.org/drawingml/2006/main" prst="wedgeRoundRectCallout">
          <a:avLst>
            <a:gd name="adj1" fmla="val -56787"/>
            <a:gd name="adj2" fmla="val 13588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>
              <a:solidFill>
                <a:schemeClr val="tx1"/>
              </a:solidFill>
            </a:rPr>
            <a:t>Sản</a:t>
          </a:r>
          <a:r>
            <a:rPr lang="en-US" sz="1100" b="1" baseline="0">
              <a:solidFill>
                <a:schemeClr val="tx1"/>
              </a:solidFill>
            </a:rPr>
            <a:t> phẩm chính không đạt </a:t>
          </a:r>
          <a:r>
            <a:rPr lang="en-US" sz="1100" b="0" baseline="0">
              <a:solidFill>
                <a:schemeClr val="tx1"/>
              </a:solidFill>
            </a:rPr>
            <a:t>(2.5/5.9 ngàn tấn): </a:t>
          </a:r>
          <a:r>
            <a:rPr lang="en-US" sz="1100" b="1" baseline="0">
              <a:solidFill>
                <a:schemeClr val="tx1"/>
              </a:solidFill>
            </a:rPr>
            <a:t>-19.5 tỷ</a:t>
          </a:r>
        </a:p>
        <a:p xmlns:a="http://schemas.openxmlformats.org/drawingml/2006/main">
          <a:pPr algn="l"/>
          <a:r>
            <a:rPr lang="en-US" sz="1100" b="1" baseline="0">
              <a:solidFill>
                <a:schemeClr val="tx1"/>
              </a:solidFill>
            </a:rPr>
            <a:t>Lãi gộp đơn vị </a:t>
          </a:r>
          <a:r>
            <a:rPr lang="en-US" sz="1100" b="0" baseline="0">
              <a:solidFill>
                <a:schemeClr val="tx1"/>
              </a:solidFill>
            </a:rPr>
            <a:t>giảm: -</a:t>
          </a:r>
          <a:r>
            <a:rPr lang="en-US" sz="1100" b="1" baseline="0">
              <a:solidFill>
                <a:schemeClr val="tx1"/>
              </a:solidFill>
            </a:rPr>
            <a:t>13.4 tỷ</a:t>
          </a:r>
        </a:p>
      </cdr:txBody>
    </cdr:sp>
  </cdr:relSizeAnchor>
  <cdr:relSizeAnchor xmlns:cdr="http://schemas.openxmlformats.org/drawingml/2006/chartDrawing">
    <cdr:from>
      <cdr:x>0.41329</cdr:x>
      <cdr:y>0.79919</cdr:y>
    </cdr:from>
    <cdr:to>
      <cdr:x>0.54446</cdr:x>
      <cdr:y>0.8596</cdr:y>
    </cdr:to>
    <cdr:sp macro="" textlink="">
      <cdr:nvSpPr>
        <cdr:cNvPr id="9" name="Speech Bubble: Rectangle with Corners Rounded 8">
          <a:extLst xmlns:a="http://schemas.openxmlformats.org/drawingml/2006/main">
            <a:ext uri="{FF2B5EF4-FFF2-40B4-BE49-F238E27FC236}">
              <a16:creationId xmlns:a16="http://schemas.microsoft.com/office/drawing/2014/main" id="{646A1B80-5B50-C88B-5C0A-CC7D89EA95F2}"/>
            </a:ext>
          </a:extLst>
        </cdr:cNvPr>
        <cdr:cNvSpPr/>
      </cdr:nvSpPr>
      <cdr:spPr>
        <a:xfrm xmlns:a="http://schemas.openxmlformats.org/drawingml/2006/main">
          <a:off x="3825294" y="3610062"/>
          <a:ext cx="1214077" cy="272881"/>
        </a:xfrm>
        <a:prstGeom xmlns:a="http://schemas.openxmlformats.org/drawingml/2006/main" prst="wedgeRoundRectCallout">
          <a:avLst>
            <a:gd name="adj1" fmla="val -27414"/>
            <a:gd name="adj2" fmla="val -81456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Thực tế vay ít hơn</a:t>
          </a:r>
          <a:endParaRPr lang="en-US" sz="1100" b="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0.59554</cdr:x>
      <cdr:y>0.41166</cdr:y>
    </cdr:from>
    <cdr:to>
      <cdr:x>0.86677</cdr:x>
      <cdr:y>0.58562</cdr:y>
    </cdr:to>
    <cdr:sp macro="" textlink="">
      <cdr:nvSpPr>
        <cdr:cNvPr id="7" name="Speech Bubble: Rectangle with Corners Rounded 6">
          <a:extLst xmlns:a="http://schemas.openxmlformats.org/drawingml/2006/main">
            <a:ext uri="{FF2B5EF4-FFF2-40B4-BE49-F238E27FC236}">
              <a16:creationId xmlns:a16="http://schemas.microsoft.com/office/drawing/2014/main" id="{3BA0867C-E256-7642-B5C7-320BA63C67C0}"/>
            </a:ext>
          </a:extLst>
        </cdr:cNvPr>
        <cdr:cNvSpPr/>
      </cdr:nvSpPr>
      <cdr:spPr>
        <a:xfrm xmlns:a="http://schemas.openxmlformats.org/drawingml/2006/main">
          <a:off x="5512130" y="1859520"/>
          <a:ext cx="2510439" cy="785801"/>
        </a:xfrm>
        <a:prstGeom xmlns:a="http://schemas.openxmlformats.org/drawingml/2006/main" prst="wedgeRoundRectCallout">
          <a:avLst>
            <a:gd name="adj1" fmla="val 5463"/>
            <a:gd name="adj2" fmla="val 93191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- Truy thu/giảm trừ </a:t>
          </a:r>
          <a:r>
            <a:rPr lang="en-US" sz="1100" b="0" baseline="0">
              <a:solidFill>
                <a:sysClr val="windowText" lastClr="000000"/>
              </a:solidFill>
            </a:rPr>
            <a:t>thuế GTGT sau quyết toán 2019-2024: </a:t>
          </a:r>
          <a:r>
            <a:rPr lang="en-US" sz="1100" b="1" baseline="0">
              <a:solidFill>
                <a:sysClr val="windowText" lastClr="000000"/>
              </a:solidFill>
            </a:rPr>
            <a:t>0.54 tỷ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- </a:t>
          </a:r>
          <a:r>
            <a:rPr lang="en-US" sz="1100" b="0" baseline="0">
              <a:solidFill>
                <a:sysClr val="windowText" lastClr="000000"/>
              </a:solidFill>
            </a:rPr>
            <a:t>Xử lý khiếu nại khách Nestle: </a:t>
          </a:r>
          <a:r>
            <a:rPr lang="en-US" sz="1100" b="1" baseline="0">
              <a:solidFill>
                <a:sysClr val="windowText" lastClr="000000"/>
              </a:solidFill>
            </a:rPr>
            <a:t>0.54 tỷ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0.16453</cdr:x>
      <cdr:y>0.07645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99E6BC0A-FE4B-7BB6-451A-FC19987949A4}"/>
            </a:ext>
          </a:extLst>
        </cdr:cNvPr>
        <cdr:cNvSpPr txBox="1"/>
      </cdr:nvSpPr>
      <cdr:spPr>
        <a:xfrm xmlns:a="http://schemas.openxmlformats.org/drawingml/2006/main">
          <a:off x="0" y="0"/>
          <a:ext cx="1522849" cy="340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9.0%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0.86416</cdr:x>
      <cdr:y>0.00551</cdr:y>
    </cdr:from>
    <cdr:to>
      <cdr:x>1</cdr:x>
      <cdr:y>0.08196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E7C0045-AFCD-B27B-13EF-968224E99C4B}"/>
            </a:ext>
          </a:extLst>
        </cdr:cNvPr>
        <cdr:cNvSpPr txBox="1"/>
      </cdr:nvSpPr>
      <cdr:spPr>
        <a:xfrm xmlns:a="http://schemas.openxmlformats.org/drawingml/2006/main">
          <a:off x="7998420" y="24889"/>
          <a:ext cx="1257335" cy="3453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 Dthu :</a:t>
          </a:r>
          <a:r>
            <a:rPr lang="en-US" sz="1100" i="1" kern="1200" baseline="0">
              <a:solidFill>
                <a:srgbClr val="FF33CC"/>
              </a:solidFill>
            </a:rPr>
            <a:t> -7.8%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0.20761</cdr:x>
      <cdr:y>0.46551</cdr:y>
    </cdr:from>
    <cdr:to>
      <cdr:x>0.56909</cdr:x>
      <cdr:y>0.60726</cdr:y>
    </cdr:to>
    <cdr:sp macro="" textlink="">
      <cdr:nvSpPr>
        <cdr:cNvPr id="3" name="Speech Bubble: Rectangle with Corners Rounded 2">
          <a:extLst xmlns:a="http://schemas.openxmlformats.org/drawingml/2006/main">
            <a:ext uri="{FF2B5EF4-FFF2-40B4-BE49-F238E27FC236}">
              <a16:creationId xmlns:a16="http://schemas.microsoft.com/office/drawing/2014/main" id="{B639DF5A-0F7F-0FBA-CEE4-5015AABADEAC}"/>
            </a:ext>
          </a:extLst>
        </cdr:cNvPr>
        <cdr:cNvSpPr/>
      </cdr:nvSpPr>
      <cdr:spPr>
        <a:xfrm xmlns:a="http://schemas.openxmlformats.org/drawingml/2006/main">
          <a:off x="1921588" y="2102772"/>
          <a:ext cx="3345738" cy="640304"/>
        </a:xfrm>
        <a:prstGeom xmlns:a="http://schemas.openxmlformats.org/drawingml/2006/main" prst="wedgeRoundRectCallout">
          <a:avLst>
            <a:gd name="adj1" fmla="val -13521"/>
            <a:gd name="adj2" fmla="val 114068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>
              <a:solidFill>
                <a:schemeClr val="tx1"/>
              </a:solidFill>
            </a:rPr>
            <a:t>- </a:t>
          </a:r>
          <a:r>
            <a:rPr lang="en-US" sz="1100" b="0">
              <a:solidFill>
                <a:schemeClr val="tx1"/>
              </a:solidFill>
            </a:rPr>
            <a:t>Ghi nhận</a:t>
          </a:r>
          <a:r>
            <a:rPr lang="en-US" sz="1100" b="0" baseline="0">
              <a:solidFill>
                <a:schemeClr val="tx1"/>
              </a:solidFill>
            </a:rPr>
            <a:t> </a:t>
          </a:r>
          <a:r>
            <a:rPr lang="en-US" sz="1100" b="1" baseline="0">
              <a:solidFill>
                <a:schemeClr val="tx1"/>
              </a:solidFill>
            </a:rPr>
            <a:t>cp chống phá giá EU</a:t>
          </a:r>
          <a:r>
            <a:rPr lang="en-US" sz="1100" b="0" baseline="0">
              <a:solidFill>
                <a:schemeClr val="tx1"/>
              </a:solidFill>
            </a:rPr>
            <a:t>: </a:t>
          </a:r>
          <a:r>
            <a:rPr lang="en-US" sz="1100" b="1" baseline="0">
              <a:solidFill>
                <a:schemeClr val="tx1"/>
              </a:solidFill>
            </a:rPr>
            <a:t>1.4 tỷ </a:t>
          </a:r>
          <a:r>
            <a:rPr lang="en-US" sz="1100" b="0" baseline="0">
              <a:solidFill>
                <a:schemeClr val="tx1"/>
              </a:solidFill>
            </a:rPr>
            <a:t>(ngoài KH)</a:t>
          </a:r>
        </a:p>
        <a:p xmlns:a="http://schemas.openxmlformats.org/drawingml/2006/main">
          <a:pPr algn="l"/>
          <a:r>
            <a:rPr lang="en-US" sz="1100" b="0" baseline="0">
              <a:solidFill>
                <a:schemeClr val="tx1"/>
              </a:solidFill>
            </a:rPr>
            <a:t>- </a:t>
          </a:r>
          <a:r>
            <a:rPr lang="en-US" sz="1100" b="1" baseline="0">
              <a:solidFill>
                <a:schemeClr val="tx1"/>
              </a:solidFill>
            </a:rPr>
            <a:t>Cp tiếp khách </a:t>
          </a:r>
          <a:r>
            <a:rPr lang="en-US" sz="1100" b="0" baseline="0">
              <a:solidFill>
                <a:schemeClr val="tx1"/>
              </a:solidFill>
            </a:rPr>
            <a:t>tăng: </a:t>
          </a:r>
          <a:r>
            <a:rPr lang="en-US" sz="1100" b="1" baseline="0">
              <a:solidFill>
                <a:schemeClr val="tx1"/>
              </a:solidFill>
            </a:rPr>
            <a:t>0.17 tỷ</a:t>
          </a:r>
        </a:p>
        <a:p xmlns:a="http://schemas.openxmlformats.org/drawingml/2006/main">
          <a:pPr algn="l"/>
          <a:r>
            <a:rPr lang="en-US" sz="1100" b="0" baseline="0">
              <a:solidFill>
                <a:schemeClr val="tx1"/>
              </a:solidFill>
            </a:rPr>
            <a:t>- Phần còn lại là do tăng cp công tác, cp quảng cáo...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359021</xdr:colOff>
      <xdr:row>2</xdr:row>
      <xdr:rowOff>29308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127F2B-E053-45C0-940C-B18E987887DB}"/>
            </a:ext>
          </a:extLst>
        </xdr:cNvPr>
        <xdr:cNvSpPr/>
      </xdr:nvSpPr>
      <xdr:spPr>
        <a:xfrm>
          <a:off x="1" y="0"/>
          <a:ext cx="4016620" cy="39760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FF00"/>
              </a:solidFill>
            </a:rPr>
            <a:t>Vẽ</a:t>
          </a:r>
          <a:r>
            <a:rPr lang="en-US" sz="1100" b="1" baseline="0">
              <a:solidFill>
                <a:srgbClr val="FFFF00"/>
              </a:solidFill>
            </a:rPr>
            <a:t> tổng sản lượng sản phẩm chính -&gt; tác động MIX -&gt; để thấy rõ là cty đang bán </a:t>
          </a:r>
          <a:r>
            <a:rPr lang="en-US" sz="1100" b="1" u="sng" baseline="0">
              <a:solidFill>
                <a:srgbClr val="FFFF00"/>
              </a:solidFill>
            </a:rPr>
            <a:t>mặt hàng xơ sợi </a:t>
          </a:r>
          <a:r>
            <a:rPr lang="en-US" sz="1100" b="1" baseline="0">
              <a:solidFill>
                <a:srgbClr val="FFFF00"/>
              </a:solidFill>
            </a:rPr>
            <a:t>nhiều hơn trong tháng 7</a:t>
          </a:r>
        </a:p>
      </xdr:txBody>
    </xdr:sp>
    <xdr:clientData/>
  </xdr:twoCellAnchor>
  <xdr:oneCellAnchor>
    <xdr:from>
      <xdr:col>2</xdr:col>
      <xdr:colOff>152118</xdr:colOff>
      <xdr:row>100</xdr:row>
      <xdr:rowOff>29414</xdr:rowOff>
    </xdr:from>
    <xdr:ext cx="11109792" cy="54340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C91320-903C-4C24-9ACC-08E0748DF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154933</xdr:colOff>
      <xdr:row>102</xdr:row>
      <xdr:rowOff>7797</xdr:rowOff>
    </xdr:from>
    <xdr:to>
      <xdr:col>10</xdr:col>
      <xdr:colOff>315616</xdr:colOff>
      <xdr:row>119</xdr:row>
      <xdr:rowOff>153474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8EE90F0-9414-4701-AC3A-7A73D7D87DE2}"/>
            </a:ext>
          </a:extLst>
        </xdr:cNvPr>
        <xdr:cNvSpPr/>
      </xdr:nvSpPr>
      <xdr:spPr>
        <a:xfrm>
          <a:off x="3812533" y="18791097"/>
          <a:ext cx="8790333" cy="327622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0</xdr:colOff>
      <xdr:row>135</xdr:row>
      <xdr:rowOff>0</xdr:rowOff>
    </xdr:from>
    <xdr:ext cx="12815609" cy="5053852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F4E16F-8CB2-4042-839D-AF1885576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1018346</xdr:colOff>
      <xdr:row>136</xdr:row>
      <xdr:rowOff>136665</xdr:rowOff>
    </xdr:from>
    <xdr:to>
      <xdr:col>18</xdr:col>
      <xdr:colOff>950429</xdr:colOff>
      <xdr:row>154</xdr:row>
      <xdr:rowOff>91842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3097FFC-148C-4B02-B796-D6E24CD4F9CD}"/>
            </a:ext>
          </a:extLst>
        </xdr:cNvPr>
        <xdr:cNvSpPr/>
      </xdr:nvSpPr>
      <xdr:spPr>
        <a:xfrm>
          <a:off x="14594646" y="25181065"/>
          <a:ext cx="8733183" cy="32698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0.91599</cdr:x>
      <cdr:y>0.42936</cdr:y>
    </cdr:from>
    <cdr:to>
      <cdr:x>0.99628</cdr:x>
      <cdr:y>0.54437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164141" y="2333124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-79%)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0.062</cdr:x>
      <cdr:y>0.72204</cdr:y>
    </cdr:from>
    <cdr:to>
      <cdr:x>0.84499</cdr:x>
      <cdr:y>0.88359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688807" y="3923575"/>
          <a:ext cx="8698856" cy="877865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LG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9.2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25.4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(-16.1 tỷ ~ -64.0%)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LG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0.84 </a:t>
            </a:r>
            <a:r>
              <a:rPr lang="en-US" sz="1500" baseline="0">
                <a:solidFill>
                  <a:srgbClr val="C00000"/>
                </a:solidFill>
              </a:rPr>
              <a:t>/ 4.2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(-3.4 tỷ ~ -80.2%)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-0.47</a:t>
            </a:r>
            <a:r>
              <a:rPr lang="en-US" sz="1500" baseline="0">
                <a:solidFill>
                  <a:srgbClr val="C00000"/>
                </a:solidFill>
              </a:rPr>
              <a:t> / 0.8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(-1.2 tỷ)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chemeClr val="tx1"/>
                </a:solidFill>
              </a:rPr>
              <a:t>LG EXW</a:t>
            </a:r>
            <a:r>
              <a:rPr lang="en-US" sz="1500" b="1" baseline="0">
                <a:solidFill>
                  <a:schemeClr val="tx1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chemeClr val="tx1"/>
                </a:solidFill>
              </a:rPr>
              <a:t>đạt </a:t>
            </a:r>
            <a:r>
              <a:rPr lang="en-US" sz="1800" b="1" baseline="0">
                <a:solidFill>
                  <a:schemeClr val="tx1"/>
                </a:solidFill>
              </a:rPr>
              <a:t>-0.2</a:t>
            </a:r>
            <a:r>
              <a:rPr lang="en-US" sz="1500" b="1" baseline="0">
                <a:solidFill>
                  <a:schemeClr val="tx1"/>
                </a:solidFill>
              </a:rPr>
              <a:t> </a:t>
            </a:r>
            <a:r>
              <a:rPr lang="en-US" sz="1500" baseline="0">
                <a:solidFill>
                  <a:schemeClr val="tx1"/>
                </a:solidFill>
              </a:rPr>
              <a:t>/ -0.35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chemeClr val="tx1"/>
                </a:solidFill>
              </a:rPr>
              <a:t>(+0.17 tỷ)</a:t>
            </a:r>
            <a:endParaRPr lang="en-US" sz="1300" i="1">
              <a:solidFill>
                <a:schemeClr val="tx1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-5.3 </a:t>
            </a:r>
            <a:r>
              <a:rPr lang="en-US" sz="1500" baseline="0">
                <a:solidFill>
                  <a:srgbClr val="C00000"/>
                </a:solidFill>
              </a:rPr>
              <a:t>/ 0.08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0.83823</cdr:x>
      <cdr:y>0.27785</cdr:y>
    </cdr:from>
    <cdr:to>
      <cdr:x>0.89465</cdr:x>
      <cdr:y>0.48923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01293" y="1509826"/>
          <a:ext cx="626056" cy="114864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0.71145</cdr:x>
      <cdr:y>0.01461</cdr:y>
    </cdr:from>
    <cdr:to>
      <cdr:x>0.8963</cdr:x>
      <cdr:y>0.10956</cdr:y>
    </cdr:to>
    <cdr:sp macro="" textlink="">
      <cdr:nvSpPr>
        <cdr:cNvPr id="12" name="Speech Bubble: Rectangle with Corners Rounded 11">
          <a:extLst xmlns:a="http://schemas.openxmlformats.org/drawingml/2006/main">
            <a:ext uri="{FF2B5EF4-FFF2-40B4-BE49-F238E27FC236}">
              <a16:creationId xmlns:a16="http://schemas.microsoft.com/office/drawing/2014/main" id="{123D37DD-35ED-CC91-EA7D-518D155EC94D}"/>
            </a:ext>
          </a:extLst>
        </cdr:cNvPr>
        <cdr:cNvSpPr/>
      </cdr:nvSpPr>
      <cdr:spPr>
        <a:xfrm xmlns:a="http://schemas.openxmlformats.org/drawingml/2006/main">
          <a:off x="7894506" y="79370"/>
          <a:ext cx="2051159" cy="515959"/>
        </a:xfrm>
        <a:prstGeom xmlns:a="http://schemas.openxmlformats.org/drawingml/2006/main" prst="wedgeRoundRectCallout">
          <a:avLst>
            <a:gd name="adj1" fmla="val 53180"/>
            <a:gd name="adj2" fmla="val 10785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KH</a:t>
          </a:r>
          <a:r>
            <a:rPr lang="en-US" sz="1100" baseline="0">
              <a:solidFill>
                <a:sysClr val="windowText" lastClr="000000"/>
              </a:solidFill>
            </a:rPr>
            <a:t> có doanh thu EPR:</a:t>
          </a:r>
          <a:r>
            <a:rPr lang="en-US" sz="1100" b="1" baseline="0">
              <a:solidFill>
                <a:sysClr val="windowText" lastClr="000000"/>
              </a:solidFill>
            </a:rPr>
            <a:t> 3.5 tỷ </a:t>
          </a:r>
          <a:r>
            <a:rPr lang="en-US" sz="1100" baseline="0">
              <a:solidFill>
                <a:sysClr val="windowText" lastClr="000000"/>
              </a:solidFill>
            </a:rPr>
            <a:t>(thực tế chưa phát sinh) </a:t>
          </a:r>
          <a:endParaRPr lang="en-US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0.06215</cdr:x>
      <cdr:y>0.27722</cdr:y>
    </cdr:from>
    <cdr:to>
      <cdr:x>0.83658</cdr:x>
      <cdr:y>0.72624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690474" y="1506417"/>
          <a:ext cx="8603756" cy="2439981"/>
          <a:chOff x="690563" y="1226280"/>
          <a:chExt cx="8604650" cy="2440007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559798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$101/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$229 ~ -17.3%)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19259" y="122628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$159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$245 ~ -35%)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56508" y="1248691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rgbClr val="FF0000"/>
                </a:solidFill>
              </a:rPr>
              <a:t>-$315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$226)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16198" y="1528202"/>
            <a:ext cx="1664208" cy="546763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31005" y="1516997"/>
            <a:ext cx="1664208" cy="571508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</cdr:txBody>
      </cdr:sp>
    </cdr:grpSp>
  </cdr:relSizeAnchor>
  <cdr:relSizeAnchor xmlns:cdr="http://schemas.openxmlformats.org/drawingml/2006/chartDrawing">
    <cdr:from>
      <cdr:x>0.37243</cdr:x>
      <cdr:y>0.16514</cdr:y>
    </cdr:from>
    <cdr:to>
      <cdr:x>0.52345</cdr:x>
      <cdr:y>0.27722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32620" y="897394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0.52558</cdr:x>
      <cdr:y>0.16896</cdr:y>
    </cdr:from>
    <cdr:to>
      <cdr:x>0.6766</cdr:x>
      <cdr:y>0.28104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832026" y="918109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0.91292</cdr:x>
      <cdr:y>0.02378</cdr:y>
    </cdr:from>
    <cdr:to>
      <cdr:x>1</cdr:x>
      <cdr:y>0.08751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037BFA9-081A-28CF-C7ED-AA109E15A0D2}"/>
            </a:ext>
          </a:extLst>
        </cdr:cNvPr>
        <cdr:cNvSpPr txBox="1"/>
      </cdr:nvSpPr>
      <cdr:spPr>
        <a:xfrm xmlns:a="http://schemas.openxmlformats.org/drawingml/2006/main">
          <a:off x="10130062" y="129241"/>
          <a:ext cx="966283" cy="346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5.0%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0.00054</cdr:x>
      <cdr:y>0</cdr:y>
    </cdr:from>
    <cdr:to>
      <cdr:x>0.08728</cdr:x>
      <cdr:y>0.03679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93F7FDA8-2BB2-5E9D-D4B3-7E5C17FFFEB6}"/>
            </a:ext>
          </a:extLst>
        </cdr:cNvPr>
        <cdr:cNvSpPr txBox="1"/>
      </cdr:nvSpPr>
      <cdr:spPr>
        <a:xfrm xmlns:a="http://schemas.openxmlformats.org/drawingml/2006/main">
          <a:off x="5977" y="0"/>
          <a:ext cx="962494" cy="199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17.8%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16.2%)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0.22436</cdr:x>
      <cdr:y>0</cdr:y>
    </cdr:from>
    <cdr:to>
      <cdr:x>0.43287</cdr:x>
      <cdr:y>0.14542</cdr:y>
    </cdr:to>
    <cdr:sp macro="" textlink="">
      <cdr:nvSpPr>
        <cdr:cNvPr id="22" name="Speech Bubble: Rectangle with Corners Rounded 21">
          <a:extLst xmlns:a="http://schemas.openxmlformats.org/drawingml/2006/main">
            <a:ext uri="{FF2B5EF4-FFF2-40B4-BE49-F238E27FC236}">
              <a16:creationId xmlns:a16="http://schemas.microsoft.com/office/drawing/2014/main" id="{7BADB968-B02B-44E2-6B68-E92B002AA910}"/>
            </a:ext>
          </a:extLst>
        </cdr:cNvPr>
        <cdr:cNvSpPr/>
      </cdr:nvSpPr>
      <cdr:spPr>
        <a:xfrm xmlns:a="http://schemas.openxmlformats.org/drawingml/2006/main">
          <a:off x="2492579" y="0"/>
          <a:ext cx="2316502" cy="790214"/>
        </a:xfrm>
        <a:prstGeom xmlns:a="http://schemas.openxmlformats.org/drawingml/2006/main" prst="wedgeRoundRectCallout">
          <a:avLst>
            <a:gd name="adj1" fmla="val -53407"/>
            <a:gd name="adj2" fmla="val 3150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11.6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6.3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85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Nguyên nhân là do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</a:t>
          </a:r>
          <a:r>
            <a:rPr lang="en-US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mua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chai/vảy tăng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Chai: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18,789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/ 16,566đ/kg; +2,223 ~ + 13.4%.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Vảy: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20,104 </a:t>
          </a:r>
          <a:r>
            <a:rPr lang="en-US" sz="850" b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/ 18,780 đ/kg; +1,324 ~ +7%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0.88441</cdr:x>
      <cdr:y>0.41463</cdr:y>
    </cdr:from>
    <cdr:to>
      <cdr:x>0.97595</cdr:x>
      <cdr:y>0.51264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11334294" y="2095500"/>
          <a:ext cx="1173141" cy="49530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-24.4 </a:t>
          </a:r>
          <a:r>
            <a:rPr lang="en-US" sz="11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1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0.18457</cdr:x>
      <cdr:y>0.50573</cdr:y>
    </cdr:from>
    <cdr:to>
      <cdr:x>0.38794</cdr:x>
      <cdr:y>0.62444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101D8DAD-BB9B-8CF2-F9F6-16C2D8406980}"/>
            </a:ext>
          </a:extLst>
        </cdr:cNvPr>
        <cdr:cNvSpPr/>
      </cdr:nvSpPr>
      <cdr:spPr>
        <a:xfrm xmlns:a="http://schemas.openxmlformats.org/drawingml/2006/main">
          <a:off x="2365375" y="2555875"/>
          <a:ext cx="2606343" cy="59995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800" b="1" baseline="0">
              <a:solidFill>
                <a:sysClr val="windowText" lastClr="000000"/>
              </a:solidFill>
              <a:latin typeface="+mn-lt"/>
            </a:rPr>
            <a:t>5.19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/ 5.44</a:t>
          </a:r>
        </a:p>
        <a:p xmlns:a="http://schemas.openxmlformats.org/drawingml/2006/main">
          <a:pPr algn="l"/>
          <a:r>
            <a:rPr lang="en-US" sz="1500" baseline="0">
              <a:solidFill>
                <a:sysClr val="windowText" lastClr="000000"/>
              </a:solidFill>
              <a:latin typeface="+mn-lt"/>
            </a:rPr>
            <a:t>ngàn tấn 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-0.25  ~  -4.6%).</a:t>
          </a:r>
        </a:p>
      </cdr:txBody>
    </cdr:sp>
  </cdr:relSizeAnchor>
  <cdr:relSizeAnchor xmlns:cdr="http://schemas.openxmlformats.org/drawingml/2006/chartDrawing">
    <cdr:from>
      <cdr:x>0.59484</cdr:x>
      <cdr:y>0.24752</cdr:y>
    </cdr:from>
    <cdr:to>
      <cdr:x>0.69801</cdr:x>
      <cdr:y>0.45739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468E62E3-D146-E067-64FD-1C47D1151CE2}"/>
            </a:ext>
          </a:extLst>
        </cdr:cNvPr>
        <cdr:cNvSpPr/>
      </cdr:nvSpPr>
      <cdr:spPr>
        <a:xfrm xmlns:a="http://schemas.openxmlformats.org/drawingml/2006/main">
          <a:off x="7623175" y="1250950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ysClr val="windowText" lastClr="000000"/>
              </a:solidFill>
              <a:latin typeface="+mn-lt"/>
            </a:rPr>
            <a:t>Tăng</a:t>
          </a:r>
          <a:r>
            <a:rPr lang="en-US" sz="1200" baseline="0">
              <a:solidFill>
                <a:sysClr val="windowText" lastClr="000000"/>
              </a:solidFill>
              <a:latin typeface="+mn-lt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</a:rPr>
            <a:t>25,000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+mn-lt"/>
            </a:rPr>
            <a:t>26,133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(+1,133 ~ + 4.5%)</a:t>
          </a:r>
        </a:p>
      </cdr:txBody>
    </cdr:sp>
  </cdr:relSizeAnchor>
  <cdr:relSizeAnchor xmlns:cdr="http://schemas.openxmlformats.org/drawingml/2006/chartDrawing">
    <cdr:from>
      <cdr:x>0.00396</cdr:x>
      <cdr:y>0.01005</cdr:y>
    </cdr:from>
    <cdr:to>
      <cdr:x>0.07747</cdr:x>
      <cdr:y>0.07861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939D2E8-3433-5A28-E2E8-3315376258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42002" cy="346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19.8%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18.4%)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0.91145</cdr:x>
      <cdr:y>0.00817</cdr:y>
    </cdr:from>
    <cdr:to>
      <cdr:x>0.98697</cdr:x>
      <cdr:y>0.07673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B3FC853-511D-4F9B-214B-A2621CC9C45B}"/>
            </a:ext>
          </a:extLst>
        </cdr:cNvPr>
        <cdr:cNvSpPr txBox="1"/>
      </cdr:nvSpPr>
      <cdr:spPr>
        <a:xfrm xmlns:a="http://schemas.openxmlformats.org/drawingml/2006/main">
          <a:off x="11680825" y="41275"/>
          <a:ext cx="967770" cy="346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6.8%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85</xdr:row>
      <xdr:rowOff>81854</xdr:rowOff>
    </xdr:from>
    <xdr:to>
      <xdr:col>9</xdr:col>
      <xdr:colOff>7431</xdr:colOff>
      <xdr:row>110</xdr:row>
      <xdr:rowOff>147315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82707-928D-42FC-86E3-488332F59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23</xdr:row>
      <xdr:rowOff>28575</xdr:rowOff>
    </xdr:from>
    <xdr:to>
      <xdr:col>21</xdr:col>
      <xdr:colOff>358207</xdr:colOff>
      <xdr:row>46</xdr:row>
      <xdr:rowOff>131512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2377E-38F8-44AE-8D2D-4D3AE9518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0.913</cdr:x>
      <cdr:y>0.58622</cdr:y>
    </cdr:from>
    <cdr:to>
      <cdr:x>0.99973</cdr:x>
      <cdr:y>0.71348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8920565" y="2830263"/>
          <a:ext cx="847401" cy="61440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</a:t>
          </a:r>
          <a:r>
            <a:rPr lang="vi-VN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4</a:t>
          </a:r>
          <a:r>
            <a:rPr lang="en-US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1Tỷ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-84.7%)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0.72325</cdr:x>
      <cdr:y>0.64296</cdr:y>
    </cdr:from>
    <cdr:to>
      <cdr:x>0.79144</cdr:x>
      <cdr:y>0.86696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066510" y="3104174"/>
          <a:ext cx="666254" cy="108146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</a:t>
          </a:r>
          <a:r>
            <a:rPr lang="vi-VN" sz="1000" b="1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88</a:t>
          </a:r>
          <a:endParaRPr lang="en-US" sz="7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(+1,</a:t>
          </a:r>
          <a:r>
            <a:rPr lang="vi-VN" sz="700" i="1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88 ~ +4.8%)</a:t>
          </a:r>
        </a:p>
      </cdr:txBody>
    </cdr:sp>
  </cdr:relSizeAnchor>
  <cdr:relSizeAnchor xmlns:cdr="http://schemas.openxmlformats.org/drawingml/2006/chartDrawing">
    <cdr:from>
      <cdr:x>0.07854</cdr:x>
      <cdr:y>0.71809</cdr:y>
    </cdr:from>
    <cdr:to>
      <cdr:x>0.20601</cdr:x>
      <cdr:y>0.85885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767379" y="3466911"/>
          <a:ext cx="1245453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3.9</a:t>
          </a:r>
          <a:r>
            <a:rPr lang="vi-VN" sz="13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28.9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(-24.9 tỷ ~ -86.3%)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0.20816</cdr:x>
      <cdr:y>0.71809</cdr:y>
    </cdr:from>
    <cdr:to>
      <cdr:x>0.33546</cdr:x>
      <cdr:y>0.85885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033839" y="3466911"/>
          <a:ext cx="1243792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-0.27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5.3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(-5.6 tỷ ~ -0.27%)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0.33761</cdr:x>
      <cdr:y>0.71809</cdr:y>
    </cdr:from>
    <cdr:to>
      <cdr:x>0.46491</cdr:x>
      <cdr:y>0.85885</cdr:y>
    </cdr:to>
    <cdr:sp macro="" textlink="">
      <cdr:nvSpPr>
        <cdr:cNvPr id="9" name="Rectangle: Rounded Corners 8">
          <a:extLst xmlns:a="http://schemas.openxmlformats.org/drawingml/2006/main">
            <a:ext uri="{FF2B5EF4-FFF2-40B4-BE49-F238E27FC236}">
              <a16:creationId xmlns:a16="http://schemas.microsoft.com/office/drawing/2014/main" id="{727C2A85-2A8E-42BF-D768-A7DB8468BE71}"/>
            </a:ext>
          </a:extLst>
        </cdr:cNvPr>
        <cdr:cNvSpPr/>
      </cdr:nvSpPr>
      <cdr:spPr>
        <a:xfrm xmlns:a="http://schemas.openxmlformats.org/drawingml/2006/main">
          <a:off x="3298637" y="3466911"/>
          <a:ext cx="1243792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rHD ép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-1.7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 / 0.8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(-2.5 tỷ)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0.46706</cdr:x>
      <cdr:y>0.71809</cdr:y>
    </cdr:from>
    <cdr:to>
      <cdr:x>0.59435</cdr:x>
      <cdr:y>0.85885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563436" y="3466911"/>
          <a:ext cx="1243694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chemeClr val="tx1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chemeClr val="tx1"/>
              </a:solidFill>
              <a:latin typeface="Aptos Narrow (Body)"/>
            </a:rPr>
            <a:t>- 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/ -</a:t>
          </a:r>
          <a:r>
            <a:rPr lang="vi-VN" sz="1100" baseline="0">
              <a:solidFill>
                <a:schemeClr val="tx1"/>
              </a:solidFill>
              <a:latin typeface="Aptos Narrow (Body)"/>
            </a:rPr>
            <a:t>0.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46 tỷ </a:t>
          </a:r>
        </a:p>
        <a:p xmlns:a="http://schemas.openxmlformats.org/drawingml/2006/main">
          <a:pPr algn="ctr"/>
          <a:r>
            <a:rPr lang="en-US" sz="900" i="1" baseline="0">
              <a:solidFill>
                <a:schemeClr val="tx1"/>
              </a:solidFill>
              <a:latin typeface="Aptos Narrow (Body)"/>
            </a:rPr>
            <a:t>(không có bán)</a:t>
          </a:r>
          <a:endParaRPr lang="en-US" sz="900" i="1">
            <a:solidFill>
              <a:schemeClr val="tx1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0.34275</cdr:x>
      <cdr:y>0.25514</cdr:y>
    </cdr:from>
    <cdr:to>
      <cdr:x>0.46337</cdr:x>
      <cdr:y>0.51847</cdr:y>
    </cdr:to>
    <cdr:sp macro="" textlink="">
      <cdr:nvSpPr>
        <cdr:cNvPr id="12" name="Rectangle: Rounded Corners 11">
          <a:extLst xmlns:a="http://schemas.openxmlformats.org/drawingml/2006/main">
            <a:ext uri="{FF2B5EF4-FFF2-40B4-BE49-F238E27FC236}">
              <a16:creationId xmlns:a16="http://schemas.microsoft.com/office/drawing/2014/main" id="{179349C4-9AD3-2396-3083-D6F4F3A5C830}"/>
            </a:ext>
          </a:extLst>
        </cdr:cNvPr>
        <cdr:cNvSpPr/>
      </cdr:nvSpPr>
      <cdr:spPr>
        <a:xfrm xmlns:a="http://schemas.openxmlformats.org/drawingml/2006/main">
          <a:off x="3348858" y="1231783"/>
          <a:ext cx="1178525" cy="1271347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chemeClr val="tx1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0.19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 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/ 0.16 </a:t>
          </a:r>
        </a:p>
        <a:p xmlns:a="http://schemas.openxmlformats.org/drawingml/2006/main">
          <a:pPr algn="l"/>
          <a:r>
            <a:rPr lang="en-US" sz="1000" baseline="0">
              <a:solidFill>
                <a:schemeClr val="tx1"/>
              </a:solidFill>
              <a:latin typeface="Aptos Narrow (Body)"/>
            </a:rPr>
            <a:t>ngàn tấn </a:t>
          </a:r>
        </a:p>
        <a:p xmlns:a="http://schemas.openxmlformats.org/drawingml/2006/main">
          <a:pPr algn="l"/>
          <a:r>
            <a:rPr lang="en-US" sz="1000" baseline="0">
              <a:solidFill>
                <a:schemeClr val="tx1"/>
              </a:solidFill>
              <a:latin typeface="Aptos Narrow (Body)"/>
            </a:rPr>
            <a:t>(+0.03 ~ +20%)</a:t>
          </a:r>
        </a:p>
        <a:p xmlns:a="http://schemas.openxmlformats.org/drawingml/2006/main">
          <a:pPr algn="l"/>
          <a:endParaRPr lang="en-US" sz="1000" i="1" baseline="0">
            <a:solidFill>
              <a:schemeClr val="tx1"/>
            </a:solidFill>
            <a:latin typeface="Aptos Narrow (Body)"/>
          </a:endParaRPr>
        </a:p>
        <a:p xmlns:a="http://schemas.openxmlformats.org/drawingml/2006/main">
          <a:r>
            <a:rPr lang="en-US" sz="1000" b="1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LG đơn vị </a:t>
          </a:r>
          <a:r>
            <a:rPr lang="en-US" sz="1000" b="0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đạt    </a:t>
          </a:r>
        </a:p>
        <a:p xmlns:a="http://schemas.openxmlformats.org/drawingml/2006/main">
          <a:r>
            <a:rPr lang="en-US" sz="1000" b="1" i="0" baseline="0">
              <a:solidFill>
                <a:srgbClr val="FF0000"/>
              </a:solidFill>
              <a:effectLst/>
              <a:latin typeface="Aptos Narrow (Body)"/>
              <a:ea typeface="+mn-ea"/>
              <a:cs typeface="+mn-cs"/>
            </a:rPr>
            <a:t>- </a:t>
          </a:r>
          <a:r>
            <a:rPr lang="en-US" sz="1100" b="1" i="0" baseline="0">
              <a:solidFill>
                <a:srgbClr val="FF0000"/>
              </a:solidFill>
              <a:effectLst/>
              <a:latin typeface="Aptos Narrow (Body)"/>
              <a:ea typeface="+mn-ea"/>
              <a:cs typeface="+mn-cs"/>
            </a:rPr>
            <a:t>$366/tấn </a:t>
          </a:r>
          <a:r>
            <a:rPr lang="en-US" sz="1000" b="0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(KH là $211/tấn)</a:t>
          </a:r>
          <a:endParaRPr lang="en-US" sz="1000">
            <a:solidFill>
              <a:schemeClr val="tx1"/>
            </a:solidFill>
            <a:effectLst/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0.59651</cdr:x>
      <cdr:y>0.71866</cdr:y>
    </cdr:from>
    <cdr:to>
      <cdr:x>0.7238</cdr:x>
      <cdr:y>0.85885</cdr:y>
    </cdr:to>
    <cdr:sp macro="" textlink="">
      <cdr:nvSpPr>
        <cdr:cNvPr id="16" name="Rectangle: Rounded Corners 15">
          <a:extLst xmlns:a="http://schemas.openxmlformats.org/drawingml/2006/main">
            <a:ext uri="{FF2B5EF4-FFF2-40B4-BE49-F238E27FC236}">
              <a16:creationId xmlns:a16="http://schemas.microsoft.com/office/drawing/2014/main" id="{752729F3-CCAE-F822-42F0-AEF1409700A7}"/>
            </a:ext>
          </a:extLst>
        </cdr:cNvPr>
        <cdr:cNvSpPr/>
      </cdr:nvSpPr>
      <cdr:spPr>
        <a:xfrm xmlns:a="http://schemas.openxmlformats.org/drawingml/2006/main">
          <a:off x="5828234" y="3469662"/>
          <a:ext cx="1243694" cy="67683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vi-VN" sz="1100" b="1" baseline="0">
              <a:solidFill>
                <a:srgbClr val="C00000"/>
              </a:solidFill>
              <a:latin typeface="Aptos Narrow (Body)"/>
            </a:rPr>
            <a:t>Xơ sợi</a:t>
          </a:r>
          <a:endParaRPr lang="en-US" sz="1100" b="1" baseline="0">
            <a:solidFill>
              <a:srgbClr val="C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-0.36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-0.02 tỷ (-</a:t>
          </a:r>
          <a:r>
            <a:rPr lang="en-US" sz="900" i="1" baseline="0">
              <a:solidFill>
                <a:srgbClr val="C00000"/>
              </a:solidFill>
              <a:latin typeface="Aptos Narrow (Body)"/>
            </a:rPr>
            <a:t>0.34 tỷ)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0.33989</cdr:x>
      <cdr:y>0.1216</cdr:y>
    </cdr:from>
    <cdr:to>
      <cdr:x>0.48655</cdr:x>
      <cdr:y>0.23721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04F91C8D-5F94-8656-9E8F-0E53CAD8644B}"/>
            </a:ext>
          </a:extLst>
        </cdr:cNvPr>
        <cdr:cNvSpPr txBox="1"/>
      </cdr:nvSpPr>
      <cdr:spPr>
        <a:xfrm xmlns:a="http://schemas.openxmlformats.org/drawingml/2006/main">
          <a:off x="3320954" y="587078"/>
          <a:ext cx="1432950" cy="5581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/>
            <a:t>Hiện</a:t>
          </a:r>
          <a:r>
            <a:rPr lang="en-US" sz="900" i="1" baseline="0"/>
            <a:t> tại đang đẩy bán các mặt hàng tồn kho lâu (không nằm trong KH)</a:t>
          </a:r>
          <a:endParaRPr lang="en-US" sz="900" i="1"/>
        </a:p>
      </cdr:txBody>
    </cdr:sp>
  </cdr:relSizeAnchor>
  <cdr:relSizeAnchor xmlns:cdr="http://schemas.openxmlformats.org/drawingml/2006/chartDrawing">
    <cdr:from>
      <cdr:x>0.21537</cdr:x>
      <cdr:y>0.22054</cdr:y>
    </cdr:from>
    <cdr:to>
      <cdr:x>0.33568</cdr:x>
      <cdr:y>0.48324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E2858B31-9008-AB8C-0093-A0E652627B3B}"/>
            </a:ext>
          </a:extLst>
        </cdr:cNvPr>
        <cdr:cNvSpPr/>
      </cdr:nvSpPr>
      <cdr:spPr>
        <a:xfrm xmlns:a="http://schemas.openxmlformats.org/drawingml/2006/main">
          <a:off x="2104332" y="1064775"/>
          <a:ext cx="1175496" cy="1268305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0.27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0.93</a:t>
          </a:r>
        </a:p>
        <a:p xmlns:a="http://schemas.openxmlformats.org/drawingml/2006/main">
          <a:pPr algn="l"/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 ngàn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(-0.66 ~ -71.0%).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</a:t>
          </a:r>
        </a:p>
        <a:p xmlns:a="http://schemas.openxmlformats.org/drawingml/2006/main">
          <a:pPr algn="l"/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-$40/tấn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$229/tấn)</a:t>
          </a:r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0.14557</cdr:x>
      <cdr:y>0.09471</cdr:y>
    </cdr:from>
    <cdr:to>
      <cdr:x>0.335</cdr:x>
      <cdr:y>0.21089</cdr:y>
    </cdr:to>
    <cdr:sp macro="" textlink="">
      <cdr:nvSpPr>
        <cdr:cNvPr id="21" name="Speech Bubble: Rectangle with Corners Rounded 20">
          <a:extLst xmlns:a="http://schemas.openxmlformats.org/drawingml/2006/main">
            <a:ext uri="{FF2B5EF4-FFF2-40B4-BE49-F238E27FC236}">
              <a16:creationId xmlns:a16="http://schemas.microsoft.com/office/drawing/2014/main" id="{653A09C5-2448-3BA5-1A91-6C66478BA92E}"/>
            </a:ext>
          </a:extLst>
        </cdr:cNvPr>
        <cdr:cNvSpPr/>
      </cdr:nvSpPr>
      <cdr:spPr>
        <a:xfrm xmlns:a="http://schemas.openxmlformats.org/drawingml/2006/main">
          <a:off x="1422337" y="457273"/>
          <a:ext cx="1850836" cy="560912"/>
        </a:xfrm>
        <a:prstGeom xmlns:a="http://schemas.openxmlformats.org/drawingml/2006/main" prst="wedgeRoundRectCallout">
          <a:avLst>
            <a:gd name="adj1" fmla="val -31744"/>
            <a:gd name="adj2" fmla="val 11798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3.6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5.0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100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0.07705</cdr:x>
      <cdr:y>0.49205</cdr:y>
    </cdr:from>
    <cdr:to>
      <cdr:x>0.20796</cdr:x>
      <cdr:y>0.72671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6B76A25C-21E0-46F4-ED15-CFD157785426}"/>
            </a:ext>
          </a:extLst>
        </cdr:cNvPr>
        <cdr:cNvSpPr/>
      </cdr:nvSpPr>
      <cdr:spPr>
        <a:xfrm xmlns:a="http://schemas.openxmlformats.org/drawingml/2006/main">
          <a:off x="752821" y="2375596"/>
          <a:ext cx="1279064" cy="113293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chemeClr val="tx1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2.03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 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/ 4.68 ng. tấn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(-2.6 ~ -56.7%)</a:t>
          </a:r>
          <a:endParaRPr lang="en-US" sz="1000">
            <a:solidFill>
              <a:schemeClr val="tx1"/>
            </a:solidFill>
            <a:effectLst/>
          </a:endParaRPr>
        </a:p>
        <a:p xmlns:a="http://schemas.openxmlformats.org/drawingml/2006/main">
          <a:pPr algn="l"/>
          <a:endParaRPr lang="en-US" sz="1000" i="1" baseline="0">
            <a:solidFill>
              <a:schemeClr val="tx1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chemeClr val="tx1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100" b="1" i="0" baseline="0">
              <a:solidFill>
                <a:schemeClr val="tx1"/>
              </a:solidFill>
              <a:latin typeface="Aptos Narrow (Body)"/>
            </a:rPr>
            <a:t>$78/tấn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(KH là $247/tấn ~ -57%)</a:t>
          </a:r>
          <a:endParaRPr lang="en-US" sz="1000" i="1" baseline="0">
            <a:solidFill>
              <a:schemeClr val="tx1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0.75279</cdr:x>
      <cdr:y>0.43681</cdr:y>
    </cdr:from>
    <cdr:to>
      <cdr:x>1</cdr:x>
      <cdr:y>0.49985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AEB20BFC-A160-26BF-4A08-AE61263E6869}"/>
            </a:ext>
          </a:extLst>
        </cdr:cNvPr>
        <cdr:cNvSpPr/>
      </cdr:nvSpPr>
      <cdr:spPr>
        <a:xfrm xmlns:a="http://schemas.openxmlformats.org/drawingml/2006/main">
          <a:off x="7355177" y="2108896"/>
          <a:ext cx="2415379" cy="304347"/>
        </a:xfrm>
        <a:prstGeom xmlns:a="http://schemas.openxmlformats.org/drawingml/2006/main" prst="wedgeRoundRectCallout">
          <a:avLst>
            <a:gd name="adj1" fmla="val -24301"/>
            <a:gd name="adj2" fmla="val 124808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1100" b="1" baseline="0">
              <a:solidFill>
                <a:sysClr val="windowText" lastClr="000000"/>
              </a:solidFill>
              <a:latin typeface="Aptos Narrow (Body)"/>
            </a:rPr>
            <a:t>- Cp thuê máy: 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tăng chi phí</a:t>
          </a:r>
          <a:r>
            <a:rPr lang="vi-VN" sz="1100" b="1" baseline="0">
              <a:solidFill>
                <a:sysClr val="windowText" lastClr="000000"/>
              </a:solidFill>
              <a:latin typeface="Aptos Narrow (Body)"/>
            </a:rPr>
            <a:t> 1.4 tỷ</a:t>
          </a:r>
          <a:endParaRPr lang="en-US" sz="1100" b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0.60001</cdr:x>
      <cdr:y>0.4263</cdr:y>
    </cdr:from>
    <cdr:to>
      <cdr:x>0.72471</cdr:x>
      <cdr:y>0.54474</cdr:y>
    </cdr:to>
    <cdr:sp macro="" textlink="">
      <cdr:nvSpPr>
        <cdr:cNvPr id="17" name="Rectangle: Rounded Corners 16">
          <a:extLst xmlns:a="http://schemas.openxmlformats.org/drawingml/2006/main">
            <a:ext uri="{FF2B5EF4-FFF2-40B4-BE49-F238E27FC236}">
              <a16:creationId xmlns:a16="http://schemas.microsoft.com/office/drawing/2014/main" id="{427209E9-E46C-3D8A-3CC6-3E4008503131}"/>
            </a:ext>
          </a:extLst>
        </cdr:cNvPr>
        <cdr:cNvSpPr/>
      </cdr:nvSpPr>
      <cdr:spPr>
        <a:xfrm xmlns:a="http://schemas.openxmlformats.org/drawingml/2006/main">
          <a:off x="5862384" y="2058158"/>
          <a:ext cx="1218388" cy="571824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Sản</a:t>
          </a:r>
          <a:r>
            <a:rPr lang="en-US" sz="1000" b="1" baseline="0">
              <a:solidFill>
                <a:sysClr val="windowText" lastClr="000000"/>
              </a:solidFill>
            </a:rPr>
            <a:t> lượng</a:t>
          </a:r>
          <a:r>
            <a:rPr lang="en-US" sz="1000" baseline="0">
              <a:solidFill>
                <a:sysClr val="windowText" lastClr="000000"/>
              </a:solidFill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</a:rPr>
            <a:t>0.03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000" baseline="0">
              <a:solidFill>
                <a:sysClr val="windowText" lastClr="000000"/>
              </a:solidFill>
            </a:rPr>
            <a:t>/ 0.1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</a:rPr>
            <a:t>(-0.07 ~ -73%)</a:t>
          </a:r>
        </a:p>
      </cdr:txBody>
    </cdr:sp>
  </cdr:relSizeAnchor>
  <cdr:relSizeAnchor xmlns:cdr="http://schemas.openxmlformats.org/drawingml/2006/chartDrawing">
    <cdr:from>
      <cdr:x>0.93022</cdr:x>
      <cdr:y>0.18252</cdr:y>
    </cdr:from>
    <cdr:to>
      <cdr:x>0.99967</cdr:x>
      <cdr:y>0.23185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FD2D692-1B9B-087C-88DE-97B54BB255D8}"/>
            </a:ext>
          </a:extLst>
        </cdr:cNvPr>
        <cdr:cNvSpPr txBox="1"/>
      </cdr:nvSpPr>
      <cdr:spPr>
        <a:xfrm xmlns:a="http://schemas.openxmlformats.org/drawingml/2006/main">
          <a:off x="9088761" y="881188"/>
          <a:ext cx="678566" cy="238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0.0052</cdr:x>
      <cdr:y>0</cdr:y>
    </cdr:from>
    <cdr:to>
      <cdr:x>0.16106</cdr:x>
      <cdr:y>0.05999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D5D5125-E3F5-E81C-00A5-1E5E945BD905}"/>
            </a:ext>
          </a:extLst>
        </cdr:cNvPr>
        <cdr:cNvSpPr txBox="1"/>
      </cdr:nvSpPr>
      <cdr:spPr>
        <a:xfrm xmlns:a="http://schemas.openxmlformats.org/drawingml/2006/main">
          <a:off x="50800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23.2%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0.84414</cdr:x>
      <cdr:y>0</cdr:y>
    </cdr:from>
    <cdr:to>
      <cdr:x>1</cdr:x>
      <cdr:y>0.05999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692448F1-20B2-1AC3-4D2D-60A63D1EC35E}"/>
            </a:ext>
          </a:extLst>
        </cdr:cNvPr>
        <cdr:cNvSpPr txBox="1"/>
      </cdr:nvSpPr>
      <cdr:spPr>
        <a:xfrm xmlns:a="http://schemas.openxmlformats.org/drawingml/2006/main">
          <a:off x="8247707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8.4%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0.90819</cdr:x>
      <cdr:y>0.38728</cdr:y>
    </cdr:from>
    <cdr:to>
      <cdr:x>1</cdr:x>
      <cdr:y>0.52422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78CD73D-67CD-8CDB-D617-6657A87D5BD0}"/>
            </a:ext>
          </a:extLst>
        </cdr:cNvPr>
        <cdr:cNvSpPr txBox="1"/>
      </cdr:nvSpPr>
      <cdr:spPr>
        <a:xfrm xmlns:a="http://schemas.openxmlformats.org/drawingml/2006/main">
          <a:off x="8128075" y="1736725"/>
          <a:ext cx="821682" cy="61409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3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- 24.4Tỷ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0.27187</cdr:y>
    </cdr:from>
    <cdr:to>
      <cdr:x>0.65985</cdr:x>
      <cdr:y>0.97068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FD08CFA-F8DE-228F-AC90-1FFB5EAB3170}"/>
            </a:ext>
          </a:extLst>
        </cdr:cNvPr>
        <cdr:cNvSpPr/>
      </cdr:nvSpPr>
      <cdr:spPr>
        <a:xfrm xmlns:a="http://schemas.openxmlformats.org/drawingml/2006/main">
          <a:off x="0" y="1219178"/>
          <a:ext cx="5905497" cy="313376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DC92-2B98-47A5-A54E-7D3801748FD8}">
  <sheetPr>
    <tabColor rgb="FF92D050"/>
  </sheetPr>
  <dimension ref="B1:B2"/>
  <sheetViews>
    <sheetView showGridLines="0" zoomScale="190" zoomScaleNormal="190" workbookViewId="0">
      <selection activeCell="B2" sqref="B2"/>
    </sheetView>
  </sheetViews>
  <sheetFormatPr defaultRowHeight="14.5" x14ac:dyDescent="0.35"/>
  <sheetData>
    <row r="1" spans="2:2" x14ac:dyDescent="0.35">
      <c r="B1" s="94">
        <v>2025</v>
      </c>
    </row>
    <row r="2" spans="2:2" x14ac:dyDescent="0.35">
      <c r="B2" s="9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BBE2-02CD-4EC5-9D7B-FF834FAFA4F6}">
  <sheetPr codeName="Sheet2">
    <tabColor theme="3" tint="0.39997558519241921"/>
  </sheetPr>
  <dimension ref="A4:V110"/>
  <sheetViews>
    <sheetView showGridLines="0" zoomScale="85" zoomScaleNormal="85" workbookViewId="0">
      <pane ySplit="6" topLeftCell="A7" activePane="bottomLeft" state="frozen"/>
      <selection activeCell="I28" sqref="I28"/>
      <selection pane="bottomLeft" activeCell="B36" sqref="B36"/>
    </sheetView>
  </sheetViews>
  <sheetFormatPr defaultRowHeight="14.5" outlineLevelRow="1" x14ac:dyDescent="0.35"/>
  <cols>
    <col min="1" max="1" width="14" customWidth="1"/>
    <col min="2" max="3" width="19.1796875" bestFit="1" customWidth="1"/>
    <col min="4" max="5" width="18.7265625" bestFit="1" customWidth="1"/>
    <col min="6" max="6" width="14.1796875" bestFit="1" customWidth="1"/>
    <col min="7" max="7" width="15.26953125" bestFit="1" customWidth="1"/>
    <col min="8" max="8" width="18.7265625" bestFit="1" customWidth="1"/>
    <col min="9" max="9" width="16.26953125" bestFit="1" customWidth="1"/>
    <col min="10" max="10" width="16.81640625" bestFit="1" customWidth="1"/>
    <col min="11" max="11" width="17.1796875" customWidth="1"/>
    <col min="12" max="12" width="17.54296875" customWidth="1"/>
    <col min="13" max="13" width="16.81640625" bestFit="1" customWidth="1"/>
    <col min="14" max="14" width="17.7265625" bestFit="1" customWidth="1"/>
    <col min="15" max="15" width="18.7265625" bestFit="1" customWidth="1"/>
    <col min="16" max="16" width="32.81640625" customWidth="1"/>
    <col min="17" max="17" width="17" bestFit="1" customWidth="1"/>
    <col min="18" max="18" width="18.7265625" bestFit="1" customWidth="1"/>
    <col min="19" max="19" width="16" bestFit="1" customWidth="1"/>
    <col min="21" max="22" width="16.1796875" bestFit="1" customWidth="1"/>
  </cols>
  <sheetData>
    <row r="4" spans="1:22" x14ac:dyDescent="0.35">
      <c r="C4">
        <f>C12/C7</f>
        <v>1.0874696016395695E-2</v>
      </c>
    </row>
    <row r="5" spans="1:22" x14ac:dyDescent="0.35">
      <c r="A5" s="20" t="s">
        <v>49</v>
      </c>
      <c r="K5" s="92" t="s">
        <v>48</v>
      </c>
      <c r="L5" s="91"/>
      <c r="M5" s="91"/>
      <c r="N5" s="91"/>
      <c r="O5" s="91"/>
      <c r="P5" s="91"/>
    </row>
    <row r="6" spans="1:22" x14ac:dyDescent="0.35">
      <c r="A6" s="90"/>
      <c r="B6" s="89" t="s">
        <v>9</v>
      </c>
      <c r="C6" s="89" t="s">
        <v>8</v>
      </c>
      <c r="D6" s="89" t="s">
        <v>47</v>
      </c>
      <c r="F6" t="s">
        <v>46</v>
      </c>
      <c r="G6" t="s">
        <v>45</v>
      </c>
      <c r="H6" t="s">
        <v>44</v>
      </c>
      <c r="I6" t="s">
        <v>43</v>
      </c>
      <c r="K6" s="89" t="s">
        <v>16</v>
      </c>
      <c r="L6" s="89" t="s">
        <v>42</v>
      </c>
      <c r="M6" s="89" t="s">
        <v>14</v>
      </c>
      <c r="N6" s="89" t="s">
        <v>12</v>
      </c>
      <c r="O6" s="89" t="s">
        <v>1</v>
      </c>
      <c r="P6" s="89" t="s">
        <v>112</v>
      </c>
      <c r="U6" t="s">
        <v>41</v>
      </c>
      <c r="V6" t="s">
        <v>40</v>
      </c>
    </row>
    <row r="7" spans="1:22" s="83" customFormat="1" x14ac:dyDescent="0.35">
      <c r="A7" s="83" t="s">
        <v>39</v>
      </c>
      <c r="B7" s="84">
        <f>SUM(B8:B12)</f>
        <v>5968970</v>
      </c>
      <c r="C7" s="84">
        <f>SUM(C8:C12)</f>
        <v>2510415</v>
      </c>
      <c r="D7" s="88">
        <f t="shared" ref="D7:D13" si="0">C7-B7</f>
        <v>-3458555</v>
      </c>
      <c r="E7" s="87">
        <f>D7/B7</f>
        <v>-0.5794224129121105</v>
      </c>
      <c r="F7" s="86"/>
      <c r="H7" s="84">
        <f>SUM(H8:H12)</f>
        <v>2510415</v>
      </c>
      <c r="I7" s="84"/>
    </row>
    <row r="8" spans="1:22" s="80" customFormat="1" outlineLevel="1" x14ac:dyDescent="0.35">
      <c r="A8" s="80" t="s">
        <v>7</v>
      </c>
      <c r="B8" s="82">
        <f>'S7'!P43*10^6</f>
        <v>4678780</v>
      </c>
      <c r="C8" s="82">
        <f>'S7'!Q43*10^6</f>
        <v>2027640</v>
      </c>
      <c r="D8" s="81">
        <f t="shared" si="0"/>
        <v>-2651140</v>
      </c>
      <c r="E8" s="85">
        <f t="shared" ref="E8:E12" si="1">D8/B8</f>
        <v>-0.566630617383164</v>
      </c>
      <c r="F8" s="85">
        <f t="shared" ref="F8:G12" si="2">B8/B$7</f>
        <v>0.78385048006607505</v>
      </c>
      <c r="G8" s="85">
        <f t="shared" si="2"/>
        <v>0.80769115863313434</v>
      </c>
      <c r="H8" s="82">
        <f>F8*C$7</f>
        <v>1967790.0029150757</v>
      </c>
      <c r="I8" s="82"/>
      <c r="K8" s="81">
        <f>I14-B20</f>
        <v>-87707974591.104065</v>
      </c>
      <c r="L8" s="81">
        <f>C8*B14-I14</f>
        <v>1936311837.8329239</v>
      </c>
      <c r="M8" s="82">
        <f>D33*C8/10^3*$B$39</f>
        <v>-3557756286.6687517</v>
      </c>
      <c r="N8" s="82">
        <f>IFERROR(C20-C20/C40*B40,0)</f>
        <v>2947835356.9718704</v>
      </c>
      <c r="Q8" s="82">
        <f t="shared" ref="Q8:Q12" si="3">SUM(K8:P8)</f>
        <v>-86381583682.968018</v>
      </c>
      <c r="R8" s="81">
        <f>SUM(K8:L8)</f>
        <v>-85771662753.271149</v>
      </c>
      <c r="S8" s="81">
        <v>-24223451262.483887</v>
      </c>
      <c r="U8" s="33" t="str">
        <f t="shared" ref="U8:V12" si="4">_xlfn.TEXTJOIN(" | ",FALSE,TEXT(B8/10^3,"#,###"),TEXT(F8,"0.0%"))</f>
        <v>4,679 | 78.4%</v>
      </c>
      <c r="V8" s="33" t="str">
        <f t="shared" si="4"/>
        <v>2,028 | 80.8%</v>
      </c>
    </row>
    <row r="9" spans="1:22" s="80" customFormat="1" outlineLevel="1" x14ac:dyDescent="0.35">
      <c r="A9" s="80" t="s">
        <v>6</v>
      </c>
      <c r="B9" s="82">
        <f>'S7'!P44*10^6</f>
        <v>927000</v>
      </c>
      <c r="C9" s="82">
        <f>'S7'!Q44*10^6</f>
        <v>268725.00000000006</v>
      </c>
      <c r="D9" s="81">
        <f t="shared" si="0"/>
        <v>-658275</v>
      </c>
      <c r="E9" s="85">
        <f t="shared" si="1"/>
        <v>-0.71011326860841428</v>
      </c>
      <c r="F9" s="85">
        <f t="shared" si="2"/>
        <v>0.15530317625989074</v>
      </c>
      <c r="G9" s="85">
        <f t="shared" si="2"/>
        <v>0.10704405446908183</v>
      </c>
      <c r="H9" s="82">
        <f>F9*C$7</f>
        <v>389875.42323047359</v>
      </c>
      <c r="I9" s="82"/>
      <c r="K9" s="81">
        <f>I15-B21</f>
        <v>-17952968897.272057</v>
      </c>
      <c r="L9" s="81">
        <f>C9*B15-I15</f>
        <v>-4049358145.6081982</v>
      </c>
      <c r="M9" s="82">
        <f>D34*C9/10^3*$B$39</f>
        <v>-2197261451.2703648</v>
      </c>
      <c r="N9" s="82">
        <f t="shared" ref="N9:N12" si="5">IFERROR(C21-C21/C41*B41,0)</f>
        <v>323328921.15062428</v>
      </c>
      <c r="Q9" s="82">
        <f t="shared" si="3"/>
        <v>-23876259572.999996</v>
      </c>
      <c r="R9" s="81">
        <f>SUM(K9:L9)</f>
        <v>-22002327042.880257</v>
      </c>
      <c r="S9" s="81">
        <v>-16262314794.816412</v>
      </c>
      <c r="U9" s="33" t="str">
        <f t="shared" si="4"/>
        <v>927 | 15.5%</v>
      </c>
      <c r="V9" s="33" t="str">
        <f t="shared" si="4"/>
        <v>269 | 10.7%</v>
      </c>
    </row>
    <row r="10" spans="1:22" s="80" customFormat="1" outlineLevel="1" x14ac:dyDescent="0.35">
      <c r="A10" s="80" t="s">
        <v>5</v>
      </c>
      <c r="B10" s="82">
        <f>'S7'!P45*10^6</f>
        <v>155750</v>
      </c>
      <c r="C10" s="82">
        <f>'S7'!Q45*10^6</f>
        <v>186750</v>
      </c>
      <c r="D10" s="81">
        <f t="shared" si="0"/>
        <v>31000</v>
      </c>
      <c r="E10" s="85">
        <f t="shared" si="1"/>
        <v>0.19903691813804172</v>
      </c>
      <c r="F10" s="85">
        <f t="shared" si="2"/>
        <v>2.609327907494928E-2</v>
      </c>
      <c r="G10" s="85">
        <f t="shared" si="2"/>
        <v>7.4390090881388135E-2</v>
      </c>
      <c r="H10" s="82">
        <f>F10*C$7</f>
        <v>65504.959188938796</v>
      </c>
      <c r="I10" s="82"/>
      <c r="K10" s="81">
        <f>I16-B22</f>
        <v>-1880551655.0070612</v>
      </c>
      <c r="L10" s="81">
        <f>C10*B16-I16</f>
        <v>2526538412.6314592</v>
      </c>
      <c r="M10" s="82">
        <f>D35*C10/10^3*$B$39</f>
        <v>-922650802.10231829</v>
      </c>
      <c r="N10" s="82">
        <f t="shared" si="5"/>
        <v>141111611.28198433</v>
      </c>
      <c r="Q10" s="82">
        <f t="shared" si="3"/>
        <v>-135552433.19593596</v>
      </c>
      <c r="R10" s="81">
        <f>SUM(K10:L10)</f>
        <v>645986757.62439799</v>
      </c>
      <c r="S10" s="81">
        <v>-1630400124.7731397</v>
      </c>
      <c r="U10" s="33" t="str">
        <f t="shared" si="4"/>
        <v>156 | 2.6%</v>
      </c>
      <c r="V10" s="33" t="str">
        <f t="shared" si="4"/>
        <v>187 | 7.4%</v>
      </c>
    </row>
    <row r="11" spans="1:22" s="80" customFormat="1" outlineLevel="1" x14ac:dyDescent="0.35">
      <c r="A11" s="80" t="s">
        <v>4</v>
      </c>
      <c r="B11" s="82">
        <f>'S7'!P46*10^6</f>
        <v>107440</v>
      </c>
      <c r="C11" s="82">
        <f>'S7'!Q46*10^6</f>
        <v>0</v>
      </c>
      <c r="D11" s="81">
        <f t="shared" si="0"/>
        <v>-107440</v>
      </c>
      <c r="E11" s="85">
        <f t="shared" si="1"/>
        <v>-1</v>
      </c>
      <c r="F11" s="85">
        <f t="shared" si="2"/>
        <v>1.7999755401685719E-2</v>
      </c>
      <c r="G11" s="85">
        <f t="shared" si="2"/>
        <v>0</v>
      </c>
      <c r="H11" s="82">
        <f>F11*C$7</f>
        <v>45186.855956722851</v>
      </c>
      <c r="I11" s="82"/>
      <c r="K11" s="81">
        <f>I17-B23</f>
        <v>-1377069792.087244</v>
      </c>
      <c r="L11" s="81">
        <f>C11*B17-I17</f>
        <v>-999555207.91275513</v>
      </c>
      <c r="M11" s="82">
        <f>D36*C11/10^3*$B$39</f>
        <v>0</v>
      </c>
      <c r="N11" s="82">
        <f t="shared" si="5"/>
        <v>0</v>
      </c>
      <c r="Q11" s="82">
        <f t="shared" si="3"/>
        <v>-2376624999.999999</v>
      </c>
      <c r="R11" s="81">
        <f>SUM(K11:L11)</f>
        <v>-2376624999.999999</v>
      </c>
      <c r="S11" s="81">
        <v>-1121680143.4345424</v>
      </c>
      <c r="U11" s="33" t="str">
        <f t="shared" si="4"/>
        <v>107 | 1.8%</v>
      </c>
      <c r="V11" s="33" t="str">
        <f t="shared" si="4"/>
        <v xml:space="preserve"> | 0.0%</v>
      </c>
    </row>
    <row r="12" spans="1:22" s="80" customFormat="1" outlineLevel="1" x14ac:dyDescent="0.35">
      <c r="A12" s="80" t="s">
        <v>3</v>
      </c>
      <c r="B12" s="82">
        <f>'S7'!P47*10^6</f>
        <v>100000</v>
      </c>
      <c r="C12" s="82">
        <f>'S7'!Q47*10^6</f>
        <v>27300</v>
      </c>
      <c r="D12" s="81">
        <f t="shared" si="0"/>
        <v>-72700</v>
      </c>
      <c r="E12" s="85">
        <f t="shared" si="1"/>
        <v>-0.72699999999999998</v>
      </c>
      <c r="F12" s="85">
        <f t="shared" si="2"/>
        <v>1.6753309197399216E-2</v>
      </c>
      <c r="G12" s="85">
        <f t="shared" si="2"/>
        <v>1.0874696016395695E-2</v>
      </c>
      <c r="H12" s="82">
        <f>F12*C$7</f>
        <v>42057.758708788955</v>
      </c>
      <c r="I12" s="82"/>
      <c r="K12" s="81">
        <f>I18-B24</f>
        <v>-1593411635.5083034</v>
      </c>
      <c r="L12" s="81">
        <f>C12*B18-I18</f>
        <v>-405838364.49169624</v>
      </c>
      <c r="M12" s="82">
        <f>D37*C12/10^3*$B$39</f>
        <v>-320159832.97656494</v>
      </c>
      <c r="N12" s="82">
        <f t="shared" si="5"/>
        <v>20488657.140570939</v>
      </c>
      <c r="Q12" s="82">
        <f t="shared" si="3"/>
        <v>-2298921175.8359933</v>
      </c>
      <c r="R12" s="81">
        <f>SUM(K12:L12)</f>
        <v>-1999249999.9999995</v>
      </c>
      <c r="S12" s="81">
        <v>12864499999.999998</v>
      </c>
      <c r="U12" s="33" t="str">
        <f t="shared" si="4"/>
        <v>100 | 1.7%</v>
      </c>
      <c r="V12" s="33" t="str">
        <f t="shared" si="4"/>
        <v>27 | 1.1%</v>
      </c>
    </row>
    <row r="13" spans="1:22" s="83" customFormat="1" x14ac:dyDescent="0.35">
      <c r="A13" s="83" t="s">
        <v>38</v>
      </c>
      <c r="B13" s="84">
        <v>30553.284880668703</v>
      </c>
      <c r="C13" s="84">
        <v>28801.443116591079</v>
      </c>
      <c r="D13" s="84">
        <f t="shared" si="0"/>
        <v>-1751.8417640776242</v>
      </c>
      <c r="I13" s="84">
        <f>SUM(I14:I18)</f>
        <v>80215848429.02124</v>
      </c>
    </row>
    <row r="14" spans="1:22" s="80" customFormat="1" outlineLevel="1" x14ac:dyDescent="0.35">
      <c r="A14" s="80" t="s">
        <v>7</v>
      </c>
      <c r="B14" s="190">
        <f>B33*B40/10^3</f>
        <v>32352.747404237853</v>
      </c>
      <c r="C14" s="190">
        <f t="shared" ref="C14:C18" si="6">C33*C40/10^3</f>
        <v>32051.94404185751</v>
      </c>
      <c r="D14" s="81"/>
      <c r="I14" s="82">
        <f>H8*B14</f>
        <v>63663412908.895912</v>
      </c>
      <c r="K14" s="81"/>
    </row>
    <row r="15" spans="1:22" s="80" customFormat="1" outlineLevel="1" x14ac:dyDescent="0.35">
      <c r="A15" s="80" t="s">
        <v>6</v>
      </c>
      <c r="B15" s="190">
        <f t="shared" ref="B15" si="7">B34*B41/10^3</f>
        <v>33424.217907227612</v>
      </c>
      <c r="C15" s="190">
        <f t="shared" si="6"/>
        <v>26450.797011815048</v>
      </c>
      <c r="D15" s="81"/>
      <c r="I15" s="82">
        <f>H9*B15</f>
        <v>13031281102.72794</v>
      </c>
      <c r="K15" s="81"/>
    </row>
    <row r="16" spans="1:22" s="80" customFormat="1" outlineLevel="1" x14ac:dyDescent="0.35">
      <c r="A16" s="80" t="s">
        <v>5</v>
      </c>
      <c r="B16" s="190">
        <f t="shared" ref="B16" si="8">B35*B42/10^3</f>
        <v>20838.282504012837</v>
      </c>
      <c r="C16" s="190">
        <f t="shared" si="6"/>
        <v>16653.33369105255</v>
      </c>
      <c r="D16" s="81"/>
      <c r="I16" s="82">
        <f>H10*B16</f>
        <v>1365010844.9929383</v>
      </c>
      <c r="K16" s="81"/>
    </row>
    <row r="17" spans="1:17" s="80" customFormat="1" outlineLevel="1" x14ac:dyDescent="0.35">
      <c r="A17" s="80" t="s">
        <v>4</v>
      </c>
      <c r="B17" s="190">
        <f t="shared" ref="B17" si="9">B36*B43/10^3</f>
        <v>22120.485852568869</v>
      </c>
      <c r="C17" s="190">
        <f t="shared" si="6"/>
        <v>0</v>
      </c>
      <c r="D17" s="81"/>
      <c r="I17" s="82">
        <f>H11*B17</f>
        <v>999555207.91275513</v>
      </c>
      <c r="K17" s="81"/>
    </row>
    <row r="18" spans="1:17" s="80" customFormat="1" outlineLevel="1" x14ac:dyDescent="0.35">
      <c r="A18" s="80" t="s">
        <v>3</v>
      </c>
      <c r="B18" s="190">
        <f t="shared" ref="B18" si="10">B37*B44/10^3</f>
        <v>27499.999999999996</v>
      </c>
      <c r="C18" s="190">
        <f t="shared" si="6"/>
        <v>16523.033852161385</v>
      </c>
      <c r="D18" s="81"/>
      <c r="I18" s="82">
        <f>H12*B18</f>
        <v>1156588364.4916961</v>
      </c>
      <c r="K18" s="81"/>
    </row>
    <row r="19" spans="1:17" x14ac:dyDescent="0.35">
      <c r="A19" s="50" t="s">
        <v>37</v>
      </c>
      <c r="B19" s="191">
        <f>SUM(B20:B24)</f>
        <v>190727824999.99997</v>
      </c>
      <c r="C19" s="191">
        <f>SUM(C20:C24)</f>
        <v>75658883135.000015</v>
      </c>
      <c r="D19" s="1">
        <f>C19-B19</f>
        <v>-115068941864.99995</v>
      </c>
    </row>
    <row r="20" spans="1:17" s="79" customFormat="1" x14ac:dyDescent="0.35">
      <c r="A20" s="79" t="s">
        <v>7</v>
      </c>
      <c r="B20" s="192">
        <f t="shared" ref="B20:C24" si="11">B8*B14</f>
        <v>151371387499.99997</v>
      </c>
      <c r="C20" s="192">
        <f t="shared" si="11"/>
        <v>64989803817.03196</v>
      </c>
      <c r="E20" s="220">
        <f>C20-B20</f>
        <v>-86381583682.968018</v>
      </c>
      <c r="F20" s="221">
        <f>E20/B20</f>
        <v>-0.57065991869149002</v>
      </c>
    </row>
    <row r="21" spans="1:17" s="79" customFormat="1" x14ac:dyDescent="0.35">
      <c r="A21" s="79" t="s">
        <v>6</v>
      </c>
      <c r="B21" s="192">
        <f t="shared" si="11"/>
        <v>30984249999.999996</v>
      </c>
      <c r="C21" s="192">
        <f t="shared" si="11"/>
        <v>7107990427</v>
      </c>
      <c r="E21" s="220">
        <f t="shared" ref="E21:E24" si="12">C21-B21</f>
        <v>-23876259572.999996</v>
      </c>
      <c r="F21" s="221">
        <f t="shared" ref="F21:F24" si="13">E21/B21</f>
        <v>-0.7705934328892905</v>
      </c>
    </row>
    <row r="22" spans="1:17" s="79" customFormat="1" x14ac:dyDescent="0.35">
      <c r="A22" s="79" t="s">
        <v>5</v>
      </c>
      <c r="B22" s="192">
        <f t="shared" si="11"/>
        <v>3245562499.9999995</v>
      </c>
      <c r="C22" s="192">
        <f t="shared" si="11"/>
        <v>3110010066.8040638</v>
      </c>
      <c r="E22" s="220">
        <f t="shared" si="12"/>
        <v>-135552433.19593573</v>
      </c>
      <c r="F22" s="221">
        <f t="shared" si="13"/>
        <v>-4.1765466909337211E-2</v>
      </c>
    </row>
    <row r="23" spans="1:17" s="79" customFormat="1" x14ac:dyDescent="0.35">
      <c r="A23" s="79" t="s">
        <v>4</v>
      </c>
      <c r="B23" s="192">
        <f t="shared" si="11"/>
        <v>2376624999.999999</v>
      </c>
      <c r="C23" s="192">
        <f t="shared" si="11"/>
        <v>0</v>
      </c>
      <c r="E23" s="220">
        <f t="shared" si="12"/>
        <v>-2376624999.999999</v>
      </c>
      <c r="F23" s="221">
        <f t="shared" si="13"/>
        <v>-1</v>
      </c>
    </row>
    <row r="24" spans="1:17" s="79" customFormat="1" x14ac:dyDescent="0.35">
      <c r="A24" s="79" t="s">
        <v>3</v>
      </c>
      <c r="B24" s="192">
        <f t="shared" si="11"/>
        <v>2749999999.9999995</v>
      </c>
      <c r="C24" s="192">
        <f t="shared" si="11"/>
        <v>451078824.16400582</v>
      </c>
      <c r="E24" s="220">
        <f t="shared" si="12"/>
        <v>-2298921175.8359938</v>
      </c>
      <c r="F24" s="221">
        <f t="shared" si="13"/>
        <v>-0.83597133666763423</v>
      </c>
    </row>
    <row r="25" spans="1:17" s="50" customFormat="1" x14ac:dyDescent="0.35">
      <c r="A25" s="50" t="s">
        <v>36</v>
      </c>
      <c r="B25" s="191">
        <v>3408550000</v>
      </c>
      <c r="C25" s="191">
        <v>3395251201</v>
      </c>
      <c r="D25" s="76">
        <f>C25-B25</f>
        <v>-13298799</v>
      </c>
      <c r="O25" s="75">
        <f>D25</f>
        <v>-13298799</v>
      </c>
      <c r="P25" s="75"/>
      <c r="Q25" s="76">
        <f t="shared" ref="Q25:Q27" si="14">SUM(K25:P25)</f>
        <v>-13298799</v>
      </c>
    </row>
    <row r="26" spans="1:17" s="50" customFormat="1" x14ac:dyDescent="0.35">
      <c r="A26" s="50" t="s">
        <v>35</v>
      </c>
      <c r="B26" s="75">
        <v>2640000000</v>
      </c>
      <c r="C26" s="191">
        <v>6989889073</v>
      </c>
      <c r="D26" s="76">
        <f>C26-B26</f>
        <v>4349889073</v>
      </c>
      <c r="O26" s="75">
        <f>D26</f>
        <v>4349889073</v>
      </c>
      <c r="P26" s="75"/>
      <c r="Q26" s="76">
        <f t="shared" si="14"/>
        <v>4349889073</v>
      </c>
    </row>
    <row r="27" spans="1:17" s="50" customFormat="1" x14ac:dyDescent="0.35">
      <c r="A27" s="50" t="s">
        <v>1</v>
      </c>
      <c r="C27" s="191">
        <v>63558813.000030518</v>
      </c>
      <c r="D27" s="76">
        <f>C27-B27</f>
        <v>63558813.000030518</v>
      </c>
      <c r="O27" s="75">
        <f>D27</f>
        <v>63558813.000030518</v>
      </c>
      <c r="P27" s="75"/>
      <c r="Q27" s="76">
        <f t="shared" si="14"/>
        <v>63558813.000030518</v>
      </c>
    </row>
    <row r="28" spans="1:17" s="50" customFormat="1" x14ac:dyDescent="0.35">
      <c r="A28" s="50" t="s">
        <v>112</v>
      </c>
      <c r="B28" s="76">
        <f>'S7'!C20</f>
        <v>12485577500</v>
      </c>
      <c r="C28" s="191">
        <f>'S7'!G20</f>
        <v>2240298579.9999542</v>
      </c>
      <c r="D28" s="76">
        <f>C28-B28</f>
        <v>-10245278920.000046</v>
      </c>
      <c r="O28" s="75"/>
      <c r="P28" s="75">
        <f>D28</f>
        <v>-10245278920.000046</v>
      </c>
      <c r="Q28" s="76"/>
    </row>
    <row r="29" spans="1:17" x14ac:dyDescent="0.35">
      <c r="A29" s="78" t="s">
        <v>114</v>
      </c>
      <c r="B29" s="77">
        <f>B19+B25+B26+B27+B28</f>
        <v>209261952499.99997</v>
      </c>
      <c r="C29" s="77">
        <f>C19+C25+C26+C27+C28</f>
        <v>88347880802</v>
      </c>
      <c r="D29" s="76">
        <f>C29-B29</f>
        <v>-120914071697.99997</v>
      </c>
      <c r="E29" s="1"/>
      <c r="K29" s="23">
        <f>SUM(K7:K28)</f>
        <v>-110511976570.97874</v>
      </c>
      <c r="L29" s="23">
        <f t="shared" ref="L29:P29" si="15">SUM(L7:L28)</f>
        <v>-991901467.54826641</v>
      </c>
      <c r="M29" s="23">
        <f t="shared" si="15"/>
        <v>-6997828373.0180006</v>
      </c>
      <c r="N29" s="23">
        <f t="shared" si="15"/>
        <v>3432764546.5450501</v>
      </c>
      <c r="O29" s="23">
        <f t="shared" si="15"/>
        <v>4400149087.0000305</v>
      </c>
      <c r="P29" s="23">
        <f t="shared" si="15"/>
        <v>-10245278920.000046</v>
      </c>
      <c r="Q29" s="75">
        <f>SUM(K29:P29)</f>
        <v>-120914071697.99998</v>
      </c>
    </row>
    <row r="30" spans="1:17" x14ac:dyDescent="0.35">
      <c r="A30" s="130" t="s">
        <v>88</v>
      </c>
      <c r="B30" s="74">
        <f>B29-'S7'!C3</f>
        <v>0</v>
      </c>
      <c r="C30" s="74">
        <f>C29-'S7'!G17</f>
        <v>0</v>
      </c>
      <c r="D30" s="13">
        <f>D29/B29</f>
        <v>-0.57781202102661255</v>
      </c>
      <c r="P30" s="21" t="s">
        <v>11</v>
      </c>
      <c r="Q30" s="74">
        <f>Q29-D29</f>
        <v>0</v>
      </c>
    </row>
    <row r="32" spans="1:17" x14ac:dyDescent="0.35">
      <c r="A32" s="73" t="s">
        <v>34</v>
      </c>
      <c r="B32" s="72" t="s">
        <v>9</v>
      </c>
      <c r="C32" s="72" t="s">
        <v>8</v>
      </c>
      <c r="D32" s="71"/>
    </row>
    <row r="33" spans="1:17" x14ac:dyDescent="0.35">
      <c r="A33" s="70" t="s">
        <v>7</v>
      </c>
      <c r="B33" s="69">
        <v>1294.1098961695143</v>
      </c>
      <c r="C33" s="69">
        <v>1223.9247294403365</v>
      </c>
      <c r="D33" s="69">
        <f>C33-B33</f>
        <v>-70.185166729177809</v>
      </c>
      <c r="E33" s="95">
        <f>IFERROR(D33/B33,0)</f>
        <v>-5.4234317299420694E-2</v>
      </c>
      <c r="L33" s="18"/>
      <c r="Q33" s="1">
        <v>-52808442002</v>
      </c>
    </row>
    <row r="34" spans="1:17" x14ac:dyDescent="0.35">
      <c r="A34" s="70" t="s">
        <v>6</v>
      </c>
      <c r="B34" s="69">
        <v>1336.9687162891046</v>
      </c>
      <c r="C34" s="69">
        <v>1009.9040291523864</v>
      </c>
      <c r="D34" s="69">
        <f>C34-B34</f>
        <v>-327.06468713671813</v>
      </c>
      <c r="E34" s="95">
        <f t="shared" ref="E34:E39" si="16">IFERROR(D34/B34,0)</f>
        <v>-0.24463151841317582</v>
      </c>
      <c r="Q34" s="18">
        <f>Q33-Q29</f>
        <v>68105629695.999985</v>
      </c>
    </row>
    <row r="35" spans="1:17" x14ac:dyDescent="0.35">
      <c r="A35" s="70" t="s">
        <v>5</v>
      </c>
      <c r="B35" s="69">
        <v>833.53130016051364</v>
      </c>
      <c r="C35" s="69">
        <v>635.90863839830354</v>
      </c>
      <c r="D35" s="69">
        <f>C35-B35</f>
        <v>-197.6226617622101</v>
      </c>
      <c r="E35" s="95">
        <f t="shared" si="16"/>
        <v>-0.23709087076172639</v>
      </c>
      <c r="O35" s="18"/>
      <c r="P35" s="18"/>
    </row>
    <row r="36" spans="1:17" x14ac:dyDescent="0.35">
      <c r="A36" s="70" t="s">
        <v>4</v>
      </c>
      <c r="B36" s="69">
        <v>884.81943410275494</v>
      </c>
      <c r="C36" s="69">
        <v>0</v>
      </c>
      <c r="D36" s="69">
        <f>C36-B36</f>
        <v>-884.81943410275494</v>
      </c>
      <c r="E36" s="95">
        <f t="shared" si="16"/>
        <v>-1</v>
      </c>
      <c r="O36" s="1"/>
      <c r="P36" s="1"/>
    </row>
    <row r="37" spans="1:17" x14ac:dyDescent="0.35">
      <c r="A37" s="70" t="s">
        <v>3</v>
      </c>
      <c r="B37" s="69">
        <v>1100</v>
      </c>
      <c r="C37" s="69">
        <v>630.9013436240806</v>
      </c>
      <c r="D37" s="69">
        <f>C37-B37</f>
        <v>-469.0986563759194</v>
      </c>
      <c r="E37" s="95">
        <f t="shared" si="16"/>
        <v>-0.42645332397810853</v>
      </c>
    </row>
    <row r="39" spans="1:17" x14ac:dyDescent="0.35">
      <c r="A39" s="68" t="s">
        <v>33</v>
      </c>
      <c r="B39" s="67">
        <v>24999.999999999996</v>
      </c>
      <c r="C39" s="67">
        <v>26188.206413254738</v>
      </c>
      <c r="D39" s="189">
        <f>C39-B39</f>
        <v>1188.2064132547421</v>
      </c>
      <c r="E39" s="6">
        <f t="shared" si="16"/>
        <v>4.7528256530189689E-2</v>
      </c>
      <c r="N39" s="18"/>
      <c r="O39" s="18"/>
      <c r="P39" s="18"/>
      <c r="Q39" s="66"/>
    </row>
    <row r="40" spans="1:17" x14ac:dyDescent="0.35">
      <c r="A40" s="65" t="s">
        <v>7</v>
      </c>
      <c r="B40" s="44">
        <v>24999.999999999996</v>
      </c>
      <c r="C40" s="44">
        <v>26187.839228082179</v>
      </c>
      <c r="D40" s="65"/>
    </row>
    <row r="41" spans="1:17" x14ac:dyDescent="0.35">
      <c r="A41" s="65" t="s">
        <v>6</v>
      </c>
      <c r="B41" s="44">
        <v>24999.999999999996</v>
      </c>
      <c r="C41" s="44">
        <v>26191.396655794346</v>
      </c>
      <c r="D41" s="65"/>
    </row>
    <row r="42" spans="1:17" x14ac:dyDescent="0.35">
      <c r="A42" s="65" t="s">
        <v>5</v>
      </c>
      <c r="B42" s="44">
        <v>24999.999999999996</v>
      </c>
      <c r="C42" s="44">
        <v>26188.248885874826</v>
      </c>
      <c r="D42" s="65"/>
    </row>
    <row r="43" spans="1:17" x14ac:dyDescent="0.35">
      <c r="A43" s="65" t="s">
        <v>4</v>
      </c>
      <c r="B43" s="44">
        <v>24999.999999999996</v>
      </c>
      <c r="C43" s="44">
        <v>0</v>
      </c>
      <c r="D43" s="65"/>
    </row>
    <row r="44" spans="1:17" x14ac:dyDescent="0.35">
      <c r="A44" s="65" t="s">
        <v>3</v>
      </c>
      <c r="B44" s="44">
        <v>24999.999999999996</v>
      </c>
      <c r="C44" s="44">
        <v>26189.568336070231</v>
      </c>
      <c r="D44" s="65"/>
    </row>
    <row r="45" spans="1:17" x14ac:dyDescent="0.35">
      <c r="C45" s="18"/>
    </row>
    <row r="47" spans="1:17" hidden="1" outlineLevel="1" x14ac:dyDescent="0.35">
      <c r="A47" s="49" t="s">
        <v>32</v>
      </c>
      <c r="B47" s="33"/>
      <c r="C47" s="33"/>
      <c r="D47" s="33"/>
      <c r="E47" s="33"/>
      <c r="F47" s="33"/>
      <c r="G47" s="33"/>
    </row>
    <row r="48" spans="1:17" hidden="1" outlineLevel="1" x14ac:dyDescent="0.35">
      <c r="A48" s="49"/>
      <c r="B48" s="49"/>
      <c r="C48" s="49" t="s">
        <v>28</v>
      </c>
      <c r="D48" s="49" t="s">
        <v>27</v>
      </c>
      <c r="E48" s="49" t="s">
        <v>26</v>
      </c>
      <c r="F48" s="49" t="s">
        <v>25</v>
      </c>
      <c r="G48" s="49" t="s">
        <v>24</v>
      </c>
    </row>
    <row r="49" spans="1:8" hidden="1" outlineLevel="1" x14ac:dyDescent="0.35">
      <c r="A49" s="49" t="str">
        <f>'S7'!$A$3</f>
        <v>KH T11</v>
      </c>
      <c r="B49" s="49"/>
      <c r="C49" s="51">
        <f>B29</f>
        <v>209261952499.99997</v>
      </c>
      <c r="D49" s="51"/>
      <c r="E49" s="53"/>
      <c r="F49" s="52"/>
      <c r="G49" s="51"/>
    </row>
    <row r="50" spans="1:8" hidden="1" outlineLevel="1" x14ac:dyDescent="0.35">
      <c r="A50" s="33" t="s">
        <v>7</v>
      </c>
      <c r="B50" s="33" t="s">
        <v>16</v>
      </c>
      <c r="C50" s="32"/>
      <c r="D50" s="32">
        <f>C49-F50</f>
        <v>121553977908.8959</v>
      </c>
      <c r="E50" s="31">
        <f t="shared" ref="E50:E66" si="17">IF(H50&gt;0,H50,0)</f>
        <v>0</v>
      </c>
      <c r="F50" s="30">
        <f t="shared" ref="F50:F66" si="18">IF(H50&lt;0,-H50,0)</f>
        <v>87707974591.104065</v>
      </c>
      <c r="G50" s="32"/>
      <c r="H50" s="63" cm="1">
        <f t="array" ref="H50:H52">TRANSPOSE(K8:M8)</f>
        <v>-87707974591.104065</v>
      </c>
    </row>
    <row r="51" spans="1:8" hidden="1" outlineLevel="1" x14ac:dyDescent="0.35">
      <c r="A51" s="33"/>
      <c r="B51" s="33" t="s">
        <v>31</v>
      </c>
      <c r="C51" s="32"/>
      <c r="D51" s="32">
        <f t="shared" ref="D51:D67" si="19">D50+E50-F51</f>
        <v>121553977908.8959</v>
      </c>
      <c r="E51" s="31">
        <f t="shared" si="17"/>
        <v>1936311837.8329239</v>
      </c>
      <c r="F51" s="30">
        <f t="shared" si="18"/>
        <v>0</v>
      </c>
      <c r="G51" s="32"/>
      <c r="H51" s="63">
        <v>1936311837.8329239</v>
      </c>
    </row>
    <row r="52" spans="1:8" hidden="1" outlineLevel="1" x14ac:dyDescent="0.35">
      <c r="A52" s="33"/>
      <c r="B52" s="33" t="s">
        <v>14</v>
      </c>
      <c r="C52" s="32"/>
      <c r="D52" s="32">
        <f t="shared" si="19"/>
        <v>119932533460.06007</v>
      </c>
      <c r="E52" s="31">
        <f t="shared" si="17"/>
        <v>0</v>
      </c>
      <c r="F52" s="30">
        <f t="shared" si="18"/>
        <v>3557756286.6687517</v>
      </c>
      <c r="G52" s="32"/>
      <c r="H52" s="63">
        <v>-3557756286.6687517</v>
      </c>
    </row>
    <row r="53" spans="1:8" hidden="1" outlineLevel="1" x14ac:dyDescent="0.35">
      <c r="A53" s="33" t="s">
        <v>6</v>
      </c>
      <c r="B53" s="33" t="s">
        <v>16</v>
      </c>
      <c r="C53" s="32"/>
      <c r="D53" s="32">
        <f t="shared" si="19"/>
        <v>101979564562.78802</v>
      </c>
      <c r="E53" s="31">
        <f t="shared" si="17"/>
        <v>0</v>
      </c>
      <c r="F53" s="30">
        <f t="shared" si="18"/>
        <v>17952968897.272057</v>
      </c>
      <c r="G53" s="32"/>
      <c r="H53" s="63" cm="1">
        <f t="array" ref="H53:H55">TRANSPOSE(K9:M9)</f>
        <v>-17952968897.272057</v>
      </c>
    </row>
    <row r="54" spans="1:8" hidden="1" outlineLevel="1" x14ac:dyDescent="0.35">
      <c r="A54" s="33"/>
      <c r="B54" s="33" t="s">
        <v>31</v>
      </c>
      <c r="C54" s="32"/>
      <c r="D54" s="32">
        <f t="shared" si="19"/>
        <v>97930206417.179825</v>
      </c>
      <c r="E54" s="31">
        <f t="shared" si="17"/>
        <v>0</v>
      </c>
      <c r="F54" s="30">
        <f t="shared" si="18"/>
        <v>4049358145.6081982</v>
      </c>
      <c r="G54" s="32"/>
      <c r="H54" s="63">
        <v>-4049358145.6081982</v>
      </c>
    </row>
    <row r="55" spans="1:8" hidden="1" outlineLevel="1" x14ac:dyDescent="0.35">
      <c r="A55" s="33"/>
      <c r="B55" s="33" t="s">
        <v>14</v>
      </c>
      <c r="C55" s="32"/>
      <c r="D55" s="32">
        <f t="shared" si="19"/>
        <v>95732944965.909454</v>
      </c>
      <c r="E55" s="31">
        <f t="shared" si="17"/>
        <v>0</v>
      </c>
      <c r="F55" s="30">
        <f t="shared" si="18"/>
        <v>2197261451.2703648</v>
      </c>
      <c r="G55" s="32"/>
      <c r="H55" s="63">
        <v>-2197261451.2703648</v>
      </c>
    </row>
    <row r="56" spans="1:8" hidden="1" outlineLevel="1" x14ac:dyDescent="0.35">
      <c r="A56" s="33" t="s">
        <v>5</v>
      </c>
      <c r="B56" s="33" t="s">
        <v>16</v>
      </c>
      <c r="C56" s="32"/>
      <c r="D56" s="32">
        <f t="shared" si="19"/>
        <v>93852393310.90239</v>
      </c>
      <c r="E56" s="31">
        <f t="shared" si="17"/>
        <v>0</v>
      </c>
      <c r="F56" s="30">
        <f t="shared" si="18"/>
        <v>1880551655.0070612</v>
      </c>
      <c r="G56" s="32"/>
      <c r="H56" s="63" cm="1">
        <f t="array" ref="H56:H58">TRANSPOSE(K10:M10)</f>
        <v>-1880551655.0070612</v>
      </c>
    </row>
    <row r="57" spans="1:8" hidden="1" outlineLevel="1" x14ac:dyDescent="0.35">
      <c r="A57" s="33"/>
      <c r="B57" s="33" t="s">
        <v>31</v>
      </c>
      <c r="C57" s="32"/>
      <c r="D57" s="32">
        <f t="shared" si="19"/>
        <v>93852393310.90239</v>
      </c>
      <c r="E57" s="31">
        <f t="shared" si="17"/>
        <v>2526538412.6314592</v>
      </c>
      <c r="F57" s="30">
        <f t="shared" si="18"/>
        <v>0</v>
      </c>
      <c r="G57" s="32"/>
      <c r="H57" s="63">
        <v>2526538412.6314592</v>
      </c>
    </row>
    <row r="58" spans="1:8" hidden="1" outlineLevel="1" x14ac:dyDescent="0.35">
      <c r="A58" s="33"/>
      <c r="B58" s="33" t="s">
        <v>14</v>
      </c>
      <c r="C58" s="32"/>
      <c r="D58" s="32">
        <f t="shared" si="19"/>
        <v>95456280921.431519</v>
      </c>
      <c r="E58" s="31">
        <f t="shared" si="17"/>
        <v>0</v>
      </c>
      <c r="F58" s="30">
        <f t="shared" si="18"/>
        <v>922650802.10231829</v>
      </c>
      <c r="G58" s="32"/>
      <c r="H58" s="63">
        <v>-922650802.10231829</v>
      </c>
    </row>
    <row r="59" spans="1:8" hidden="1" outlineLevel="1" x14ac:dyDescent="0.35">
      <c r="A59" s="33" t="s">
        <v>4</v>
      </c>
      <c r="B59" s="33" t="s">
        <v>16</v>
      </c>
      <c r="C59" s="32"/>
      <c r="D59" s="32">
        <f t="shared" si="19"/>
        <v>94079211129.344269</v>
      </c>
      <c r="E59" s="31">
        <f t="shared" si="17"/>
        <v>0</v>
      </c>
      <c r="F59" s="30">
        <f t="shared" si="18"/>
        <v>1377069792.087244</v>
      </c>
      <c r="G59" s="32"/>
      <c r="H59" s="63" cm="1">
        <f t="array" ref="H59:H61">TRANSPOSE(K11:M11)</f>
        <v>-1377069792.087244</v>
      </c>
    </row>
    <row r="60" spans="1:8" hidden="1" outlineLevel="1" x14ac:dyDescent="0.35">
      <c r="A60" s="33"/>
      <c r="B60" s="33" t="s">
        <v>31</v>
      </c>
      <c r="C60" s="32"/>
      <c r="D60" s="32">
        <f t="shared" si="19"/>
        <v>93079655921.431519</v>
      </c>
      <c r="E60" s="31">
        <f t="shared" si="17"/>
        <v>0</v>
      </c>
      <c r="F60" s="30">
        <f t="shared" si="18"/>
        <v>999555207.91275513</v>
      </c>
      <c r="G60" s="32"/>
      <c r="H60" s="63">
        <v>-999555207.91275513</v>
      </c>
    </row>
    <row r="61" spans="1:8" hidden="1" outlineLevel="1" x14ac:dyDescent="0.35">
      <c r="A61" s="33"/>
      <c r="B61" s="33" t="s">
        <v>14</v>
      </c>
      <c r="C61" s="32"/>
      <c r="D61" s="32">
        <f t="shared" si="19"/>
        <v>93079655921.431519</v>
      </c>
      <c r="E61" s="31">
        <f t="shared" si="17"/>
        <v>0</v>
      </c>
      <c r="F61" s="30">
        <f t="shared" si="18"/>
        <v>0</v>
      </c>
      <c r="G61" s="32"/>
      <c r="H61" s="63">
        <v>0</v>
      </c>
    </row>
    <row r="62" spans="1:8" hidden="1" outlineLevel="1" x14ac:dyDescent="0.35">
      <c r="A62" s="33" t="s">
        <v>3</v>
      </c>
      <c r="B62" s="33" t="s">
        <v>16</v>
      </c>
      <c r="C62" s="32"/>
      <c r="D62" s="32">
        <f t="shared" si="19"/>
        <v>91486244285.923218</v>
      </c>
      <c r="E62" s="31">
        <f t="shared" si="17"/>
        <v>0</v>
      </c>
      <c r="F62" s="30">
        <f t="shared" si="18"/>
        <v>1593411635.5083034</v>
      </c>
      <c r="G62" s="32"/>
      <c r="H62" s="63" cm="1">
        <f t="array" ref="H62:H64">TRANSPOSE(K12:M12)</f>
        <v>-1593411635.5083034</v>
      </c>
    </row>
    <row r="63" spans="1:8" hidden="1" outlineLevel="1" x14ac:dyDescent="0.35">
      <c r="A63" s="33"/>
      <c r="B63" s="33" t="s">
        <v>31</v>
      </c>
      <c r="C63" s="32"/>
      <c r="D63" s="32">
        <f t="shared" si="19"/>
        <v>91080405921.431519</v>
      </c>
      <c r="E63" s="31">
        <f t="shared" si="17"/>
        <v>0</v>
      </c>
      <c r="F63" s="30">
        <f t="shared" si="18"/>
        <v>405838364.49169624</v>
      </c>
      <c r="G63" s="32"/>
      <c r="H63" s="63">
        <v>-405838364.49169624</v>
      </c>
    </row>
    <row r="64" spans="1:8" hidden="1" outlineLevel="1" x14ac:dyDescent="0.35">
      <c r="A64" s="33"/>
      <c r="B64" s="33" t="s">
        <v>14</v>
      </c>
      <c r="C64" s="32"/>
      <c r="D64" s="32">
        <f t="shared" si="19"/>
        <v>90760246088.454956</v>
      </c>
      <c r="E64" s="31">
        <f t="shared" si="17"/>
        <v>0</v>
      </c>
      <c r="F64" s="30">
        <f t="shared" si="18"/>
        <v>320159832.97656494</v>
      </c>
      <c r="G64" s="32"/>
      <c r="H64" s="63">
        <v>-320159832.97656494</v>
      </c>
    </row>
    <row r="65" spans="1:8" hidden="1" outlineLevel="1" x14ac:dyDescent="0.35">
      <c r="A65" s="33" t="s">
        <v>12</v>
      </c>
      <c r="B65" s="33"/>
      <c r="C65" s="32"/>
      <c r="D65" s="222">
        <f>D64+E64-F65</f>
        <v>90760246088.454956</v>
      </c>
      <c r="E65" s="31">
        <f t="shared" si="17"/>
        <v>3432764546.5450501</v>
      </c>
      <c r="F65" s="30">
        <f t="shared" si="18"/>
        <v>0</v>
      </c>
      <c r="G65" s="32"/>
      <c r="H65" s="64">
        <f>N29</f>
        <v>3432764546.5450501</v>
      </c>
    </row>
    <row r="66" spans="1:8" hidden="1" outlineLevel="1" x14ac:dyDescent="0.35">
      <c r="A66" s="33" t="s">
        <v>1</v>
      </c>
      <c r="B66" s="33"/>
      <c r="C66" s="32"/>
      <c r="D66" s="32">
        <f t="shared" si="19"/>
        <v>94193010635</v>
      </c>
      <c r="E66" s="31">
        <f t="shared" si="17"/>
        <v>4400149087.0000305</v>
      </c>
      <c r="F66" s="30">
        <f t="shared" si="18"/>
        <v>0</v>
      </c>
      <c r="G66" s="32"/>
      <c r="H66" s="64">
        <f>O29</f>
        <v>4400149087.0000305</v>
      </c>
    </row>
    <row r="67" spans="1:8" hidden="1" outlineLevel="1" x14ac:dyDescent="0.35">
      <c r="A67" s="33" t="s">
        <v>112</v>
      </c>
      <c r="B67" s="33"/>
      <c r="C67" s="32"/>
      <c r="D67" s="32">
        <f t="shared" si="19"/>
        <v>88347880801.999985</v>
      </c>
      <c r="E67" s="31">
        <f t="shared" ref="E67" si="20">IF(H67&gt;0,H67,0)</f>
        <v>0</v>
      </c>
      <c r="F67" s="30">
        <f t="shared" ref="F67" si="21">IF(H67&lt;0,-H67,0)</f>
        <v>10245278920.000046</v>
      </c>
      <c r="G67" s="32"/>
      <c r="H67" s="64">
        <f>P29</f>
        <v>-10245278920.000046</v>
      </c>
    </row>
    <row r="68" spans="1:8" hidden="1" outlineLevel="1" x14ac:dyDescent="0.35">
      <c r="A68" s="49" t="str">
        <f>'S7'!$A$17</f>
        <v>TT T11</v>
      </c>
      <c r="B68" s="49"/>
      <c r="C68" s="29"/>
      <c r="D68" s="29"/>
      <c r="E68" s="31"/>
      <c r="F68" s="30"/>
      <c r="G68" s="29">
        <f>D67+E67</f>
        <v>88347880801.999985</v>
      </c>
    </row>
    <row r="69" spans="1:8" s="21" customFormat="1" hidden="1" outlineLevel="1" x14ac:dyDescent="0.35">
      <c r="A69" s="21" t="s">
        <v>11</v>
      </c>
      <c r="G69" s="62">
        <f>G68-C29</f>
        <v>0</v>
      </c>
    </row>
    <row r="70" spans="1:8" hidden="1" outlineLevel="1" x14ac:dyDescent="0.35"/>
    <row r="71" spans="1:8" hidden="1" outlineLevel="1" x14ac:dyDescent="0.35"/>
    <row r="72" spans="1:8" hidden="1" outlineLevel="1" x14ac:dyDescent="0.35"/>
    <row r="73" spans="1:8" hidden="1" outlineLevel="1" x14ac:dyDescent="0.35"/>
    <row r="74" spans="1:8" hidden="1" outlineLevel="1" x14ac:dyDescent="0.35"/>
    <row r="75" spans="1:8" hidden="1" outlineLevel="1" x14ac:dyDescent="0.35"/>
    <row r="76" spans="1:8" hidden="1" outlineLevel="1" x14ac:dyDescent="0.35"/>
    <row r="77" spans="1:8" hidden="1" outlineLevel="1" x14ac:dyDescent="0.35"/>
    <row r="78" spans="1:8" hidden="1" outlineLevel="1" x14ac:dyDescent="0.35"/>
    <row r="79" spans="1:8" hidden="1" outlineLevel="1" x14ac:dyDescent="0.35"/>
    <row r="80" spans="1:8" hidden="1" outlineLevel="1" x14ac:dyDescent="0.35"/>
    <row r="81" hidden="1" outlineLevel="1" x14ac:dyDescent="0.35"/>
    <row r="82" hidden="1" outlineLevel="1" x14ac:dyDescent="0.35"/>
    <row r="83" hidden="1" outlineLevel="1" x14ac:dyDescent="0.35"/>
    <row r="84" hidden="1" outlineLevel="1" x14ac:dyDescent="0.35"/>
    <row r="85" hidden="1" outlineLevel="1" x14ac:dyDescent="0.35"/>
    <row r="86" hidden="1" outlineLevel="1" x14ac:dyDescent="0.35"/>
    <row r="87" hidden="1" outlineLevel="1" x14ac:dyDescent="0.35"/>
    <row r="88" hidden="1" outlineLevel="1" x14ac:dyDescent="0.35"/>
    <row r="89" hidden="1" outlineLevel="1" x14ac:dyDescent="0.35"/>
    <row r="90" hidden="1" outlineLevel="1" x14ac:dyDescent="0.35"/>
    <row r="91" hidden="1" outlineLevel="1" x14ac:dyDescent="0.35"/>
    <row r="92" hidden="1" outlineLevel="1" x14ac:dyDescent="0.35"/>
    <row r="93" hidden="1" outlineLevel="1" x14ac:dyDescent="0.35"/>
    <row r="94" hidden="1" outlineLevel="1" x14ac:dyDescent="0.35"/>
    <row r="95" hidden="1" outlineLevel="1" x14ac:dyDescent="0.35"/>
    <row r="96" hidden="1" outlineLevel="1" x14ac:dyDescent="0.35"/>
    <row r="97" spans="1:9" hidden="1" outlineLevel="1" x14ac:dyDescent="0.35"/>
    <row r="98" spans="1:9" hidden="1" outlineLevel="1" x14ac:dyDescent="0.35"/>
    <row r="99" spans="1:9" hidden="1" outlineLevel="1" x14ac:dyDescent="0.35"/>
    <row r="100" spans="1:9" hidden="1" outlineLevel="1" x14ac:dyDescent="0.35"/>
    <row r="101" spans="1:9" collapsed="1" x14ac:dyDescent="0.35">
      <c r="A101" s="49" t="s">
        <v>32</v>
      </c>
      <c r="B101" s="33"/>
      <c r="C101" s="33"/>
      <c r="D101" s="33"/>
      <c r="E101" s="33"/>
      <c r="F101" s="33"/>
      <c r="G101" s="33"/>
    </row>
    <row r="102" spans="1:9" x14ac:dyDescent="0.35">
      <c r="A102" s="49"/>
      <c r="B102" s="49"/>
      <c r="C102" s="49" t="s">
        <v>28</v>
      </c>
      <c r="D102" s="49" t="s">
        <v>27</v>
      </c>
      <c r="E102" s="49" t="s">
        <v>26</v>
      </c>
      <c r="F102" s="49" t="s">
        <v>25</v>
      </c>
      <c r="G102" s="49" t="s">
        <v>24</v>
      </c>
    </row>
    <row r="103" spans="1:9" x14ac:dyDescent="0.35">
      <c r="A103" s="49"/>
      <c r="B103" s="49" t="str">
        <f>A49</f>
        <v>KH T11</v>
      </c>
      <c r="C103" s="51">
        <f>B29</f>
        <v>209261952499.99997</v>
      </c>
      <c r="D103" s="51"/>
      <c r="E103" s="53"/>
      <c r="F103" s="52"/>
      <c r="G103" s="51"/>
    </row>
    <row r="104" spans="1:9" x14ac:dyDescent="0.35">
      <c r="A104" s="33"/>
      <c r="B104" s="33" t="s">
        <v>16</v>
      </c>
      <c r="C104" s="32"/>
      <c r="D104" s="32">
        <f>C103-F104</f>
        <v>98749975929.021225</v>
      </c>
      <c r="E104" s="31">
        <f>IF(H104&gt;0,H104,0)</f>
        <v>0</v>
      </c>
      <c r="F104" s="30">
        <f>IF(H104&lt;0,-H104,0)</f>
        <v>110511976570.97874</v>
      </c>
      <c r="G104" s="32"/>
      <c r="H104" s="63">
        <f>SUMIFS($H$50:$H$66,$B$50:$B$66,$B104)</f>
        <v>-110511976570.97874</v>
      </c>
    </row>
    <row r="105" spans="1:9" x14ac:dyDescent="0.35">
      <c r="A105" s="33"/>
      <c r="B105" s="33" t="s">
        <v>31</v>
      </c>
      <c r="C105" s="32"/>
      <c r="D105" s="32">
        <f>D104+E104-F105</f>
        <v>97758074461.472961</v>
      </c>
      <c r="E105" s="31">
        <f>IF(H105&gt;0,H105,0)</f>
        <v>0</v>
      </c>
      <c r="F105" s="30">
        <f>IF(H105&lt;0,-H105,0)</f>
        <v>991901467.54826641</v>
      </c>
      <c r="G105" s="32"/>
      <c r="H105" s="63">
        <f>SUMIFS($H$50:$H$66,$B$50:$B$66,$B105)</f>
        <v>-991901467.54826641</v>
      </c>
    </row>
    <row r="106" spans="1:9" x14ac:dyDescent="0.35">
      <c r="A106" s="33"/>
      <c r="B106" s="33" t="s">
        <v>14</v>
      </c>
      <c r="C106" s="32"/>
      <c r="D106" s="32">
        <f>D105+E105-F106</f>
        <v>90760246088.454956</v>
      </c>
      <c r="E106" s="31">
        <f>IF(H106&gt;0,H106,0)</f>
        <v>0</v>
      </c>
      <c r="F106" s="30">
        <f>IF(H106&lt;0,-H106,0)</f>
        <v>6997828373.0180006</v>
      </c>
      <c r="G106" s="32"/>
      <c r="H106" s="63">
        <f>SUMIFS($H$50:$H$66,$B$50:$B$66,$B106)</f>
        <v>-6997828373.0180006</v>
      </c>
    </row>
    <row r="107" spans="1:9" x14ac:dyDescent="0.35">
      <c r="A107" s="33"/>
      <c r="B107" s="33" t="s">
        <v>12</v>
      </c>
      <c r="C107" s="32"/>
      <c r="D107" s="32">
        <f>D106+E106-F107</f>
        <v>90760246088.454956</v>
      </c>
      <c r="E107" s="31">
        <f>IF(H107&gt;0,H107,0)</f>
        <v>3432764546.5450501</v>
      </c>
      <c r="F107" s="30">
        <f>IF(H107&lt;0,-H107,0)</f>
        <v>0</v>
      </c>
      <c r="G107" s="32"/>
      <c r="H107" s="64">
        <f>H65</f>
        <v>3432764546.5450501</v>
      </c>
    </row>
    <row r="108" spans="1:9" x14ac:dyDescent="0.35">
      <c r="A108" s="33"/>
      <c r="B108" s="33" t="s">
        <v>1</v>
      </c>
      <c r="C108" s="32"/>
      <c r="D108" s="32">
        <f>D107+E107-F108</f>
        <v>88347880801.999985</v>
      </c>
      <c r="E108" s="31">
        <f>IF(H108&gt;0,H108,0)</f>
        <v>0</v>
      </c>
      <c r="F108" s="30">
        <f>IF(H108&lt;0,-H108,0)</f>
        <v>5845129833.0000153</v>
      </c>
      <c r="G108" s="32"/>
      <c r="H108" s="63">
        <f>H66+H67</f>
        <v>-5845129833.0000153</v>
      </c>
      <c r="I108" s="113" t="s">
        <v>115</v>
      </c>
    </row>
    <row r="109" spans="1:9" x14ac:dyDescent="0.35">
      <c r="A109" s="49"/>
      <c r="B109" s="49" t="str">
        <f>A68</f>
        <v>TT T11</v>
      </c>
      <c r="C109" s="29"/>
      <c r="D109" s="29"/>
      <c r="E109" s="31"/>
      <c r="F109" s="30"/>
      <c r="G109" s="29">
        <f>D108+E108</f>
        <v>88347880801.999985</v>
      </c>
    </row>
    <row r="110" spans="1:9" x14ac:dyDescent="0.35">
      <c r="A110" s="21" t="s">
        <v>11</v>
      </c>
      <c r="B110" s="21"/>
      <c r="C110" s="21"/>
      <c r="D110" s="21"/>
      <c r="E110" s="21"/>
      <c r="F110" s="21"/>
      <c r="G110" s="62">
        <f>G109-C29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61E1-63FC-4D49-8F85-2A7F7FAA9785}">
  <sheetPr codeName="Sheet1">
    <tabColor theme="3" tint="0.39997558519241921"/>
  </sheetPr>
  <dimension ref="A1:AL69"/>
  <sheetViews>
    <sheetView showGridLines="0" zoomScaleNormal="100" workbookViewId="0">
      <pane xSplit="8" ySplit="1" topLeftCell="I2" activePane="bottomRight" state="frozen"/>
      <selection activeCell="I28" sqref="I28"/>
      <selection pane="topRight" activeCell="I28" sqref="I28"/>
      <selection pane="bottomLeft" activeCell="I28" sqref="I28"/>
      <selection pane="bottomRight" activeCell="B10" sqref="B10"/>
    </sheetView>
  </sheetViews>
  <sheetFormatPr defaultRowHeight="14.5" x14ac:dyDescent="0.35"/>
  <cols>
    <col min="1" max="1" width="11.54296875" bestFit="1" customWidth="1"/>
    <col min="2" max="2" width="19.7265625" bestFit="1" customWidth="1"/>
    <col min="3" max="3" width="18.1796875" bestFit="1" customWidth="1"/>
    <col min="4" max="4" width="10.453125" customWidth="1"/>
    <col min="5" max="5" width="13.54296875" customWidth="1"/>
    <col min="6" max="6" width="11.54296875" customWidth="1"/>
    <col min="8" max="8" width="18.54296875" bestFit="1" customWidth="1"/>
    <col min="9" max="9" width="18" bestFit="1" customWidth="1"/>
    <col min="10" max="10" width="15.453125" bestFit="1" customWidth="1"/>
    <col min="11" max="11" width="17" bestFit="1" customWidth="1"/>
    <col min="12" max="12" width="14.453125" bestFit="1" customWidth="1"/>
    <col min="13" max="13" width="22.54296875" bestFit="1" customWidth="1"/>
    <col min="14" max="14" width="10.54296875" bestFit="1" customWidth="1"/>
    <col min="15" max="15" width="17.81640625" customWidth="1"/>
    <col min="16" max="17" width="16.81640625" bestFit="1" customWidth="1"/>
    <col min="18" max="18" width="10.81640625" customWidth="1"/>
    <col min="19" max="19" width="10.453125" bestFit="1" customWidth="1"/>
    <col min="20" max="20" width="12.7265625" customWidth="1"/>
    <col min="21" max="21" width="11.453125" customWidth="1"/>
    <col min="23" max="23" width="16.1796875" bestFit="1" customWidth="1"/>
    <col min="24" max="24" width="15.81640625" bestFit="1" customWidth="1"/>
    <col min="25" max="25" width="15.453125" bestFit="1" customWidth="1"/>
    <col min="26" max="26" width="16.54296875" bestFit="1" customWidth="1"/>
    <col min="27" max="27" width="17" bestFit="1" customWidth="1"/>
    <col min="28" max="28" width="15.453125" bestFit="1" customWidth="1"/>
    <col min="29" max="29" width="14.54296875" bestFit="1" customWidth="1"/>
    <col min="31" max="31" width="17.54296875" bestFit="1" customWidth="1"/>
    <col min="32" max="32" width="18.54296875" bestFit="1" customWidth="1"/>
    <col min="33" max="33" width="13.81640625" bestFit="1" customWidth="1"/>
    <col min="34" max="34" width="18.54296875" bestFit="1" customWidth="1"/>
    <col min="37" max="37" width="15.54296875" bestFit="1" customWidth="1"/>
  </cols>
  <sheetData>
    <row r="1" spans="1:38" x14ac:dyDescent="0.35">
      <c r="A1" s="20" t="s">
        <v>30</v>
      </c>
      <c r="AE1" t="s">
        <v>29</v>
      </c>
    </row>
    <row r="2" spans="1:38" x14ac:dyDescent="0.35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 t="s">
        <v>22</v>
      </c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17</v>
      </c>
      <c r="AE2" s="54" t="s">
        <v>9</v>
      </c>
      <c r="AF2" s="54" t="s">
        <v>8</v>
      </c>
    </row>
    <row r="3" spans="1:38" x14ac:dyDescent="0.35">
      <c r="A3" s="33" t="s">
        <v>121</v>
      </c>
      <c r="B3" s="33"/>
      <c r="C3" s="51">
        <f>H3</f>
        <v>209261952500</v>
      </c>
      <c r="D3" s="51"/>
      <c r="E3" s="53"/>
      <c r="F3" s="52"/>
      <c r="G3" s="51"/>
      <c r="H3" s="1">
        <v>209261952500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E3" s="36"/>
      <c r="AF3" s="36"/>
    </row>
    <row r="4" spans="1:38" x14ac:dyDescent="0.35">
      <c r="A4" s="33" t="s">
        <v>7</v>
      </c>
      <c r="B4" s="33" t="s">
        <v>16</v>
      </c>
      <c r="C4" s="32"/>
      <c r="D4" s="32">
        <f>C3+E3-F4</f>
        <v>123490289746.72887</v>
      </c>
      <c r="E4" s="31">
        <f t="shared" ref="E4:E16" si="0">IF(H4&gt;0,H4,0)</f>
        <v>0</v>
      </c>
      <c r="F4" s="30">
        <f t="shared" ref="F4:F16" si="1">IF(H4&lt;0,-H4,0)</f>
        <v>85771662753.271133</v>
      </c>
      <c r="G4" s="32"/>
      <c r="H4" s="39">
        <f t="shared" ref="H4:H14" si="2">M4</f>
        <v>-85771662753.271133</v>
      </c>
      <c r="K4" s="44">
        <v>-85106687106.667068</v>
      </c>
      <c r="M4" s="43">
        <f>AA4</f>
        <v>-85771662753.271133</v>
      </c>
      <c r="O4" s="49" t="s">
        <v>15</v>
      </c>
      <c r="P4" s="48">
        <v>4678.78</v>
      </c>
      <c r="Q4" s="48">
        <v>2027.64</v>
      </c>
      <c r="R4" s="48">
        <f t="shared" ref="R4:R13" si="3">Q4-P4</f>
        <v>-2651.1399999999994</v>
      </c>
      <c r="S4" s="47">
        <f t="shared" ref="S4:S13" si="4">R4/P4</f>
        <v>-0.56663061738316389</v>
      </c>
      <c r="T4" s="6"/>
      <c r="U4" s="35"/>
      <c r="V4" s="35"/>
      <c r="W4" s="35"/>
      <c r="X4" s="35"/>
      <c r="Z4" s="46">
        <f>SUM(AA4:AC4)</f>
        <v>-86381583682.968018</v>
      </c>
      <c r="AA4" s="45">
        <f>R4*P5*U5</f>
        <v>-85771662753.271133</v>
      </c>
      <c r="AB4" s="45">
        <f>R5*Q4*U5</f>
        <v>-3557756286.6687527</v>
      </c>
      <c r="AC4" s="45">
        <f>Q4*Q5*W5</f>
        <v>2947835356.9718676</v>
      </c>
      <c r="AE4" s="34">
        <f>P4*P5*U5</f>
        <v>151371387500</v>
      </c>
      <c r="AF4" s="34">
        <f>Q4*Q5*U5</f>
        <v>62041968460.060097</v>
      </c>
      <c r="AH4" s="1">
        <f>Q4*Q5*V5</f>
        <v>64989803817.031967</v>
      </c>
      <c r="AI4" s="18">
        <f>AH4-AF4-AC4</f>
        <v>0</v>
      </c>
      <c r="AK4" s="18">
        <f>AF4-AE4</f>
        <v>-89329419039.939911</v>
      </c>
      <c r="AL4" s="6">
        <f>AK4/AE4</f>
        <v>-0.59013410998785953</v>
      </c>
    </row>
    <row r="5" spans="1:38" x14ac:dyDescent="0.35">
      <c r="A5" s="33"/>
      <c r="B5" s="33" t="s">
        <v>14</v>
      </c>
      <c r="C5" s="32"/>
      <c r="D5" s="32">
        <f t="shared" ref="D5:D15" si="5">D4+E4-F5</f>
        <v>119932533460.06012</v>
      </c>
      <c r="E5" s="31">
        <f t="shared" si="0"/>
        <v>0</v>
      </c>
      <c r="F5" s="30">
        <f t="shared" si="1"/>
        <v>3557756286.6687527</v>
      </c>
      <c r="G5" s="32"/>
      <c r="H5" s="39">
        <f t="shared" si="2"/>
        <v>-3557756286.6687527</v>
      </c>
      <c r="K5" s="44">
        <v>-3825873388.4561887</v>
      </c>
      <c r="L5" s="18">
        <f>SUM(K4:K5)-SUM(M4:M5)</f>
        <v>396858544.81661987</v>
      </c>
      <c r="M5" s="43">
        <f>AB4</f>
        <v>-3557756286.6687527</v>
      </c>
      <c r="O5" s="33" t="s">
        <v>13</v>
      </c>
      <c r="P5" s="42">
        <v>1294.1098961695143</v>
      </c>
      <c r="Q5" s="42">
        <v>1223.9247294403365</v>
      </c>
      <c r="R5" s="42">
        <f t="shared" si="3"/>
        <v>-70.185166729177809</v>
      </c>
      <c r="S5" s="41">
        <f t="shared" si="4"/>
        <v>-5.4234317299420694E-2</v>
      </c>
      <c r="U5" s="40">
        <v>25000</v>
      </c>
      <c r="V5" s="40">
        <v>26187.839228082179</v>
      </c>
      <c r="W5" s="27">
        <f>V5-U5</f>
        <v>1187.839228082179</v>
      </c>
      <c r="X5" s="26">
        <f>W5/U5</f>
        <v>4.7513569123287164E-2</v>
      </c>
      <c r="Z5" s="25"/>
      <c r="AA5" s="25"/>
      <c r="AB5" s="25"/>
      <c r="AC5" s="25"/>
      <c r="AE5" s="36"/>
      <c r="AF5" s="36"/>
    </row>
    <row r="6" spans="1:38" x14ac:dyDescent="0.35">
      <c r="A6" s="33" t="s">
        <v>6</v>
      </c>
      <c r="B6" s="33" t="s">
        <v>16</v>
      </c>
      <c r="C6" s="32"/>
      <c r="D6" s="32">
        <f t="shared" si="5"/>
        <v>97930206417.179871</v>
      </c>
      <c r="E6" s="31">
        <f t="shared" si="0"/>
        <v>0</v>
      </c>
      <c r="F6" s="30">
        <f t="shared" si="1"/>
        <v>22002327042.880257</v>
      </c>
      <c r="G6" s="32"/>
      <c r="H6" s="39">
        <f t="shared" si="2"/>
        <v>-22002327042.880257</v>
      </c>
      <c r="K6" s="44">
        <v>-23477827747.292358</v>
      </c>
      <c r="M6" s="43">
        <f>AA6</f>
        <v>-22002327042.880257</v>
      </c>
      <c r="O6" s="49" t="s">
        <v>15</v>
      </c>
      <c r="P6" s="48">
        <v>927</v>
      </c>
      <c r="Q6" s="48">
        <v>268.72500000000002</v>
      </c>
      <c r="R6" s="48">
        <f t="shared" si="3"/>
        <v>-658.27499999999998</v>
      </c>
      <c r="S6" s="47">
        <f t="shared" si="4"/>
        <v>-0.71011326860841417</v>
      </c>
      <c r="U6" s="35"/>
      <c r="V6" s="35"/>
      <c r="W6" s="35"/>
      <c r="X6" s="35"/>
      <c r="Z6" s="46">
        <f>SUM(AA6:AC6)</f>
        <v>-23876259572.999996</v>
      </c>
      <c r="AA6" s="45">
        <f>R6*P7*U7</f>
        <v>-22002327042.880257</v>
      </c>
      <c r="AB6" s="45">
        <f>R7*Q6*U7</f>
        <v>-2197261451.2703648</v>
      </c>
      <c r="AC6" s="45">
        <f>Q6*Q7*W7</f>
        <v>323328921.15062314</v>
      </c>
      <c r="AE6" s="34">
        <f>P6*P7*U7</f>
        <v>30984250000</v>
      </c>
      <c r="AF6" s="34">
        <f>Q6*Q7*U7</f>
        <v>6784661505.8493767</v>
      </c>
      <c r="AH6" s="1">
        <f>Q6*Q7*V7</f>
        <v>7107990427</v>
      </c>
      <c r="AI6" s="18">
        <f>AH6-AF6-AC6</f>
        <v>0</v>
      </c>
      <c r="AK6" s="18">
        <f>AF6-AE6</f>
        <v>-24199588494.150623</v>
      </c>
      <c r="AL6" s="6">
        <f>AK6/AE6</f>
        <v>-0.78102869987657031</v>
      </c>
    </row>
    <row r="7" spans="1:38" x14ac:dyDescent="0.35">
      <c r="A7" s="33"/>
      <c r="B7" s="33" t="s">
        <v>14</v>
      </c>
      <c r="C7" s="32"/>
      <c r="D7" s="32">
        <f>D6+E6-F7</f>
        <v>95732944965.9095</v>
      </c>
      <c r="E7" s="31">
        <f t="shared" si="0"/>
        <v>0</v>
      </c>
      <c r="F7" s="30">
        <f t="shared" si="1"/>
        <v>2197261451.2703648</v>
      </c>
      <c r="G7" s="32"/>
      <c r="H7" s="39">
        <f t="shared" si="2"/>
        <v>-2197261451.2703648</v>
      </c>
      <c r="K7" s="44">
        <v>-664810210.31370592</v>
      </c>
      <c r="L7" s="18">
        <f>SUM(K6:K7)-SUM(M6:M7)</f>
        <v>56950536.544555664</v>
      </c>
      <c r="M7" s="43">
        <f>AB6</f>
        <v>-2197261451.2703648</v>
      </c>
      <c r="O7" s="33" t="s">
        <v>13</v>
      </c>
      <c r="P7" s="42">
        <v>1336.9687162891046</v>
      </c>
      <c r="Q7" s="42">
        <v>1009.9040291523864</v>
      </c>
      <c r="R7" s="42">
        <f t="shared" si="3"/>
        <v>-327.06468713671813</v>
      </c>
      <c r="S7" s="41">
        <f t="shared" si="4"/>
        <v>-0.24463151841317582</v>
      </c>
      <c r="U7" s="40">
        <v>25000</v>
      </c>
      <c r="V7" s="40">
        <v>26191.396655794346</v>
      </c>
      <c r="W7" s="27">
        <f>V7-U7</f>
        <v>1191.3966557943459</v>
      </c>
      <c r="X7" s="26">
        <f>W7/U7</f>
        <v>4.7655866231773834E-2</v>
      </c>
      <c r="Z7" s="25"/>
      <c r="AA7" s="25"/>
      <c r="AB7" s="25"/>
      <c r="AC7" s="25"/>
      <c r="AE7" s="36"/>
      <c r="AF7" s="36"/>
    </row>
    <row r="8" spans="1:38" x14ac:dyDescent="0.35">
      <c r="A8" s="33" t="s">
        <v>5</v>
      </c>
      <c r="B8" s="33" t="s">
        <v>16</v>
      </c>
      <c r="C8" s="32"/>
      <c r="D8" s="32">
        <f t="shared" si="5"/>
        <v>95732944965.9095</v>
      </c>
      <c r="E8" s="31">
        <f t="shared" si="0"/>
        <v>645986757.62439811</v>
      </c>
      <c r="F8" s="30">
        <f t="shared" si="1"/>
        <v>0</v>
      </c>
      <c r="G8" s="32"/>
      <c r="H8" s="39">
        <f t="shared" si="2"/>
        <v>645986757.62439811</v>
      </c>
      <c r="K8" s="44">
        <v>-77313570.142101049</v>
      </c>
      <c r="M8" s="43">
        <f>AA8</f>
        <v>645986757.62439811</v>
      </c>
      <c r="O8" s="49" t="s">
        <v>15</v>
      </c>
      <c r="P8" s="48">
        <v>155.75</v>
      </c>
      <c r="Q8" s="48">
        <v>186.75</v>
      </c>
      <c r="R8" s="48">
        <f t="shared" si="3"/>
        <v>31</v>
      </c>
      <c r="S8" s="47">
        <f t="shared" si="4"/>
        <v>0.19903691813804172</v>
      </c>
      <c r="U8" s="35"/>
      <c r="V8" s="35"/>
      <c r="W8" s="35"/>
      <c r="X8" s="35"/>
      <c r="Z8" s="46">
        <f>SUM(AA8:AC8)</f>
        <v>-135552433.19593623</v>
      </c>
      <c r="AA8" s="45">
        <f>R8*P9*U9</f>
        <v>645986757.62439811</v>
      </c>
      <c r="AB8" s="45">
        <f>R9*Q8*U9</f>
        <v>-922650802.10231841</v>
      </c>
      <c r="AC8" s="45">
        <f>Q8*Q9*W9</f>
        <v>141111611.28198406</v>
      </c>
      <c r="AE8" s="34">
        <f>P8*P9*U9</f>
        <v>3245562500</v>
      </c>
      <c r="AF8" s="34">
        <f>Q8*Q9*U9</f>
        <v>2968898455.5220795</v>
      </c>
      <c r="AH8" s="1">
        <f>Q8*Q9*V9</f>
        <v>3110010066.8040638</v>
      </c>
      <c r="AI8" s="18">
        <f>AH8-AF8-AC8</f>
        <v>2.6822090148925781E-7</v>
      </c>
      <c r="AK8" s="18">
        <f>AF8-AE8</f>
        <v>-276664044.47792053</v>
      </c>
      <c r="AL8" s="6">
        <f>AK8/AE8</f>
        <v>-8.5243788858763478E-2</v>
      </c>
    </row>
    <row r="9" spans="1:38" x14ac:dyDescent="0.35">
      <c r="A9" s="33"/>
      <c r="B9" s="33" t="s">
        <v>14</v>
      </c>
      <c r="C9" s="32"/>
      <c r="D9" s="32">
        <f t="shared" si="5"/>
        <v>95456280921.43158</v>
      </c>
      <c r="E9" s="31">
        <f t="shared" si="0"/>
        <v>0</v>
      </c>
      <c r="F9" s="30">
        <f t="shared" si="1"/>
        <v>922650802.10231841</v>
      </c>
      <c r="G9" s="32"/>
      <c r="H9" s="39">
        <f t="shared" si="2"/>
        <v>-922650802.10231841</v>
      </c>
      <c r="K9" s="44">
        <v>-66770462.787238993</v>
      </c>
      <c r="L9" s="18">
        <f>SUM(K8:K9)-SUM(M8:M9)</f>
        <v>132580011.54858026</v>
      </c>
      <c r="M9" s="43">
        <f>AB8</f>
        <v>-922650802.10231841</v>
      </c>
      <c r="O9" s="33" t="s">
        <v>13</v>
      </c>
      <c r="P9" s="42">
        <v>833.53130016051364</v>
      </c>
      <c r="Q9" s="42">
        <v>635.90863839830354</v>
      </c>
      <c r="R9" s="42">
        <f t="shared" si="3"/>
        <v>-197.6226617622101</v>
      </c>
      <c r="S9" s="41">
        <f t="shared" si="4"/>
        <v>-0.23709087076172639</v>
      </c>
      <c r="U9" s="40">
        <v>25000</v>
      </c>
      <c r="V9" s="40">
        <v>26188.248885874826</v>
      </c>
      <c r="W9" s="27">
        <f>V9-U9</f>
        <v>1188.2488858748256</v>
      </c>
      <c r="X9" s="26">
        <f>W9/U9</f>
        <v>4.7529955434993026E-2</v>
      </c>
      <c r="Z9" s="25"/>
      <c r="AA9" s="25"/>
      <c r="AB9" s="25"/>
      <c r="AC9" s="25"/>
      <c r="AE9" s="36"/>
      <c r="AF9" s="36"/>
    </row>
    <row r="10" spans="1:38" x14ac:dyDescent="0.35">
      <c r="A10" s="33" t="s">
        <v>4</v>
      </c>
      <c r="B10" s="33" t="s">
        <v>16</v>
      </c>
      <c r="C10" s="32"/>
      <c r="D10" s="32">
        <f t="shared" si="5"/>
        <v>93079655921.43158</v>
      </c>
      <c r="E10" s="31">
        <f t="shared" si="0"/>
        <v>0</v>
      </c>
      <c r="F10" s="30">
        <f t="shared" si="1"/>
        <v>2376624999.9999995</v>
      </c>
      <c r="G10" s="32"/>
      <c r="H10" s="39">
        <f t="shared" si="2"/>
        <v>-2376624999.9999995</v>
      </c>
      <c r="K10" s="44">
        <v>-2376625000</v>
      </c>
      <c r="M10" s="43">
        <f>AA10</f>
        <v>-2376624999.9999995</v>
      </c>
      <c r="O10" s="49" t="s">
        <v>15</v>
      </c>
      <c r="P10" s="48">
        <v>107.44</v>
      </c>
      <c r="Q10" s="48">
        <v>0</v>
      </c>
      <c r="R10" s="48">
        <f t="shared" si="3"/>
        <v>-107.44</v>
      </c>
      <c r="S10" s="47">
        <f t="shared" si="4"/>
        <v>-1</v>
      </c>
      <c r="T10" s="50"/>
      <c r="U10" s="35"/>
      <c r="V10" s="35"/>
      <c r="W10" s="35"/>
      <c r="X10" s="35"/>
      <c r="Z10" s="46">
        <f>SUM(AA10:AC10)</f>
        <v>-2376624999.9999995</v>
      </c>
      <c r="AA10" s="45">
        <f>R10*P11*U11</f>
        <v>-2376624999.9999995</v>
      </c>
      <c r="AB10" s="45">
        <f>R11*Q10*U11</f>
        <v>0</v>
      </c>
      <c r="AC10" s="45">
        <f>Q10*Q11*W11</f>
        <v>0</v>
      </c>
      <c r="AE10" s="34">
        <f>P10*P11*U11</f>
        <v>2376624999.9999995</v>
      </c>
      <c r="AF10" s="34">
        <f>Q10*Q11*U11</f>
        <v>0</v>
      </c>
      <c r="AH10" s="1">
        <f>Q10*Q11*V11</f>
        <v>0</v>
      </c>
      <c r="AI10" s="18">
        <f>AH10-AF10-AC10</f>
        <v>0</v>
      </c>
      <c r="AK10" s="18">
        <f>AF10-AE10</f>
        <v>-2376624999.9999995</v>
      </c>
      <c r="AL10" s="6">
        <f>AK10/AE10</f>
        <v>-1</v>
      </c>
    </row>
    <row r="11" spans="1:38" x14ac:dyDescent="0.35">
      <c r="A11" s="33"/>
      <c r="B11" s="33" t="s">
        <v>14</v>
      </c>
      <c r="C11" s="32"/>
      <c r="D11" s="32">
        <f t="shared" si="5"/>
        <v>93079655921.43158</v>
      </c>
      <c r="E11" s="31">
        <f t="shared" si="0"/>
        <v>0</v>
      </c>
      <c r="F11" s="30">
        <f t="shared" si="1"/>
        <v>0</v>
      </c>
      <c r="G11" s="32"/>
      <c r="H11" s="39">
        <f t="shared" si="2"/>
        <v>0</v>
      </c>
      <c r="K11" s="44">
        <v>0</v>
      </c>
      <c r="L11" s="18">
        <f>SUM(K10:K11)-SUM(M10:M11)</f>
        <v>0</v>
      </c>
      <c r="M11" s="43">
        <f>AB10</f>
        <v>0</v>
      </c>
      <c r="O11" s="33" t="s">
        <v>13</v>
      </c>
      <c r="P11" s="42">
        <v>884.81943410275494</v>
      </c>
      <c r="Q11" s="42">
        <v>0</v>
      </c>
      <c r="R11" s="42">
        <f t="shared" si="3"/>
        <v>-884.81943410275494</v>
      </c>
      <c r="S11" s="41">
        <f t="shared" si="4"/>
        <v>-1</v>
      </c>
      <c r="U11" s="40">
        <v>25000</v>
      </c>
      <c r="V11" s="40">
        <v>0</v>
      </c>
      <c r="W11" s="27">
        <f>V11-U11</f>
        <v>-25000</v>
      </c>
      <c r="X11" s="26">
        <f>W11/U11</f>
        <v>-1</v>
      </c>
      <c r="Z11" s="25"/>
      <c r="AA11" s="25"/>
      <c r="AB11" s="25"/>
      <c r="AC11" s="25"/>
      <c r="AE11" s="36"/>
      <c r="AF11" s="36"/>
      <c r="AH11" s="1"/>
      <c r="AI11" s="18"/>
    </row>
    <row r="12" spans="1:38" x14ac:dyDescent="0.35">
      <c r="A12" s="33" t="s">
        <v>3</v>
      </c>
      <c r="B12" s="33" t="s">
        <v>16</v>
      </c>
      <c r="C12" s="32"/>
      <c r="D12" s="32">
        <f t="shared" si="5"/>
        <v>91080405921.43158</v>
      </c>
      <c r="E12" s="31">
        <f t="shared" si="0"/>
        <v>0</v>
      </c>
      <c r="F12" s="30">
        <f t="shared" si="1"/>
        <v>1999250000</v>
      </c>
      <c r="G12" s="32"/>
      <c r="H12" s="39">
        <f t="shared" si="2"/>
        <v>-1999250000</v>
      </c>
      <c r="K12" s="44">
        <v>-2298921175.8359942</v>
      </c>
      <c r="M12" s="43">
        <f>AA12</f>
        <v>-1999250000</v>
      </c>
      <c r="O12" s="49" t="s">
        <v>15</v>
      </c>
      <c r="P12" s="48">
        <v>100</v>
      </c>
      <c r="Q12" s="48">
        <v>27.3</v>
      </c>
      <c r="R12" s="48">
        <f t="shared" si="3"/>
        <v>-72.7</v>
      </c>
      <c r="S12" s="47">
        <f t="shared" si="4"/>
        <v>-0.72699999999999998</v>
      </c>
      <c r="U12" s="35"/>
      <c r="V12" s="35"/>
      <c r="W12" s="35"/>
      <c r="X12" s="35"/>
      <c r="Z12" s="46">
        <f>SUM(AA12:AC12)</f>
        <v>-2298921175.8359942</v>
      </c>
      <c r="AA12" s="45">
        <f>R12*P13*U13</f>
        <v>-1999250000</v>
      </c>
      <c r="AB12" s="45">
        <f>R13*Q12*U13</f>
        <v>-320159832.976565</v>
      </c>
      <c r="AC12" s="45">
        <f>Q12*Q13*W13</f>
        <v>20488657.140570827</v>
      </c>
      <c r="AE12" s="34">
        <f>P12*P13*U13</f>
        <v>2750000000</v>
      </c>
      <c r="AF12" s="34">
        <f>Q12*Q13*U13</f>
        <v>430590167.02343506</v>
      </c>
      <c r="AH12" s="1">
        <f>Q12*Q13*V13</f>
        <v>451078824.16400588</v>
      </c>
      <c r="AI12" s="18">
        <f>AH12-AF12-AC12</f>
        <v>0</v>
      </c>
      <c r="AK12" s="18">
        <f>AF12-AE12</f>
        <v>-2319409832.9765649</v>
      </c>
      <c r="AL12" s="6">
        <f>AK12/AE12</f>
        <v>-0.84342175744602355</v>
      </c>
    </row>
    <row r="13" spans="1:38" x14ac:dyDescent="0.35">
      <c r="A13" s="33"/>
      <c r="B13" s="33" t="s">
        <v>14</v>
      </c>
      <c r="C13" s="32"/>
      <c r="D13" s="32">
        <f t="shared" si="5"/>
        <v>90760246088.455017</v>
      </c>
      <c r="E13" s="31">
        <f t="shared" si="0"/>
        <v>0</v>
      </c>
      <c r="F13" s="30">
        <f t="shared" si="1"/>
        <v>320159832.976565</v>
      </c>
      <c r="G13" s="32"/>
      <c r="H13" s="39">
        <f t="shared" si="2"/>
        <v>-320159832.976565</v>
      </c>
      <c r="K13" s="44">
        <v>0</v>
      </c>
      <c r="L13" s="18">
        <f>SUM(K12:K13)-SUM(M12:M13)</f>
        <v>20488657.140570641</v>
      </c>
      <c r="M13" s="43">
        <f>AB12</f>
        <v>-320159832.976565</v>
      </c>
      <c r="O13" s="33" t="s">
        <v>13</v>
      </c>
      <c r="P13" s="42">
        <v>1100</v>
      </c>
      <c r="Q13" s="42">
        <v>630.9013436240806</v>
      </c>
      <c r="R13" s="42">
        <f t="shared" si="3"/>
        <v>-469.0986563759194</v>
      </c>
      <c r="S13" s="41">
        <f t="shared" si="4"/>
        <v>-0.42645332397810853</v>
      </c>
      <c r="U13" s="40">
        <v>25000</v>
      </c>
      <c r="V13" s="40">
        <v>26189.568336070231</v>
      </c>
      <c r="W13" s="27">
        <f>V13-U13</f>
        <v>1189.5683360702315</v>
      </c>
      <c r="X13" s="26">
        <f>W13/U13</f>
        <v>4.7582733442809257E-2</v>
      </c>
      <c r="Z13" s="25"/>
      <c r="AA13" s="25"/>
      <c r="AB13" s="25"/>
      <c r="AC13" s="25"/>
      <c r="AE13" s="36"/>
      <c r="AF13" s="36"/>
    </row>
    <row r="14" spans="1:38" x14ac:dyDescent="0.35">
      <c r="A14" s="33" t="s">
        <v>12</v>
      </c>
      <c r="B14" s="33"/>
      <c r="C14" s="32"/>
      <c r="D14" s="32">
        <f t="shared" si="5"/>
        <v>90760246088.455017</v>
      </c>
      <c r="E14" s="31">
        <f t="shared" si="0"/>
        <v>3432764546.5450454</v>
      </c>
      <c r="F14" s="30">
        <f t="shared" si="1"/>
        <v>0</v>
      </c>
      <c r="G14" s="32"/>
      <c r="H14" s="39">
        <f t="shared" si="2"/>
        <v>3432764546.5450454</v>
      </c>
      <c r="K14" s="38">
        <v>2946675222.359725</v>
      </c>
      <c r="M14" s="37">
        <f>AC4+AC6+AC8+AC10+AC12</f>
        <v>3432764546.5450454</v>
      </c>
      <c r="U14" s="35"/>
      <c r="V14" s="35"/>
      <c r="W14" s="35"/>
      <c r="X14" s="35"/>
      <c r="Z14" s="25"/>
      <c r="AA14" s="25"/>
      <c r="AB14" s="25"/>
      <c r="AC14" s="25"/>
      <c r="AE14" s="36"/>
      <c r="AF14" s="36"/>
    </row>
    <row r="15" spans="1:38" x14ac:dyDescent="0.35">
      <c r="A15" s="33" t="s">
        <v>1</v>
      </c>
      <c r="B15" s="33"/>
      <c r="C15" s="32"/>
      <c r="D15" s="32">
        <f t="shared" si="5"/>
        <v>94193010635.000061</v>
      </c>
      <c r="E15" s="31">
        <f t="shared" si="0"/>
        <v>4400149086.9999847</v>
      </c>
      <c r="F15" s="30">
        <f t="shared" si="1"/>
        <v>0</v>
      </c>
      <c r="G15" s="32"/>
      <c r="H15" s="18">
        <f>H17-SUM(H3:H14,H16)</f>
        <v>4400149086.9999847</v>
      </c>
      <c r="U15" s="35"/>
      <c r="V15" s="35"/>
      <c r="W15" s="35"/>
      <c r="X15" s="35"/>
      <c r="Z15" s="25"/>
      <c r="AA15" s="25"/>
      <c r="AB15" s="25"/>
      <c r="AC15" s="25"/>
      <c r="AE15" s="34">
        <f>AE17-SUM(AE3:AE14)</f>
        <v>18534127500</v>
      </c>
      <c r="AF15" s="34">
        <f>AF17-SUM(AF3:AF14)</f>
        <v>12688997666.999969</v>
      </c>
    </row>
    <row r="16" spans="1:38" x14ac:dyDescent="0.35">
      <c r="A16" s="33" t="s">
        <v>120</v>
      </c>
      <c r="B16" s="33" t="s">
        <v>119</v>
      </c>
      <c r="C16" s="32"/>
      <c r="D16" s="32">
        <f>D15+E15-F16</f>
        <v>88347880802</v>
      </c>
      <c r="E16" s="31">
        <f t="shared" si="0"/>
        <v>0</v>
      </c>
      <c r="F16" s="30">
        <f t="shared" si="1"/>
        <v>10245278920.000046</v>
      </c>
      <c r="G16" s="32"/>
      <c r="H16" s="18">
        <f>G20-C20</f>
        <v>-10245278920.000046</v>
      </c>
      <c r="U16" s="35"/>
      <c r="V16" s="35"/>
      <c r="W16" s="35"/>
      <c r="X16" s="35"/>
      <c r="Z16" s="25"/>
      <c r="AA16" s="25"/>
      <c r="AB16" s="25"/>
      <c r="AC16" s="25"/>
      <c r="AE16" s="34"/>
      <c r="AF16" s="34"/>
    </row>
    <row r="17" spans="1:34" x14ac:dyDescent="0.35">
      <c r="A17" s="33" t="s">
        <v>122</v>
      </c>
      <c r="B17" s="33"/>
      <c r="C17" s="32"/>
      <c r="D17" s="32"/>
      <c r="E17" s="31"/>
      <c r="F17" s="30"/>
      <c r="G17" s="97">
        <f>D16+E16</f>
        <v>88347880802</v>
      </c>
      <c r="H17" s="1">
        <v>88347880802</v>
      </c>
      <c r="I17" s="18">
        <f>H17-H3</f>
        <v>-120914071698</v>
      </c>
      <c r="J17" s="6">
        <f>H17/H3-1</f>
        <v>-0.57781202102661255</v>
      </c>
      <c r="K17" s="6"/>
      <c r="U17" s="28">
        <v>25000</v>
      </c>
      <c r="V17" s="28">
        <v>26188.206413254738</v>
      </c>
      <c r="W17" s="27">
        <f>V17-U17</f>
        <v>1188.2064132547384</v>
      </c>
      <c r="X17" s="26">
        <f>W17/U17</f>
        <v>4.7528256530189536E-2</v>
      </c>
      <c r="Z17" s="25"/>
      <c r="AA17" s="25"/>
      <c r="AB17" s="25"/>
      <c r="AC17" s="25"/>
      <c r="AE17" s="24">
        <f>C3</f>
        <v>209261952500</v>
      </c>
      <c r="AF17" s="23">
        <f>G17-H14</f>
        <v>84915116255.454956</v>
      </c>
      <c r="AG17" s="18"/>
      <c r="AH17" s="1">
        <f>G17-AF17</f>
        <v>3432764546.5450439</v>
      </c>
    </row>
    <row r="18" spans="1:34" s="21" customFormat="1" x14ac:dyDescent="0.35">
      <c r="A18" s="21" t="s">
        <v>11</v>
      </c>
      <c r="G18" s="22">
        <f>G17-H17</f>
        <v>0</v>
      </c>
    </row>
    <row r="19" spans="1:34" x14ac:dyDescent="0.35">
      <c r="O19" s="20" t="s">
        <v>10</v>
      </c>
      <c r="P19" s="19" t="s">
        <v>9</v>
      </c>
      <c r="Q19" s="19" t="s">
        <v>8</v>
      </c>
    </row>
    <row r="20" spans="1:34" x14ac:dyDescent="0.35">
      <c r="A20" s="65" t="s">
        <v>112</v>
      </c>
      <c r="B20" s="65"/>
      <c r="C20" s="210">
        <f>C3-C21</f>
        <v>12485577500</v>
      </c>
      <c r="D20" s="210"/>
      <c r="E20" s="210"/>
      <c r="F20" s="210"/>
      <c r="G20" s="229">
        <f>H17-G21</f>
        <v>2240298579.9999542</v>
      </c>
      <c r="O20" t="s">
        <v>7</v>
      </c>
      <c r="P20" s="17">
        <f>P4*P5*U5/10^9</f>
        <v>151.3713875</v>
      </c>
      <c r="Q20" s="17">
        <f>Q4*Q5*V5/10^9</f>
        <v>64.989803817031969</v>
      </c>
      <c r="R20" s="7">
        <f t="shared" ref="R20:R27" si="6">Q20-P20</f>
        <v>-86.381583682968028</v>
      </c>
      <c r="S20" s="16">
        <f t="shared" ref="S20:S27" si="7">IFERROR(R20/P20,0)</f>
        <v>-0.57065991869149002</v>
      </c>
      <c r="U20">
        <f>Q20/Q27</f>
        <v>0.73561248133029056</v>
      </c>
    </row>
    <row r="21" spans="1:34" x14ac:dyDescent="0.35">
      <c r="A21" s="65" t="s">
        <v>113</v>
      </c>
      <c r="B21" s="65"/>
      <c r="C21" s="211">
        <v>196776375000</v>
      </c>
      <c r="D21" s="210"/>
      <c r="E21" s="210"/>
      <c r="F21" s="210"/>
      <c r="G21" s="211">
        <v>86107582222.000046</v>
      </c>
      <c r="O21" t="s">
        <v>6</v>
      </c>
      <c r="P21" s="17">
        <f>P6*P7*U7/10^9</f>
        <v>30.984249999999999</v>
      </c>
      <c r="Q21" s="17">
        <f>Q6*Q7*V7/10^9</f>
        <v>7.1079904269999998</v>
      </c>
      <c r="R21" s="7">
        <f t="shared" si="6"/>
        <v>-23.876259572999999</v>
      </c>
      <c r="S21" s="16">
        <f t="shared" si="7"/>
        <v>-0.7705934328892905</v>
      </c>
    </row>
    <row r="22" spans="1:34" x14ac:dyDescent="0.35">
      <c r="O22" t="s">
        <v>5</v>
      </c>
      <c r="P22" s="17">
        <f>P8*P9*U9/10^9</f>
        <v>3.2455625000000001</v>
      </c>
      <c r="Q22" s="17">
        <f>Q8*Q9*V9/10^9</f>
        <v>3.110010066804064</v>
      </c>
      <c r="R22" s="7">
        <f t="shared" si="6"/>
        <v>-0.13555243319593613</v>
      </c>
      <c r="S22" s="16">
        <f t="shared" si="7"/>
        <v>-4.1765466909337329E-2</v>
      </c>
    </row>
    <row r="23" spans="1:34" x14ac:dyDescent="0.35">
      <c r="C23">
        <v>12485577500</v>
      </c>
      <c r="O23" t="s">
        <v>4</v>
      </c>
      <c r="P23" s="17">
        <f>P10*P11*U11/10^9</f>
        <v>2.3766249999999993</v>
      </c>
      <c r="Q23" s="17">
        <f>Q10*Q11*V11/10^9</f>
        <v>0</v>
      </c>
      <c r="R23" s="7">
        <f t="shared" si="6"/>
        <v>-2.3766249999999993</v>
      </c>
      <c r="S23" s="16">
        <f t="shared" si="7"/>
        <v>-1</v>
      </c>
    </row>
    <row r="24" spans="1:34" x14ac:dyDescent="0.35">
      <c r="O24" t="s">
        <v>3</v>
      </c>
      <c r="P24" s="17">
        <f>P12*P13*U13/10^9</f>
        <v>2.75</v>
      </c>
      <c r="Q24" s="17">
        <f>Q12*Q13*V13/10^9</f>
        <v>0.45107882416400585</v>
      </c>
      <c r="R24" s="7">
        <f t="shared" si="6"/>
        <v>-2.2989211758359942</v>
      </c>
      <c r="S24" s="16">
        <f t="shared" si="7"/>
        <v>-0.83597133666763423</v>
      </c>
    </row>
    <row r="25" spans="1:34" x14ac:dyDescent="0.35">
      <c r="O25" t="s">
        <v>1</v>
      </c>
      <c r="P25" s="17">
        <f>C3/10^9-SUM(P20:P24,P26)</f>
        <v>6.0485500000000059</v>
      </c>
      <c r="Q25" s="17">
        <f>G17/10^9-SUM(Q20:Q24,Q26)</f>
        <v>10.448699087000008</v>
      </c>
      <c r="R25" s="7">
        <f t="shared" si="6"/>
        <v>4.4001490870000026</v>
      </c>
      <c r="S25" s="16">
        <f t="shared" si="7"/>
        <v>0.72747172247894099</v>
      </c>
    </row>
    <row r="26" spans="1:34" ht="15" thickBot="1" x14ac:dyDescent="0.4">
      <c r="O26" t="s">
        <v>112</v>
      </c>
      <c r="P26" s="17">
        <f>C20/10^9</f>
        <v>12.4855775</v>
      </c>
      <c r="Q26" s="17">
        <f>G20/10^9</f>
        <v>2.2402985799999544</v>
      </c>
      <c r="R26" s="7">
        <f t="shared" ref="R26" si="8">Q26-P26</f>
        <v>-10.245278920000045</v>
      </c>
      <c r="S26" s="16">
        <f t="shared" ref="S26" si="9">IFERROR(R26/P26,0)</f>
        <v>-0.82056908621167468</v>
      </c>
    </row>
    <row r="27" spans="1:34" ht="15" thickBot="1" x14ac:dyDescent="0.4">
      <c r="G27" t="s">
        <v>19</v>
      </c>
      <c r="H27" s="18">
        <f>H4+H6+H8+H10+H12</f>
        <v>-111503878038.52699</v>
      </c>
      <c r="O27" s="15" t="s">
        <v>0</v>
      </c>
      <c r="P27" s="14">
        <f>SUM(P20:P26)</f>
        <v>209.26195250000001</v>
      </c>
      <c r="Q27" s="14">
        <f>SUM(Q20:Q26)</f>
        <v>88.347880802000006</v>
      </c>
      <c r="R27" s="3">
        <f t="shared" si="6"/>
        <v>-120.914071698</v>
      </c>
      <c r="S27" s="13">
        <f t="shared" si="7"/>
        <v>-0.57781202102661255</v>
      </c>
    </row>
    <row r="28" spans="1:34" x14ac:dyDescent="0.35">
      <c r="G28" t="s">
        <v>18</v>
      </c>
      <c r="H28" s="18">
        <f>H5+H7+H9+H11+H13</f>
        <v>-6997828373.0180016</v>
      </c>
    </row>
    <row r="30" spans="1:34" x14ac:dyDescent="0.35">
      <c r="O30" s="12" t="s">
        <v>10</v>
      </c>
      <c r="P30" s="11" t="s">
        <v>9</v>
      </c>
      <c r="Q30" s="11" t="s">
        <v>8</v>
      </c>
      <c r="R30" s="188" t="s">
        <v>99</v>
      </c>
    </row>
    <row r="31" spans="1:34" x14ac:dyDescent="0.35">
      <c r="O31" s="9" t="s">
        <v>7</v>
      </c>
      <c r="P31" s="8">
        <f>P4*P5*U5/10^9</f>
        <v>151.3713875</v>
      </c>
      <c r="Q31" s="8">
        <f>Q4*Q5*U5/10^9</f>
        <v>62.041968460060097</v>
      </c>
      <c r="R31" s="7">
        <f t="shared" ref="R31:R39" si="10">Q31-P31</f>
        <v>-89.329419039939893</v>
      </c>
      <c r="S31" s="6">
        <f t="shared" ref="S31:S39" si="11">IFERROR(R31/P31,0)</f>
        <v>-0.59013410998785942</v>
      </c>
    </row>
    <row r="32" spans="1:34" x14ac:dyDescent="0.35">
      <c r="O32" s="9" t="s">
        <v>6</v>
      </c>
      <c r="P32" s="8">
        <f>P6*P7*U7/10^9</f>
        <v>30.984249999999999</v>
      </c>
      <c r="Q32" s="8">
        <f>Q6*Q7*U7/10^9</f>
        <v>6.7846615058493764</v>
      </c>
      <c r="R32" s="7">
        <f t="shared" si="10"/>
        <v>-24.199588494150625</v>
      </c>
      <c r="S32" s="6">
        <f t="shared" si="11"/>
        <v>-0.78102869987657031</v>
      </c>
    </row>
    <row r="33" spans="15:20" x14ac:dyDescent="0.35">
      <c r="O33" s="9" t="s">
        <v>5</v>
      </c>
      <c r="P33" s="8">
        <f>P8*P9*U9/10^9</f>
        <v>3.2455625000000001</v>
      </c>
      <c r="Q33" s="8">
        <f>Q8*Q9*U9/10^9</f>
        <v>2.9688984555220794</v>
      </c>
      <c r="R33" s="7">
        <f t="shared" si="10"/>
        <v>-0.2766640444779207</v>
      </c>
      <c r="S33" s="6">
        <f t="shared" si="11"/>
        <v>-8.524378885876352E-2</v>
      </c>
    </row>
    <row r="34" spans="15:20" x14ac:dyDescent="0.35">
      <c r="O34" s="9" t="s">
        <v>4</v>
      </c>
      <c r="P34" s="8">
        <f>P10*P11*U11/10^9</f>
        <v>2.3766249999999993</v>
      </c>
      <c r="Q34" s="8">
        <f>Q10*Q11*U11/10^9</f>
        <v>0</v>
      </c>
      <c r="R34" s="7">
        <f t="shared" si="10"/>
        <v>-2.3766249999999993</v>
      </c>
      <c r="S34" s="6">
        <f t="shared" si="11"/>
        <v>-1</v>
      </c>
    </row>
    <row r="35" spans="15:20" x14ac:dyDescent="0.35">
      <c r="O35" s="9" t="s">
        <v>3</v>
      </c>
      <c r="P35" s="8">
        <f>P12*P13*U13/10^9</f>
        <v>2.75</v>
      </c>
      <c r="Q35" s="8">
        <f>Q12*Q13*U13/10^9</f>
        <v>0.43059016702343506</v>
      </c>
      <c r="R35" s="7">
        <f t="shared" si="10"/>
        <v>-2.3194098329765649</v>
      </c>
      <c r="S35" s="6">
        <f t="shared" si="11"/>
        <v>-0.84342175744602355</v>
      </c>
    </row>
    <row r="36" spans="15:20" x14ac:dyDescent="0.35">
      <c r="O36" s="9" t="s">
        <v>2</v>
      </c>
      <c r="P36" s="10"/>
      <c r="Q36" s="195">
        <f>(AC4+AC6+AC8+AC10+AC12)/10^9</f>
        <v>3.4327645465450454</v>
      </c>
      <c r="R36" s="7">
        <f t="shared" si="10"/>
        <v>3.4327645465450454</v>
      </c>
      <c r="S36" s="6">
        <f t="shared" si="11"/>
        <v>0</v>
      </c>
    </row>
    <row r="37" spans="15:20" x14ac:dyDescent="0.35">
      <c r="O37" s="9" t="s">
        <v>1</v>
      </c>
      <c r="P37" s="8">
        <f>C3/10^9-SUM(P31:P36,P38)</f>
        <v>6.0485500000000059</v>
      </c>
      <c r="Q37" s="8">
        <f>G17/10^9-SUM(Q31:Q36,Q38)</f>
        <v>10.448699087000008</v>
      </c>
      <c r="R37" s="7">
        <f t="shared" si="10"/>
        <v>4.4001490870000026</v>
      </c>
      <c r="S37" s="6">
        <f t="shared" si="11"/>
        <v>0.72747172247894099</v>
      </c>
    </row>
    <row r="38" spans="15:20" ht="15" thickBot="1" x14ac:dyDescent="0.4">
      <c r="O38" s="9" t="s">
        <v>112</v>
      </c>
      <c r="P38" s="8">
        <f>C20/10^9</f>
        <v>12.4855775</v>
      </c>
      <c r="Q38" s="8">
        <f>G20/10^9</f>
        <v>2.2402985799999544</v>
      </c>
      <c r="R38" s="7">
        <f t="shared" ref="R38" si="12">Q38-P38</f>
        <v>-10.245278920000045</v>
      </c>
      <c r="S38" s="6">
        <f t="shared" ref="S38" si="13">IFERROR(R38/P38,0)</f>
        <v>-0.82056908621167468</v>
      </c>
    </row>
    <row r="39" spans="15:20" ht="15" thickBot="1" x14ac:dyDescent="0.4">
      <c r="O39" s="5" t="s">
        <v>0</v>
      </c>
      <c r="P39" s="4">
        <f>SUM(P31:P38)</f>
        <v>209.26195250000001</v>
      </c>
      <c r="Q39" s="4">
        <f>SUM(Q31:Q38)</f>
        <v>88.347880802000006</v>
      </c>
      <c r="R39" s="3">
        <f t="shared" si="10"/>
        <v>-120.914071698</v>
      </c>
      <c r="S39" s="2">
        <f t="shared" si="11"/>
        <v>-0.57781202102661255</v>
      </c>
    </row>
    <row r="42" spans="15:20" x14ac:dyDescent="0.35">
      <c r="O42" s="178" t="s">
        <v>98</v>
      </c>
      <c r="P42" s="179" t="s">
        <v>9</v>
      </c>
      <c r="Q42" s="179" t="s">
        <v>8</v>
      </c>
      <c r="R42" s="193" t="s">
        <v>100</v>
      </c>
      <c r="S42" s="193" t="s">
        <v>101</v>
      </c>
      <c r="T42" s="193" t="s">
        <v>102</v>
      </c>
    </row>
    <row r="43" spans="15:20" x14ac:dyDescent="0.35">
      <c r="O43" s="180" t="s">
        <v>7</v>
      </c>
      <c r="P43" s="186">
        <f>P4/10^3</f>
        <v>4.6787799999999997</v>
      </c>
      <c r="Q43" s="186">
        <f>Q4/10^3</f>
        <v>2.0276399999999999</v>
      </c>
      <c r="R43" s="181">
        <f t="shared" ref="R43:R48" si="14">Q43-P43</f>
        <v>-2.6511399999999998</v>
      </c>
      <c r="S43" s="182">
        <f t="shared" ref="S43:S48" si="15">IFERROR(R43/P43,0)</f>
        <v>-0.566630617383164</v>
      </c>
      <c r="T43" s="182">
        <f>Q43/P43</f>
        <v>0.433369382616836</v>
      </c>
    </row>
    <row r="44" spans="15:20" x14ac:dyDescent="0.35">
      <c r="O44" s="180" t="s">
        <v>6</v>
      </c>
      <c r="P44" s="186">
        <f>P6/10^3</f>
        <v>0.92700000000000005</v>
      </c>
      <c r="Q44" s="186">
        <f>Q6/10^3</f>
        <v>0.26872500000000005</v>
      </c>
      <c r="R44" s="181">
        <f t="shared" si="14"/>
        <v>-0.65827499999999994</v>
      </c>
      <c r="S44" s="182">
        <f t="shared" si="15"/>
        <v>-0.71011326860841417</v>
      </c>
      <c r="T44" s="182">
        <f t="shared" ref="T44:T48" si="16">Q44/P44</f>
        <v>0.28988673139158577</v>
      </c>
    </row>
    <row r="45" spans="15:20" x14ac:dyDescent="0.35">
      <c r="O45" s="180" t="s">
        <v>5</v>
      </c>
      <c r="P45" s="186">
        <f>P8/10^3</f>
        <v>0.15575</v>
      </c>
      <c r="Q45" s="186">
        <f>Q8/10^3</f>
        <v>0.18675</v>
      </c>
      <c r="R45" s="181">
        <f t="shared" si="14"/>
        <v>3.1E-2</v>
      </c>
      <c r="S45" s="182">
        <f t="shared" si="15"/>
        <v>0.19903691813804172</v>
      </c>
      <c r="T45" s="182">
        <f t="shared" si="16"/>
        <v>1.1990369181380418</v>
      </c>
    </row>
    <row r="46" spans="15:20" x14ac:dyDescent="0.35">
      <c r="O46" s="180" t="s">
        <v>4</v>
      </c>
      <c r="P46" s="186">
        <f>P10/10^3</f>
        <v>0.10743999999999999</v>
      </c>
      <c r="Q46" s="186">
        <f>Q10/10^3</f>
        <v>0</v>
      </c>
      <c r="R46" s="181">
        <f t="shared" si="14"/>
        <v>-0.10743999999999999</v>
      </c>
      <c r="S46" s="182">
        <f t="shared" si="15"/>
        <v>-1</v>
      </c>
      <c r="T46" s="182">
        <f t="shared" si="16"/>
        <v>0</v>
      </c>
    </row>
    <row r="47" spans="15:20" ht="15" thickBot="1" x14ac:dyDescent="0.4">
      <c r="O47" s="180" t="s">
        <v>3</v>
      </c>
      <c r="P47" s="181">
        <f>P12/10^3</f>
        <v>0.1</v>
      </c>
      <c r="Q47" s="181">
        <f>Q12/10^3</f>
        <v>2.7300000000000001E-2</v>
      </c>
      <c r="R47" s="181">
        <f t="shared" si="14"/>
        <v>-7.2700000000000001E-2</v>
      </c>
      <c r="S47" s="182">
        <f t="shared" si="15"/>
        <v>-0.72699999999999998</v>
      </c>
      <c r="T47" s="182">
        <f t="shared" si="16"/>
        <v>0.27300000000000002</v>
      </c>
    </row>
    <row r="48" spans="15:20" ht="15" thickBot="1" x14ac:dyDescent="0.4">
      <c r="O48" s="183" t="s">
        <v>0</v>
      </c>
      <c r="P48" s="187">
        <f>SUM(P43:P47)</f>
        <v>5.9689699999999997</v>
      </c>
      <c r="Q48" s="187">
        <f>SUM(Q43:Q47)</f>
        <v>2.5104149999999996</v>
      </c>
      <c r="R48" s="184">
        <f t="shared" si="14"/>
        <v>-3.458555</v>
      </c>
      <c r="S48" s="185">
        <f t="shared" si="15"/>
        <v>-0.5794224129121105</v>
      </c>
      <c r="T48" s="185">
        <f t="shared" si="16"/>
        <v>0.4205775870878895</v>
      </c>
    </row>
    <row r="66" spans="8:17" x14ac:dyDescent="0.35">
      <c r="H66" s="219"/>
    </row>
    <row r="67" spans="8:17" x14ac:dyDescent="0.35">
      <c r="P67" s="1"/>
      <c r="Q67" s="1"/>
    </row>
    <row r="68" spans="8:17" x14ac:dyDescent="0.35">
      <c r="P68" s="1"/>
      <c r="Q68" s="1"/>
    </row>
    <row r="69" spans="8:17" x14ac:dyDescent="0.35">
      <c r="P69" s="1"/>
      <c r="Q69" s="1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DD7D-A76D-48ED-BCAE-0F6C212B246D}">
  <sheetPr codeName="Sheet4">
    <tabColor rgb="FFC00000"/>
  </sheetPr>
  <dimension ref="A1:AS98"/>
  <sheetViews>
    <sheetView showGridLines="0" topLeftCell="A67" zoomScaleNormal="100" workbookViewId="0">
      <pane xSplit="2" topLeftCell="C1" activePane="topRight" state="frozen"/>
      <selection activeCell="A49" sqref="A49"/>
      <selection pane="topRight" activeCell="B76" sqref="B76"/>
    </sheetView>
  </sheetViews>
  <sheetFormatPr defaultRowHeight="14.5" x14ac:dyDescent="0.35"/>
  <cols>
    <col min="1" max="1" width="11.54296875" bestFit="1" customWidth="1"/>
    <col min="2" max="2" width="18.54296875" bestFit="1" customWidth="1"/>
    <col min="3" max="3" width="18.1796875" customWidth="1"/>
    <col min="4" max="4" width="10.453125" customWidth="1"/>
    <col min="5" max="5" width="14.26953125" bestFit="1" customWidth="1"/>
    <col min="6" max="6" width="18.453125" bestFit="1" customWidth="1"/>
    <col min="7" max="7" width="17.81640625" customWidth="1"/>
    <col min="8" max="9" width="18.54296875" bestFit="1" customWidth="1"/>
    <col min="10" max="10" width="19.1796875" bestFit="1" customWidth="1"/>
    <col min="11" max="11" width="16.453125" bestFit="1" customWidth="1"/>
    <col min="12" max="12" width="14.453125" bestFit="1" customWidth="1"/>
    <col min="13" max="13" width="22.54296875" bestFit="1" customWidth="1"/>
    <col min="14" max="14" width="10.54296875" bestFit="1" customWidth="1"/>
    <col min="15" max="15" width="17.54296875" customWidth="1"/>
    <col min="16" max="16" width="13.81640625" customWidth="1"/>
    <col min="17" max="17" width="12.54296875" bestFit="1" customWidth="1"/>
    <col min="18" max="18" width="10.1796875" customWidth="1"/>
    <col min="19" max="19" width="10.453125" bestFit="1" customWidth="1"/>
    <col min="21" max="21" width="11.453125" customWidth="1"/>
    <col min="23" max="23" width="16.1796875" bestFit="1" customWidth="1"/>
    <col min="24" max="24" width="15.81640625" bestFit="1" customWidth="1"/>
    <col min="25" max="25" width="15.453125" bestFit="1" customWidth="1"/>
    <col min="26" max="26" width="16.54296875" bestFit="1" customWidth="1"/>
    <col min="27" max="27" width="16.453125" bestFit="1" customWidth="1"/>
    <col min="28" max="28" width="16" bestFit="1" customWidth="1"/>
    <col min="29" max="29" width="15.453125" customWidth="1"/>
    <col min="30" max="30" width="15" bestFit="1" customWidth="1"/>
    <col min="31" max="31" width="17" bestFit="1" customWidth="1"/>
    <col min="34" max="35" width="18.1796875" bestFit="1" customWidth="1"/>
    <col min="36" max="37" width="18.1796875" customWidth="1"/>
    <col min="38" max="38" width="16.1796875" bestFit="1" customWidth="1"/>
    <col min="39" max="39" width="15.453125" bestFit="1" customWidth="1"/>
    <col min="40" max="40" width="14.453125" bestFit="1" customWidth="1"/>
    <col min="41" max="41" width="25.453125" bestFit="1" customWidth="1"/>
    <col min="42" max="42" width="17.54296875" bestFit="1" customWidth="1"/>
  </cols>
  <sheetData>
    <row r="1" spans="1:45" hidden="1" x14ac:dyDescent="0.35">
      <c r="A1" s="20" t="s">
        <v>30</v>
      </c>
      <c r="AH1" s="102" t="s">
        <v>66</v>
      </c>
      <c r="AI1" s="102"/>
      <c r="AJ1" s="102"/>
      <c r="AK1" s="102"/>
      <c r="AO1" s="50" t="s">
        <v>65</v>
      </c>
      <c r="AR1" t="s">
        <v>64</v>
      </c>
    </row>
    <row r="2" spans="1:45" hidden="1" x14ac:dyDescent="0.35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/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63</v>
      </c>
      <c r="AD2" s="55" t="s">
        <v>17</v>
      </c>
      <c r="AE2" s="19" t="s">
        <v>51</v>
      </c>
      <c r="AH2" s="54" t="s">
        <v>9</v>
      </c>
      <c r="AI2" s="54" t="s">
        <v>8</v>
      </c>
      <c r="AJ2" s="129" t="s">
        <v>62</v>
      </c>
      <c r="AK2" s="54" t="s">
        <v>61</v>
      </c>
      <c r="AO2" s="50" t="s">
        <v>9</v>
      </c>
      <c r="AP2" s="50" t="s">
        <v>8</v>
      </c>
    </row>
    <row r="3" spans="1:45" hidden="1" x14ac:dyDescent="0.35">
      <c r="A3" s="33" t="str">
        <f>'S7'!A3</f>
        <v>KH T11</v>
      </c>
      <c r="B3" s="33"/>
      <c r="C3" s="103">
        <f>H3</f>
        <v>48459973133.623436</v>
      </c>
      <c r="D3" s="51"/>
      <c r="E3" s="53"/>
      <c r="F3" s="52"/>
      <c r="G3" s="51"/>
      <c r="H3" s="76">
        <v>48459973133.623436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D3" s="25"/>
      <c r="AH3" s="36"/>
      <c r="AI3" s="36"/>
      <c r="AJ3" s="36"/>
      <c r="AK3" s="36"/>
    </row>
    <row r="4" spans="1:45" hidden="1" x14ac:dyDescent="0.35">
      <c r="A4" s="33" t="s">
        <v>7</v>
      </c>
      <c r="B4" s="33" t="s">
        <v>16</v>
      </c>
      <c r="C4" s="32"/>
      <c r="D4" s="32">
        <f>C3+E3-F4</f>
        <v>32103197192.312927</v>
      </c>
      <c r="E4" s="31">
        <f t="shared" ref="E4:E21" si="0">IF(H4&gt;0,H4,0)</f>
        <v>0</v>
      </c>
      <c r="F4" s="30">
        <f t="shared" ref="F4:F21" si="1">IF(H4&lt;0,-H4,0)</f>
        <v>16356775941.310511</v>
      </c>
      <c r="G4" s="32"/>
      <c r="H4" s="39">
        <f t="shared" ref="H4:H18" si="2">M4</f>
        <v>-16356775941.310511</v>
      </c>
      <c r="K4" s="44"/>
      <c r="M4" s="43" cm="1">
        <f t="array" ref="M4:M6">TRANSPOSE(AA4:AC4)</f>
        <v>-16356775941.310511</v>
      </c>
      <c r="O4" s="49" t="s">
        <v>15</v>
      </c>
      <c r="P4" s="48">
        <v>4678.78</v>
      </c>
      <c r="Q4" s="48">
        <v>2027.64</v>
      </c>
      <c r="R4" s="48">
        <f t="shared" ref="R4:R18" si="3">Q4-P4</f>
        <v>-2651.1399999999994</v>
      </c>
      <c r="S4" s="47">
        <f t="shared" ref="S4:S18" si="4">R4/P4</f>
        <v>-0.56663061738316389</v>
      </c>
      <c r="T4" s="6"/>
      <c r="U4" s="35"/>
      <c r="V4" s="35"/>
      <c r="W4" s="35"/>
      <c r="X4" s="35"/>
      <c r="Z4" s="46">
        <f>SUM(AA4:AD4)</f>
        <v>-21969182811.19492</v>
      </c>
      <c r="AA4" s="45">
        <f>R4*(P5*U5-P6*10^3)</f>
        <v>-16356775941.310511</v>
      </c>
      <c r="AB4" s="45">
        <f>R5*Q4*U5</f>
        <v>-3557756286.6687527</v>
      </c>
      <c r="AC4" s="45">
        <f>-R6*Q4*10^3</f>
        <v>-5002485940.1875238</v>
      </c>
      <c r="AD4" s="45">
        <f>Q4*Q5*W5</f>
        <v>2947835356.9718676</v>
      </c>
      <c r="AE4" s="1">
        <v>-21969182811.194908</v>
      </c>
      <c r="AF4" s="18">
        <f>Z4-AE4</f>
        <v>0</v>
      </c>
      <c r="AH4" s="34">
        <f>P4*(P5*U5-P6*10^3)</f>
        <v>28866735117.226852</v>
      </c>
      <c r="AI4" s="34">
        <f>Q4*(Q5*U5-Q6*10^3)</f>
        <v>3949716949.0600605</v>
      </c>
      <c r="AJ4" s="34">
        <f>AI4-AH4</f>
        <v>-24917018168.166794</v>
      </c>
      <c r="AK4" s="112">
        <f>AJ4/AH4</f>
        <v>-0.86317410219685775</v>
      </c>
      <c r="AL4" s="18"/>
      <c r="AM4" s="1">
        <f>Q4*(Q5*V5-Q6*10^3)</f>
        <v>6897552306.0319252</v>
      </c>
      <c r="AN4" s="18">
        <f>AM4-AI4-AD4</f>
        <v>0</v>
      </c>
      <c r="AO4" s="1">
        <f>'S7'!AE4</f>
        <v>151371387500</v>
      </c>
      <c r="AP4" s="1">
        <f>'S7'!AF4</f>
        <v>62041968460.060097</v>
      </c>
      <c r="AR4" s="6">
        <f>AH4/AO4</f>
        <v>0.1907013973643259</v>
      </c>
      <c r="AS4" s="6">
        <f>AI4/AP4</f>
        <v>6.3662018583480556E-2</v>
      </c>
    </row>
    <row r="5" spans="1:45" hidden="1" x14ac:dyDescent="0.35">
      <c r="A5" s="33"/>
      <c r="B5" s="33" t="s">
        <v>14</v>
      </c>
      <c r="C5" s="32"/>
      <c r="D5" s="32">
        <f t="shared" ref="D5:D21" si="5">D4+E4-F5</f>
        <v>28545440905.644173</v>
      </c>
      <c r="E5" s="31">
        <f t="shared" si="0"/>
        <v>0</v>
      </c>
      <c r="F5" s="30">
        <f t="shared" si="1"/>
        <v>3557756286.6687527</v>
      </c>
      <c r="G5" s="32"/>
      <c r="H5" s="39">
        <f>M5</f>
        <v>-3557756286.6687527</v>
      </c>
      <c r="I5" s="93">
        <f>H5*(1-13.11%)</f>
        <v>-3091334437.4864793</v>
      </c>
      <c r="K5" s="44"/>
      <c r="L5" s="18"/>
      <c r="M5" s="43">
        <v>-3557756286.6687527</v>
      </c>
      <c r="O5" s="33" t="s">
        <v>13</v>
      </c>
      <c r="P5" s="42">
        <v>1294.1098961695143</v>
      </c>
      <c r="Q5" s="42">
        <v>1223.9247294403365</v>
      </c>
      <c r="R5" s="42">
        <f t="shared" si="3"/>
        <v>-70.185166729177809</v>
      </c>
      <c r="S5" s="41">
        <f t="shared" si="4"/>
        <v>-5.4234317299420694E-2</v>
      </c>
      <c r="U5" s="40">
        <v>25000</v>
      </c>
      <c r="V5" s="40">
        <v>26187.839228082179</v>
      </c>
      <c r="W5" s="27">
        <f>V5-U5</f>
        <v>1187.839228082179</v>
      </c>
      <c r="X5" s="26">
        <f>W5/U5</f>
        <v>4.7513569123287164E-2</v>
      </c>
      <c r="Z5" s="25"/>
      <c r="AA5" s="25"/>
      <c r="AB5" s="25"/>
      <c r="AC5" s="25"/>
      <c r="AD5" s="25"/>
      <c r="AH5" s="36"/>
      <c r="AI5" s="36"/>
      <c r="AJ5" s="36"/>
      <c r="AK5" s="36"/>
    </row>
    <row r="6" spans="1:45" hidden="1" x14ac:dyDescent="0.35">
      <c r="A6" s="33"/>
      <c r="B6" s="33" t="s">
        <v>60</v>
      </c>
      <c r="C6" s="32"/>
      <c r="D6" s="32">
        <f t="shared" si="5"/>
        <v>23542954965.45665</v>
      </c>
      <c r="E6" s="31">
        <f t="shared" si="0"/>
        <v>0</v>
      </c>
      <c r="F6" s="30">
        <f t="shared" si="1"/>
        <v>5002485940.1875238</v>
      </c>
      <c r="G6" s="32"/>
      <c r="H6" s="39">
        <f t="shared" si="2"/>
        <v>-5002485940.1875238</v>
      </c>
      <c r="I6" s="93">
        <f>H6*(1-13.11%)</f>
        <v>-4346660033.4289398</v>
      </c>
      <c r="K6" s="44"/>
      <c r="L6" s="18"/>
      <c r="M6" s="43">
        <v>-5002485940.1875238</v>
      </c>
      <c r="O6" s="33" t="s">
        <v>59</v>
      </c>
      <c r="P6" s="114">
        <v>26183.033265674632</v>
      </c>
      <c r="Q6" s="114">
        <v>28650.180264248109</v>
      </c>
      <c r="R6" s="114">
        <f t="shared" si="3"/>
        <v>2467.1469985734766</v>
      </c>
      <c r="S6" s="41">
        <f t="shared" si="4"/>
        <v>9.4226935952751154E-2</v>
      </c>
      <c r="U6" s="40"/>
      <c r="V6" s="40"/>
      <c r="W6" s="27"/>
      <c r="X6" s="26"/>
      <c r="Z6" s="25"/>
      <c r="AA6" s="25"/>
      <c r="AB6" s="25"/>
      <c r="AC6" s="25"/>
      <c r="AD6" s="25"/>
      <c r="AH6" s="36"/>
      <c r="AI6" s="36"/>
      <c r="AJ6" s="36"/>
      <c r="AK6" s="36"/>
    </row>
    <row r="7" spans="1:45" hidden="1" x14ac:dyDescent="0.35">
      <c r="A7" s="128" t="s">
        <v>6</v>
      </c>
      <c r="B7" s="128" t="s">
        <v>16</v>
      </c>
      <c r="C7" s="125"/>
      <c r="D7" s="125">
        <f t="shared" si="5"/>
        <v>19768024997.966209</v>
      </c>
      <c r="E7" s="127">
        <f t="shared" si="0"/>
        <v>0</v>
      </c>
      <c r="F7" s="126">
        <f t="shared" si="1"/>
        <v>3774929967.4904394</v>
      </c>
      <c r="G7" s="125"/>
      <c r="H7" s="124">
        <f t="shared" si="2"/>
        <v>-3774929967.4904394</v>
      </c>
      <c r="K7" s="44"/>
      <c r="M7" s="43" cm="1">
        <f t="array" ref="M7:M9">TRANSPOSE(AA7:AC7)</f>
        <v>-3774929967.4904394</v>
      </c>
      <c r="O7" s="49" t="s">
        <v>15</v>
      </c>
      <c r="P7" s="48">
        <v>927</v>
      </c>
      <c r="Q7" s="48">
        <v>268.72500000000002</v>
      </c>
      <c r="R7" s="48">
        <f t="shared" si="3"/>
        <v>-658.27499999999998</v>
      </c>
      <c r="S7" s="47">
        <f t="shared" si="4"/>
        <v>-0.71011326860841417</v>
      </c>
      <c r="U7" s="35"/>
      <c r="V7" s="35"/>
      <c r="W7" s="35"/>
      <c r="X7" s="35"/>
      <c r="Z7" s="46">
        <f>SUM(AA7:AD7)</f>
        <v>-5264094496.5763721</v>
      </c>
      <c r="AA7" s="45">
        <f>R7*(P8*U8-P9*10^3)</f>
        <v>-3774929967.4904394</v>
      </c>
      <c r="AB7" s="45">
        <f>R8*Q7*U8</f>
        <v>-2197261451.2703648</v>
      </c>
      <c r="AC7" s="45">
        <f>-R9*Q7*10^3</f>
        <v>384768001.03380865</v>
      </c>
      <c r="AD7" s="45">
        <f>Q7*Q8*W8</f>
        <v>323328921.15062314</v>
      </c>
      <c r="AE7" s="1">
        <v>-5264094496.576375</v>
      </c>
      <c r="AF7" s="18">
        <f>Z7-AE7</f>
        <v>0</v>
      </c>
      <c r="AH7" s="34">
        <f>P7*(P8*U8-P9*10^3)</f>
        <v>5315954699.5763741</v>
      </c>
      <c r="AI7" s="34">
        <f>Q7*(Q8*U8-Q9*10^3)</f>
        <v>-271468718.150621</v>
      </c>
      <c r="AJ7" s="34">
        <f>AI7-AH7</f>
        <v>-5587423417.7269955</v>
      </c>
      <c r="AK7" s="112">
        <f>AJ7/AH7</f>
        <v>-1.0510667854585469</v>
      </c>
      <c r="AL7" s="18"/>
      <c r="AM7" s="1">
        <f>Q7*(Q8*V8-Q9*10^3)</f>
        <v>51860203.000001557</v>
      </c>
      <c r="AN7" s="18">
        <f>AM7-AI7-AD7</f>
        <v>-5.9604644775390625E-7</v>
      </c>
      <c r="AO7" s="1">
        <f>'S7'!AE6</f>
        <v>30984250000</v>
      </c>
      <c r="AP7" s="1">
        <f>'S7'!AF6</f>
        <v>6784661505.8493767</v>
      </c>
      <c r="AR7" s="6">
        <f>AH7/AO7</f>
        <v>0.17156957807842288</v>
      </c>
      <c r="AS7" s="6">
        <f>AI7/AP7</f>
        <v>-4.0012124100306995E-2</v>
      </c>
    </row>
    <row r="8" spans="1:45" hidden="1" x14ac:dyDescent="0.35">
      <c r="A8" s="33"/>
      <c r="B8" s="33" t="s">
        <v>14</v>
      </c>
      <c r="C8" s="121"/>
      <c r="D8" s="121">
        <f t="shared" si="5"/>
        <v>17570763546.695847</v>
      </c>
      <c r="E8" s="123">
        <f t="shared" si="0"/>
        <v>0</v>
      </c>
      <c r="F8" s="122">
        <f t="shared" si="1"/>
        <v>2197261451.2703648</v>
      </c>
      <c r="G8" s="121"/>
      <c r="H8" s="120">
        <f t="shared" si="2"/>
        <v>-2197261451.2703648</v>
      </c>
      <c r="K8" s="44"/>
      <c r="L8" s="18"/>
      <c r="M8" s="43">
        <v>-2197261451.2703648</v>
      </c>
      <c r="O8" s="33" t="s">
        <v>13</v>
      </c>
      <c r="P8" s="42">
        <v>1336.9687162891046</v>
      </c>
      <c r="Q8" s="42">
        <v>1009.9040291523864</v>
      </c>
      <c r="R8" s="42">
        <f t="shared" si="3"/>
        <v>-327.06468713671813</v>
      </c>
      <c r="S8" s="41">
        <f t="shared" si="4"/>
        <v>-0.24463151841317582</v>
      </c>
      <c r="U8" s="40">
        <v>25000</v>
      </c>
      <c r="V8" s="40">
        <v>26191.396655794346</v>
      </c>
      <c r="W8" s="27">
        <f>V8-U8</f>
        <v>1191.3966557943459</v>
      </c>
      <c r="X8" s="26">
        <f>W8/U8</f>
        <v>4.7655866231773834E-2</v>
      </c>
      <c r="Z8" s="25"/>
      <c r="AA8" s="25"/>
      <c r="AB8" s="25"/>
      <c r="AC8" s="25"/>
      <c r="AD8" s="25"/>
      <c r="AH8" s="36"/>
      <c r="AI8" s="36"/>
      <c r="AJ8" s="36"/>
      <c r="AK8" s="36"/>
    </row>
    <row r="9" spans="1:45" hidden="1" x14ac:dyDescent="0.35">
      <c r="A9" s="119"/>
      <c r="B9" s="119" t="s">
        <v>60</v>
      </c>
      <c r="C9" s="116"/>
      <c r="D9" s="116">
        <f t="shared" si="5"/>
        <v>17570763546.695847</v>
      </c>
      <c r="E9" s="118">
        <f t="shared" si="0"/>
        <v>384768001.03380865</v>
      </c>
      <c r="F9" s="117">
        <f t="shared" si="1"/>
        <v>0</v>
      </c>
      <c r="G9" s="116"/>
      <c r="H9" s="115">
        <f t="shared" si="2"/>
        <v>384768001.03380865</v>
      </c>
      <c r="K9" s="44"/>
      <c r="L9" s="18"/>
      <c r="M9" s="43">
        <v>384768001.03380865</v>
      </c>
      <c r="O9" s="33" t="s">
        <v>59</v>
      </c>
      <c r="P9" s="114">
        <v>27689.638943283306</v>
      </c>
      <c r="Q9" s="114">
        <v>26257.810862405797</v>
      </c>
      <c r="R9" s="114">
        <f t="shared" si="3"/>
        <v>-1431.8280808775089</v>
      </c>
      <c r="S9" s="41">
        <f t="shared" si="4"/>
        <v>-5.1709886279496915E-2</v>
      </c>
      <c r="U9" s="40"/>
      <c r="V9" s="40"/>
      <c r="W9" s="27"/>
      <c r="X9" s="26"/>
      <c r="Z9" s="25"/>
      <c r="AA9" s="25"/>
      <c r="AB9" s="25"/>
      <c r="AC9" s="25"/>
      <c r="AD9" s="25"/>
      <c r="AH9" s="36"/>
      <c r="AI9" s="36"/>
      <c r="AJ9" s="36"/>
      <c r="AK9" s="36"/>
    </row>
    <row r="10" spans="1:45" hidden="1" x14ac:dyDescent="0.35">
      <c r="A10" s="33" t="s">
        <v>5</v>
      </c>
      <c r="B10" s="33" t="s">
        <v>16</v>
      </c>
      <c r="C10" s="32"/>
      <c r="D10" s="32">
        <f t="shared" si="5"/>
        <v>17955531547.729656</v>
      </c>
      <c r="E10" s="31">
        <f t="shared" si="0"/>
        <v>163911341.71177882</v>
      </c>
      <c r="F10" s="30">
        <f t="shared" si="1"/>
        <v>0</v>
      </c>
      <c r="G10" s="32"/>
      <c r="H10" s="39">
        <f t="shared" si="2"/>
        <v>163911341.71177882</v>
      </c>
      <c r="K10" s="44"/>
      <c r="M10" s="43" cm="1">
        <f t="array" ref="M10:M12">TRANSPOSE(AA10:AC10)</f>
        <v>163911341.71177882</v>
      </c>
      <c r="O10" s="49" t="s">
        <v>15</v>
      </c>
      <c r="P10" s="48">
        <v>155.75</v>
      </c>
      <c r="Q10" s="48">
        <v>186.75</v>
      </c>
      <c r="R10" s="48">
        <f t="shared" si="3"/>
        <v>31</v>
      </c>
      <c r="S10" s="47">
        <f t="shared" si="4"/>
        <v>0.19903691813804172</v>
      </c>
      <c r="U10" s="35"/>
      <c r="V10" s="35"/>
      <c r="W10" s="35"/>
      <c r="X10" s="35"/>
      <c r="Z10" s="46">
        <f>SUM(AA10:AD10)</f>
        <v>-2391326647.7317281</v>
      </c>
      <c r="AA10" s="45">
        <f>R10*(P11*U11-P12*10^3)</f>
        <v>163911341.71177882</v>
      </c>
      <c r="AB10" s="45">
        <f>R11*Q10*U11</f>
        <v>-922650802.10231841</v>
      </c>
      <c r="AC10" s="45">
        <f>-R12*Q10*10^3</f>
        <v>-1773698798.6231725</v>
      </c>
      <c r="AD10" s="45">
        <f>Q10*Q11*W11</f>
        <v>141111611.28198406</v>
      </c>
      <c r="AE10" s="1">
        <v>-2391326647.7317286</v>
      </c>
      <c r="AF10" s="18">
        <f>Z10-AE10</f>
        <v>0</v>
      </c>
      <c r="AH10" s="34">
        <f>P10*(P11*U11-P12*10^3)</f>
        <v>823522305.53579199</v>
      </c>
      <c r="AI10" s="34">
        <f>Q10*(Q11*U11-Q12*10^3)</f>
        <v>-1708915953.4779201</v>
      </c>
      <c r="AJ10" s="34">
        <f>AI10-AH10</f>
        <v>-2532438259.0137119</v>
      </c>
      <c r="AK10" s="112">
        <f>AJ10/AH10</f>
        <v>-3.0751301355050509</v>
      </c>
      <c r="AL10" s="18"/>
      <c r="AM10" s="1">
        <f>Q10*(Q11*V11-Q12*10^3)</f>
        <v>-1567804342.195936</v>
      </c>
      <c r="AN10" s="18">
        <f>AM10-AI10-AD10</f>
        <v>0</v>
      </c>
      <c r="AO10" s="1">
        <f>'S7'!AE8</f>
        <v>3245562500</v>
      </c>
      <c r="AP10" s="1">
        <f>'S7'!AF8</f>
        <v>2968898455.5220795</v>
      </c>
      <c r="AR10" s="6">
        <f>AH10/AO10</f>
        <v>0.25373792849029775</v>
      </c>
      <c r="AS10" s="6">
        <f>AI10/AP10</f>
        <v>-0.57560606368984346</v>
      </c>
    </row>
    <row r="11" spans="1:45" hidden="1" x14ac:dyDescent="0.35">
      <c r="A11" s="33"/>
      <c r="B11" s="33" t="s">
        <v>14</v>
      </c>
      <c r="C11" s="32"/>
      <c r="D11" s="32">
        <f t="shared" si="5"/>
        <v>17196792087.339119</v>
      </c>
      <c r="E11" s="31">
        <f t="shared" si="0"/>
        <v>0</v>
      </c>
      <c r="F11" s="30">
        <f t="shared" si="1"/>
        <v>922650802.10231841</v>
      </c>
      <c r="G11" s="32"/>
      <c r="H11" s="39">
        <f t="shared" si="2"/>
        <v>-922650802.10231841</v>
      </c>
      <c r="K11" s="44"/>
      <c r="L11" s="18"/>
      <c r="M11" s="43">
        <v>-922650802.10231841</v>
      </c>
      <c r="O11" s="33" t="s">
        <v>13</v>
      </c>
      <c r="P11" s="42">
        <v>833.53130016051364</v>
      </c>
      <c r="Q11" s="42">
        <v>635.90863839830354</v>
      </c>
      <c r="R11" s="42">
        <f t="shared" si="3"/>
        <v>-197.6226617622101</v>
      </c>
      <c r="S11" s="41">
        <f t="shared" si="4"/>
        <v>-0.23709087076172639</v>
      </c>
      <c r="U11" s="40">
        <v>25000</v>
      </c>
      <c r="V11" s="40">
        <v>26188.248885874826</v>
      </c>
      <c r="W11" s="27">
        <f>V11-U11</f>
        <v>1188.2488858748256</v>
      </c>
      <c r="X11" s="26">
        <f>W11/U11</f>
        <v>4.7529955434993026E-2</v>
      </c>
      <c r="Z11" s="25"/>
      <c r="AA11" s="25"/>
      <c r="AB11" s="25"/>
      <c r="AC11" s="25"/>
      <c r="AD11" s="25"/>
      <c r="AH11" s="36"/>
      <c r="AI11" s="36"/>
      <c r="AJ11" s="36"/>
      <c r="AK11" s="36"/>
    </row>
    <row r="12" spans="1:45" hidden="1" x14ac:dyDescent="0.35">
      <c r="A12" s="33"/>
      <c r="B12" s="33" t="s">
        <v>60</v>
      </c>
      <c r="C12" s="32"/>
      <c r="D12" s="32">
        <f t="shared" si="5"/>
        <v>15423093288.715946</v>
      </c>
      <c r="E12" s="31">
        <f t="shared" si="0"/>
        <v>0</v>
      </c>
      <c r="F12" s="30">
        <f t="shared" si="1"/>
        <v>1773698798.6231725</v>
      </c>
      <c r="G12" s="32"/>
      <c r="H12" s="39">
        <f t="shared" si="2"/>
        <v>-1773698798.6231725</v>
      </c>
      <c r="K12" s="44"/>
      <c r="L12" s="18"/>
      <c r="M12" s="43">
        <v>-1773698798.6231725</v>
      </c>
      <c r="O12" s="33" t="s">
        <v>59</v>
      </c>
      <c r="P12" s="114">
        <v>15550.819868149008</v>
      </c>
      <c r="Q12" s="114">
        <v>25048.537665327978</v>
      </c>
      <c r="R12" s="114">
        <f t="shared" si="3"/>
        <v>9497.7177971789697</v>
      </c>
      <c r="S12" s="41">
        <f t="shared" si="4"/>
        <v>0.61075350867075984</v>
      </c>
      <c r="U12" s="40"/>
      <c r="V12" s="40"/>
      <c r="W12" s="27"/>
      <c r="X12" s="26"/>
      <c r="Z12" s="25"/>
      <c r="AA12" s="25"/>
      <c r="AB12" s="25"/>
      <c r="AC12" s="25"/>
      <c r="AD12" s="25"/>
      <c r="AH12" s="36"/>
      <c r="AI12" s="36"/>
      <c r="AJ12" s="36"/>
      <c r="AK12" s="36"/>
    </row>
    <row r="13" spans="1:45" hidden="1" x14ac:dyDescent="0.35">
      <c r="A13" s="128" t="s">
        <v>4</v>
      </c>
      <c r="B13" s="128" t="s">
        <v>16</v>
      </c>
      <c r="C13" s="125"/>
      <c r="D13" s="125">
        <f t="shared" si="5"/>
        <v>15423093288.715946</v>
      </c>
      <c r="E13" s="127">
        <f t="shared" si="0"/>
        <v>455435768.40818685</v>
      </c>
      <c r="F13" s="126">
        <f t="shared" si="1"/>
        <v>0</v>
      </c>
      <c r="G13" s="125"/>
      <c r="H13" s="124">
        <f t="shared" si="2"/>
        <v>455435768.40818685</v>
      </c>
      <c r="K13" s="44"/>
      <c r="M13" s="43" cm="1">
        <f t="array" ref="M13:M15">TRANSPOSE(AA13:AC13)</f>
        <v>455435768.40818685</v>
      </c>
      <c r="O13" s="49" t="s">
        <v>15</v>
      </c>
      <c r="P13" s="48">
        <v>107.44</v>
      </c>
      <c r="Q13" s="48">
        <v>0</v>
      </c>
      <c r="R13" s="48">
        <f t="shared" si="3"/>
        <v>-107.44</v>
      </c>
      <c r="S13" s="47">
        <f t="shared" si="4"/>
        <v>-1</v>
      </c>
      <c r="T13" s="50"/>
      <c r="U13" s="35"/>
      <c r="V13" s="35"/>
      <c r="W13" s="35"/>
      <c r="X13" s="35"/>
      <c r="Z13" s="46">
        <f>SUM(AA13:AD13)</f>
        <v>455435768.40818685</v>
      </c>
      <c r="AA13" s="45">
        <f>R13*(P14*U14-P15*10^3)</f>
        <v>455435768.40818685</v>
      </c>
      <c r="AB13" s="45">
        <f>R14*Q13*U14</f>
        <v>0</v>
      </c>
      <c r="AC13" s="45">
        <f>-R15*Q13*10^3</f>
        <v>0</v>
      </c>
      <c r="AD13" s="45">
        <f>Q13*Q14*W14</f>
        <v>0</v>
      </c>
      <c r="AE13" s="1">
        <v>455435768.40818632</v>
      </c>
      <c r="AF13" s="18">
        <f>Z13-AE13</f>
        <v>5.3644180297851563E-7</v>
      </c>
      <c r="AH13" s="34">
        <f>P13*(P14*U14-P15*10^3)</f>
        <v>-455435768.40818685</v>
      </c>
      <c r="AI13" s="34">
        <f>Q13*(Q14*U14-Q15*10^3)</f>
        <v>0</v>
      </c>
      <c r="AJ13" s="34">
        <f>AI13-AH13</f>
        <v>455435768.40818685</v>
      </c>
      <c r="AK13" s="112">
        <f>AJ13/AH13</f>
        <v>-1</v>
      </c>
      <c r="AL13" s="18"/>
      <c r="AM13" s="1">
        <f>Q13*(Q14*V14-Q15*10^3)</f>
        <v>0</v>
      </c>
      <c r="AN13" s="18">
        <f>AM13-AI13-AD13</f>
        <v>0</v>
      </c>
      <c r="AO13" s="1">
        <f>'S7'!AE10</f>
        <v>2376624999.9999995</v>
      </c>
      <c r="AP13" s="1">
        <f>'S7'!AF10</f>
        <v>0</v>
      </c>
      <c r="AR13" s="6">
        <f>AH13/AO13</f>
        <v>-0.19163131264216565</v>
      </c>
      <c r="AS13" s="6" t="e">
        <f>AI13/AP13</f>
        <v>#DIV/0!</v>
      </c>
    </row>
    <row r="14" spans="1:45" hidden="1" x14ac:dyDescent="0.35">
      <c r="A14" s="33"/>
      <c r="B14" s="33" t="s">
        <v>14</v>
      </c>
      <c r="C14" s="121"/>
      <c r="D14" s="121">
        <f t="shared" si="5"/>
        <v>15878529057.124132</v>
      </c>
      <c r="E14" s="123">
        <f t="shared" si="0"/>
        <v>0</v>
      </c>
      <c r="F14" s="122">
        <f t="shared" si="1"/>
        <v>0</v>
      </c>
      <c r="G14" s="121"/>
      <c r="H14" s="120">
        <f t="shared" si="2"/>
        <v>0</v>
      </c>
      <c r="K14" s="44"/>
      <c r="L14" s="18"/>
      <c r="M14" s="43">
        <v>0</v>
      </c>
      <c r="O14" s="33" t="s">
        <v>13</v>
      </c>
      <c r="P14" s="42">
        <v>884.81943410275494</v>
      </c>
      <c r="Q14" s="42">
        <v>0</v>
      </c>
      <c r="R14" s="42">
        <f t="shared" si="3"/>
        <v>-884.81943410275494</v>
      </c>
      <c r="S14" s="41">
        <f t="shared" si="4"/>
        <v>-1</v>
      </c>
      <c r="U14" s="40">
        <v>25000</v>
      </c>
      <c r="V14" s="40">
        <v>0</v>
      </c>
      <c r="W14" s="27">
        <f>V14-U14</f>
        <v>-25000</v>
      </c>
      <c r="X14" s="26">
        <f>W14/U14</f>
        <v>-1</v>
      </c>
      <c r="Z14" s="25"/>
      <c r="AA14" s="25"/>
      <c r="AB14" s="25"/>
      <c r="AC14" s="25"/>
      <c r="AD14" s="25"/>
      <c r="AH14" s="36"/>
      <c r="AI14" s="36"/>
      <c r="AJ14" s="36"/>
      <c r="AK14" s="36"/>
    </row>
    <row r="15" spans="1:45" hidden="1" x14ac:dyDescent="0.35">
      <c r="A15" s="119"/>
      <c r="B15" s="119" t="s">
        <v>60</v>
      </c>
      <c r="C15" s="116"/>
      <c r="D15" s="116">
        <f t="shared" si="5"/>
        <v>15878529057.124132</v>
      </c>
      <c r="E15" s="118">
        <f t="shared" si="0"/>
        <v>0</v>
      </c>
      <c r="F15" s="117">
        <f t="shared" si="1"/>
        <v>0</v>
      </c>
      <c r="G15" s="116"/>
      <c r="H15" s="115">
        <f t="shared" si="2"/>
        <v>0</v>
      </c>
      <c r="K15" s="44"/>
      <c r="L15" s="18"/>
      <c r="M15" s="43">
        <v>0</v>
      </c>
      <c r="O15" s="33" t="s">
        <v>59</v>
      </c>
      <c r="P15" s="114">
        <v>26359.463592779099</v>
      </c>
      <c r="Q15" s="114">
        <v>0</v>
      </c>
      <c r="R15" s="114">
        <f t="shared" si="3"/>
        <v>-26359.463592779099</v>
      </c>
      <c r="S15" s="41">
        <f t="shared" si="4"/>
        <v>-1</v>
      </c>
      <c r="U15" s="40"/>
      <c r="V15" s="40"/>
      <c r="W15" s="27"/>
      <c r="X15" s="26"/>
      <c r="Z15" s="25"/>
      <c r="AA15" s="25"/>
      <c r="AB15" s="25"/>
      <c r="AC15" s="25"/>
      <c r="AD15" s="25"/>
      <c r="AH15" s="36"/>
      <c r="AI15" s="36"/>
      <c r="AJ15" s="36"/>
      <c r="AK15" s="36"/>
    </row>
    <row r="16" spans="1:45" hidden="1" x14ac:dyDescent="0.35">
      <c r="A16" s="128" t="s">
        <v>3</v>
      </c>
      <c r="B16" s="128" t="s">
        <v>16</v>
      </c>
      <c r="C16" s="125"/>
      <c r="D16" s="125">
        <f t="shared" si="5"/>
        <v>15878529057.124132</v>
      </c>
      <c r="E16" s="127">
        <f t="shared" si="0"/>
        <v>11327183.663465774</v>
      </c>
      <c r="F16" s="126">
        <f t="shared" si="1"/>
        <v>0</v>
      </c>
      <c r="G16" s="125"/>
      <c r="H16" s="124">
        <f t="shared" si="2"/>
        <v>11327183.663465774</v>
      </c>
      <c r="K16" s="44"/>
      <c r="M16" s="43" cm="1">
        <f t="array" ref="M16:M18">TRANSPOSE(AA16:AC16)</f>
        <v>11327183.663465774</v>
      </c>
      <c r="O16" s="49" t="s">
        <v>15</v>
      </c>
      <c r="P16" s="48">
        <v>100</v>
      </c>
      <c r="Q16" s="48">
        <v>27.3</v>
      </c>
      <c r="R16" s="48">
        <f t="shared" si="3"/>
        <v>-72.7</v>
      </c>
      <c r="S16" s="47">
        <f t="shared" si="4"/>
        <v>-0.72699999999999998</v>
      </c>
      <c r="U16" s="35"/>
      <c r="V16" s="35"/>
      <c r="W16" s="35"/>
      <c r="X16" s="35"/>
      <c r="Z16" s="46">
        <f>SUM(AA16:AD16)</f>
        <v>-325230570.52861345</v>
      </c>
      <c r="AA16" s="45">
        <f>R16*(P17*U17-P18*10^3)</f>
        <v>11327183.663465774</v>
      </c>
      <c r="AB16" s="45">
        <f>R17*Q16*U17</f>
        <v>-320159832.976565</v>
      </c>
      <c r="AC16" s="45">
        <f>-R18*Q16*10^3</f>
        <v>-36886578.356085069</v>
      </c>
      <c r="AD16" s="45">
        <f>Q16*Q17*W17</f>
        <v>20488657.140570827</v>
      </c>
      <c r="AE16" s="1">
        <v>-325230570.52861351</v>
      </c>
      <c r="AF16" s="18">
        <f>Z16-AE16</f>
        <v>0</v>
      </c>
      <c r="AH16" s="34">
        <f>P16*(P17*U17-P18*10^3)</f>
        <v>-15580720.307380706</v>
      </c>
      <c r="AI16" s="34">
        <f>Q16*(Q17*U17-Q18*10^3)</f>
        <v>-361299947.97656506</v>
      </c>
      <c r="AJ16" s="34">
        <f>AI16-AH16</f>
        <v>-345719227.66918433</v>
      </c>
      <c r="AK16" s="112">
        <f>AJ16/AH16</f>
        <v>22.188911735063655</v>
      </c>
      <c r="AL16" s="18"/>
      <c r="AM16" s="1">
        <f>Q16*(Q17*V17-Q18*10^3)</f>
        <v>-340811290.83599424</v>
      </c>
      <c r="AN16" s="18">
        <f>AM16-AI16-AD16</f>
        <v>0</v>
      </c>
      <c r="AO16" s="1">
        <f>'S7'!AE12</f>
        <v>2750000000</v>
      </c>
      <c r="AP16" s="1">
        <f>'S7'!AF12</f>
        <v>430590167.02343506</v>
      </c>
      <c r="AR16" s="6">
        <f>AH16/AO16</f>
        <v>-5.6657164754111656E-3</v>
      </c>
      <c r="AS16" s="6">
        <f>AI16/AP16</f>
        <v>-0.83908081430224846</v>
      </c>
    </row>
    <row r="17" spans="1:45" hidden="1" x14ac:dyDescent="0.35">
      <c r="A17" s="33"/>
      <c r="B17" s="33" t="s">
        <v>14</v>
      </c>
      <c r="C17" s="121"/>
      <c r="D17" s="121">
        <f t="shared" si="5"/>
        <v>15569696407.811033</v>
      </c>
      <c r="E17" s="123">
        <f t="shared" si="0"/>
        <v>0</v>
      </c>
      <c r="F17" s="122">
        <f t="shared" si="1"/>
        <v>320159832.976565</v>
      </c>
      <c r="G17" s="121"/>
      <c r="H17" s="120">
        <f t="shared" si="2"/>
        <v>-320159832.976565</v>
      </c>
      <c r="K17" s="44"/>
      <c r="L17" s="18"/>
      <c r="M17" s="43">
        <v>-320159832.976565</v>
      </c>
      <c r="O17" s="33" t="s">
        <v>13</v>
      </c>
      <c r="P17" s="42">
        <v>1100</v>
      </c>
      <c r="Q17" s="42">
        <v>630.9013436240806</v>
      </c>
      <c r="R17" s="42">
        <f t="shared" si="3"/>
        <v>-469.0986563759194</v>
      </c>
      <c r="S17" s="41">
        <f t="shared" si="4"/>
        <v>-0.42645332397810853</v>
      </c>
      <c r="U17" s="40">
        <v>25000</v>
      </c>
      <c r="V17" s="40">
        <v>26189.568336070231</v>
      </c>
      <c r="W17" s="27">
        <f>V17-U17</f>
        <v>1189.5683360702315</v>
      </c>
      <c r="X17" s="26">
        <f>W17/U17</f>
        <v>4.7582733442809257E-2</v>
      </c>
      <c r="Z17" s="25"/>
      <c r="AA17" s="25"/>
      <c r="AB17" s="25"/>
      <c r="AC17" s="25"/>
      <c r="AD17" s="25"/>
      <c r="AH17" s="36"/>
      <c r="AI17" s="36"/>
      <c r="AJ17" s="36"/>
      <c r="AK17" s="36"/>
    </row>
    <row r="18" spans="1:45" hidden="1" x14ac:dyDescent="0.35">
      <c r="A18" s="119"/>
      <c r="B18" s="119" t="s">
        <v>60</v>
      </c>
      <c r="C18" s="116"/>
      <c r="D18" s="116">
        <f t="shared" si="5"/>
        <v>15532809829.454948</v>
      </c>
      <c r="E18" s="118">
        <f t="shared" si="0"/>
        <v>0</v>
      </c>
      <c r="F18" s="117">
        <f t="shared" si="1"/>
        <v>36886578.356085069</v>
      </c>
      <c r="G18" s="116"/>
      <c r="H18" s="115">
        <f t="shared" si="2"/>
        <v>-36886578.356085069</v>
      </c>
      <c r="K18" s="44"/>
      <c r="L18" s="18"/>
      <c r="M18" s="43">
        <v>-36886578.356085069</v>
      </c>
      <c r="O18" s="33" t="s">
        <v>59</v>
      </c>
      <c r="P18" s="114">
        <v>27655.807203073808</v>
      </c>
      <c r="Q18" s="114">
        <v>29006.96391941392</v>
      </c>
      <c r="R18" s="114">
        <f t="shared" si="3"/>
        <v>1351.1567163401123</v>
      </c>
      <c r="S18" s="41">
        <f t="shared" si="4"/>
        <v>4.8856166316850004E-2</v>
      </c>
      <c r="U18" s="40"/>
      <c r="V18" s="40"/>
      <c r="W18" s="27"/>
      <c r="X18" s="26"/>
      <c r="Z18" s="25"/>
      <c r="AA18" s="25"/>
      <c r="AB18" s="25"/>
      <c r="AC18" s="25"/>
      <c r="AD18" s="25"/>
      <c r="AH18" s="36"/>
      <c r="AI18" s="36"/>
      <c r="AJ18" s="36"/>
      <c r="AK18" s="36"/>
    </row>
    <row r="19" spans="1:45" hidden="1" x14ac:dyDescent="0.35">
      <c r="A19" s="33" t="s">
        <v>12</v>
      </c>
      <c r="B19" s="33"/>
      <c r="C19" s="32"/>
      <c r="D19" s="32">
        <f t="shared" si="5"/>
        <v>15532809829.454948</v>
      </c>
      <c r="E19" s="31">
        <f t="shared" si="0"/>
        <v>3432764546.5450454</v>
      </c>
      <c r="F19" s="30">
        <f t="shared" si="1"/>
        <v>0</v>
      </c>
      <c r="G19" s="32"/>
      <c r="H19" s="39">
        <f>M19</f>
        <v>3432764546.5450454</v>
      </c>
      <c r="K19" s="38"/>
      <c r="M19" s="37">
        <f>AD4+AD7+AD10+AD13+AD16</f>
        <v>3432764546.5450454</v>
      </c>
      <c r="U19" s="35"/>
      <c r="V19" s="35"/>
      <c r="W19" s="35"/>
      <c r="X19" s="35"/>
      <c r="Z19" s="25"/>
      <c r="AA19" s="25"/>
      <c r="AB19" s="25"/>
      <c r="AC19" s="25"/>
      <c r="AD19" s="25"/>
      <c r="AH19" s="36"/>
      <c r="AI19" s="36"/>
      <c r="AJ19" s="36"/>
      <c r="AK19" s="36"/>
    </row>
    <row r="20" spans="1:45" hidden="1" x14ac:dyDescent="0.35">
      <c r="A20" s="33" t="s">
        <v>1</v>
      </c>
      <c r="B20" s="33"/>
      <c r="C20" s="32"/>
      <c r="D20" s="32">
        <f t="shared" si="5"/>
        <v>17652558878.000004</v>
      </c>
      <c r="E20" s="31">
        <f t="shared" si="0"/>
        <v>0</v>
      </c>
      <c r="F20" s="30">
        <f t="shared" si="1"/>
        <v>1313015497.9999886</v>
      </c>
      <c r="G20" s="32"/>
      <c r="H20" s="98">
        <f>H22-SUM(H3:H19,H21)</f>
        <v>-1313015497.9999886</v>
      </c>
      <c r="I20" s="113"/>
      <c r="U20" s="35"/>
      <c r="V20" s="35"/>
      <c r="W20" s="35"/>
      <c r="X20" s="35"/>
      <c r="Z20" s="25"/>
      <c r="AA20" s="25"/>
      <c r="AB20" s="25"/>
      <c r="AC20" s="25"/>
      <c r="AD20" s="25"/>
      <c r="AH20" s="34">
        <f>AH22-SUM(AH3:AH19)</f>
        <v>13924777499.999985</v>
      </c>
      <c r="AI20" s="34">
        <f>AI22-SUM(AI3:AI19)</f>
        <v>2366483081.999958</v>
      </c>
      <c r="AJ20" s="34">
        <f>AI20-AH20</f>
        <v>-11558294418.000027</v>
      </c>
      <c r="AK20" s="112">
        <f>AJ20/AH20</f>
        <v>-0.83005235940035949</v>
      </c>
      <c r="AO20" s="1">
        <f>'S7'!AE15</f>
        <v>18534127500</v>
      </c>
      <c r="AP20" s="1">
        <f>'S7'!AF15</f>
        <v>12688997666.999969</v>
      </c>
    </row>
    <row r="21" spans="1:45" hidden="1" x14ac:dyDescent="0.35">
      <c r="A21" s="33" t="s">
        <v>112</v>
      </c>
      <c r="B21" s="33"/>
      <c r="C21" s="32"/>
      <c r="D21" s="32">
        <f t="shared" si="5"/>
        <v>7407279957.999958</v>
      </c>
      <c r="E21" s="31">
        <f t="shared" si="0"/>
        <v>0</v>
      </c>
      <c r="F21" s="30">
        <f t="shared" si="1"/>
        <v>10245278920.000046</v>
      </c>
      <c r="G21" s="32"/>
      <c r="H21" s="98">
        <f>G27-C27</f>
        <v>-10245278920.000046</v>
      </c>
      <c r="I21" s="113"/>
      <c r="U21" s="35"/>
      <c r="V21" s="35"/>
      <c r="W21" s="35"/>
      <c r="X21" s="35"/>
      <c r="Z21" s="25"/>
      <c r="AA21" s="25"/>
      <c r="AB21" s="25"/>
      <c r="AC21" s="25"/>
      <c r="AD21" s="25"/>
      <c r="AH21" s="34"/>
      <c r="AI21" s="34"/>
      <c r="AJ21" s="34"/>
      <c r="AK21" s="112"/>
      <c r="AO21" s="1"/>
      <c r="AP21" s="1"/>
    </row>
    <row r="22" spans="1:45" hidden="1" x14ac:dyDescent="0.35">
      <c r="A22" s="33" t="str">
        <f>'S7'!A17</f>
        <v>TT T11</v>
      </c>
      <c r="B22" s="33"/>
      <c r="C22" s="32"/>
      <c r="D22" s="32"/>
      <c r="E22" s="31"/>
      <c r="F22" s="30"/>
      <c r="G22" s="97">
        <f>D21+E21</f>
        <v>7407279957.999958</v>
      </c>
      <c r="H22" s="76">
        <v>7407279957.999958</v>
      </c>
      <c r="I22" s="1">
        <f>H22-H3</f>
        <v>-41052693175.623474</v>
      </c>
      <c r="J22" s="6">
        <f>H22/H3-1</f>
        <v>-0.84714642871189505</v>
      </c>
      <c r="K22" s="6"/>
      <c r="U22" s="28">
        <v>25000</v>
      </c>
      <c r="V22" s="28">
        <v>26188.206413254738</v>
      </c>
      <c r="W22" s="27">
        <f>V22-U22</f>
        <v>1188.2064132547384</v>
      </c>
      <c r="X22" s="26">
        <f>W22/U22</f>
        <v>4.7528256530189536E-2</v>
      </c>
      <c r="Z22" s="25"/>
      <c r="AA22" s="25"/>
      <c r="AB22" s="25"/>
      <c r="AC22" s="25"/>
      <c r="AD22" s="25"/>
      <c r="AH22" s="23">
        <f>C3</f>
        <v>48459973133.623436</v>
      </c>
      <c r="AI22" s="23">
        <f>G22-H19</f>
        <v>3974515411.4549127</v>
      </c>
      <c r="AJ22" s="23">
        <f>AI22-AH22</f>
        <v>-44485457722.168526</v>
      </c>
      <c r="AK22" s="111">
        <f>AJ22/AH22</f>
        <v>-0.91798354075650046</v>
      </c>
      <c r="AO22" s="76">
        <f>SUM(AO3:AO20)</f>
        <v>209261952500</v>
      </c>
      <c r="AP22" s="76">
        <f>SUM(AP3:AP20)</f>
        <v>84915116255.454956</v>
      </c>
      <c r="AR22" s="6"/>
      <c r="AS22" s="6"/>
    </row>
    <row r="23" spans="1:45" s="21" customFormat="1" hidden="1" x14ac:dyDescent="0.35">
      <c r="A23" s="21" t="s">
        <v>11</v>
      </c>
      <c r="F23" s="110">
        <f>G22-C3</f>
        <v>-41052693175.623474</v>
      </c>
      <c r="G23" s="109">
        <f>G22-H22</f>
        <v>0</v>
      </c>
      <c r="O23"/>
      <c r="P23"/>
      <c r="Q23"/>
      <c r="R23"/>
      <c r="S23"/>
      <c r="AI23" s="108"/>
      <c r="AJ23"/>
      <c r="AK23"/>
      <c r="AO23" s="74">
        <f>AO22-'S7'!AE17</f>
        <v>0</v>
      </c>
      <c r="AP23" s="74">
        <f>AP22-'S7'!AF17</f>
        <v>0</v>
      </c>
    </row>
    <row r="24" spans="1:45" hidden="1" x14ac:dyDescent="0.35">
      <c r="F24" s="107">
        <f>F23/C3</f>
        <v>-0.84714642871189505</v>
      </c>
      <c r="G24" s="94"/>
      <c r="K24" s="106"/>
      <c r="AI24" s="94">
        <f>G24</f>
        <v>0</v>
      </c>
    </row>
    <row r="25" spans="1:45" hidden="1" x14ac:dyDescent="0.35">
      <c r="K25" s="106"/>
      <c r="AI25" s="94"/>
    </row>
    <row r="26" spans="1:45" hidden="1" x14ac:dyDescent="0.35">
      <c r="C26" t="s">
        <v>9</v>
      </c>
      <c r="G26" t="s">
        <v>8</v>
      </c>
      <c r="K26" s="106"/>
      <c r="AI26" s="94"/>
    </row>
    <row r="27" spans="1:45" hidden="1" x14ac:dyDescent="0.35">
      <c r="A27" s="65" t="s">
        <v>112</v>
      </c>
      <c r="B27" s="65"/>
      <c r="C27" s="228">
        <f>'S7'!C20</f>
        <v>12485577500</v>
      </c>
      <c r="D27" s="210"/>
      <c r="E27" s="210"/>
      <c r="F27" s="210"/>
      <c r="G27" s="228">
        <f>'S7'!G20</f>
        <v>2240298579.9999542</v>
      </c>
      <c r="K27" s="106"/>
      <c r="AI27" s="94"/>
    </row>
    <row r="28" spans="1:45" s="217" customFormat="1" hidden="1" x14ac:dyDescent="0.35">
      <c r="A28" s="230" t="s">
        <v>129</v>
      </c>
      <c r="B28" s="230"/>
      <c r="C28" s="231">
        <v>0</v>
      </c>
      <c r="D28" s="231"/>
      <c r="E28" s="231"/>
      <c r="F28" s="231"/>
      <c r="G28" s="231">
        <v>240969883.00000003</v>
      </c>
      <c r="K28" s="232"/>
      <c r="AI28" s="233"/>
    </row>
    <row r="29" spans="1:45" hidden="1" x14ac:dyDescent="0.35">
      <c r="A29" s="65" t="s">
        <v>83</v>
      </c>
      <c r="B29" s="65"/>
      <c r="C29" s="214">
        <f>C3-C27</f>
        <v>35974395633.623436</v>
      </c>
      <c r="D29" s="210"/>
      <c r="E29" s="210"/>
      <c r="F29" s="210"/>
      <c r="G29" s="214">
        <f>G22-G27</f>
        <v>5166981378.0000038</v>
      </c>
      <c r="H29" s="1">
        <f>G29-C29</f>
        <v>-30807414255.623432</v>
      </c>
      <c r="K29" s="106"/>
      <c r="AI29" s="94"/>
    </row>
    <row r="30" spans="1:45" hidden="1" x14ac:dyDescent="0.35">
      <c r="K30" s="106"/>
      <c r="AI30" s="94"/>
    </row>
    <row r="31" spans="1:45" hidden="1" x14ac:dyDescent="0.35">
      <c r="A31" s="70" t="s">
        <v>36</v>
      </c>
      <c r="B31" s="70"/>
      <c r="C31" s="215">
        <f>'S6'!B25</f>
        <v>3408550000</v>
      </c>
      <c r="D31" s="215"/>
      <c r="E31" s="215"/>
      <c r="F31" s="215"/>
      <c r="G31" s="215">
        <f>'S6'!C25</f>
        <v>3395251201</v>
      </c>
      <c r="K31" s="106"/>
      <c r="AI31" s="94"/>
    </row>
    <row r="32" spans="1:45" hidden="1" x14ac:dyDescent="0.35">
      <c r="A32" s="70" t="s">
        <v>117</v>
      </c>
      <c r="B32" s="70"/>
      <c r="C32" s="216">
        <f>C29-C31</f>
        <v>32565845633.623436</v>
      </c>
      <c r="D32" s="216"/>
      <c r="E32" s="216"/>
      <c r="F32" s="216"/>
      <c r="G32" s="216">
        <f>G29-G31</f>
        <v>1771730177.0000038</v>
      </c>
      <c r="H32" s="93">
        <f>G32-G23</f>
        <v>1771730177.0000038</v>
      </c>
      <c r="K32" s="106"/>
      <c r="AI32" s="94"/>
    </row>
    <row r="33" spans="1:35" hidden="1" x14ac:dyDescent="0.35">
      <c r="A33" s="70" t="s">
        <v>118</v>
      </c>
      <c r="B33" s="70"/>
      <c r="C33" s="216">
        <f>'S6'!B29-'S6'!B28-C31</f>
        <v>193367824999.99997</v>
      </c>
      <c r="D33" s="216"/>
      <c r="E33" s="216"/>
      <c r="F33" s="216"/>
      <c r="G33" s="216">
        <f>'S6'!C29-'S6'!C28-'S6'!C25</f>
        <v>82712331021.000046</v>
      </c>
      <c r="K33" s="106"/>
      <c r="AI33" s="94"/>
    </row>
    <row r="34" spans="1:35" hidden="1" x14ac:dyDescent="0.35">
      <c r="A34" s="217" t="s">
        <v>64</v>
      </c>
      <c r="B34" s="217"/>
      <c r="C34" s="218">
        <f>IFERROR(C32/C33,0)</f>
        <v>0.16841398321371945</v>
      </c>
      <c r="D34" s="217"/>
      <c r="E34" s="217"/>
      <c r="F34" s="217"/>
      <c r="G34" s="218">
        <f>IFERROR(G32/G33,0)</f>
        <v>2.1420387445617688E-2</v>
      </c>
      <c r="K34" s="106"/>
      <c r="AI34" s="94"/>
    </row>
    <row r="35" spans="1:35" hidden="1" x14ac:dyDescent="0.35">
      <c r="K35" s="106"/>
      <c r="AI35" s="94"/>
    </row>
    <row r="36" spans="1:35" hidden="1" x14ac:dyDescent="0.35">
      <c r="K36" s="106"/>
      <c r="AI36" s="94"/>
    </row>
    <row r="37" spans="1:35" hidden="1" x14ac:dyDescent="0.35">
      <c r="E37" s="1"/>
      <c r="F37" s="18"/>
      <c r="AI37" s="94"/>
    </row>
    <row r="38" spans="1:35" hidden="1" x14ac:dyDescent="0.35">
      <c r="AI38" s="94"/>
    </row>
    <row r="39" spans="1:35" hidden="1" x14ac:dyDescent="0.35">
      <c r="H39" s="18">
        <f>SUM(H5:H6,H8:H9,H11:H12,H14:H15,H17:H18)</f>
        <v>-13426131689.150972</v>
      </c>
      <c r="P39" s="1"/>
      <c r="Q39" s="18"/>
    </row>
    <row r="40" spans="1:35" hidden="1" x14ac:dyDescent="0.35">
      <c r="B40" s="1"/>
      <c r="G40" s="33" t="s">
        <v>58</v>
      </c>
      <c r="H40" s="196">
        <f>H4+H7+H10+H13+H16</f>
        <v>-19501031615.017513</v>
      </c>
      <c r="P40" s="1"/>
      <c r="Q40" s="1"/>
      <c r="R40" s="1"/>
    </row>
    <row r="41" spans="1:35" hidden="1" x14ac:dyDescent="0.35">
      <c r="B41" s="1"/>
      <c r="G41" s="33" t="s">
        <v>57</v>
      </c>
      <c r="H41" s="114">
        <f>H40*(1-13.11%)</f>
        <v>-16944446370.288717</v>
      </c>
      <c r="J41" s="1"/>
      <c r="P41" s="105"/>
      <c r="Q41" s="105"/>
      <c r="R41" s="105"/>
    </row>
    <row r="42" spans="1:35" hidden="1" x14ac:dyDescent="0.35">
      <c r="B42" s="18"/>
      <c r="J42" s="1"/>
      <c r="S42" s="17"/>
    </row>
    <row r="43" spans="1:35" hidden="1" x14ac:dyDescent="0.35">
      <c r="G43" s="33" t="s">
        <v>103</v>
      </c>
      <c r="H43" s="196">
        <f>H5+H6+H8+H9+H11+H12+H14+H15+H17+H18</f>
        <v>-13426131689.150972</v>
      </c>
      <c r="S43" s="17"/>
    </row>
    <row r="44" spans="1:35" hidden="1" x14ac:dyDescent="0.35">
      <c r="G44" s="33" t="s">
        <v>104</v>
      </c>
      <c r="H44" s="114">
        <f>H43*(1-13.11%)</f>
        <v>-11665965824.703279</v>
      </c>
      <c r="R44" s="1"/>
      <c r="S44" s="17"/>
    </row>
    <row r="45" spans="1:35" hidden="1" x14ac:dyDescent="0.35">
      <c r="R45" s="1"/>
      <c r="S45" s="17"/>
    </row>
    <row r="46" spans="1:35" hidden="1" x14ac:dyDescent="0.35">
      <c r="G46" t="s">
        <v>56</v>
      </c>
      <c r="H46" s="18">
        <f>SUM(H5:H6)</f>
        <v>-8560242226.8562765</v>
      </c>
      <c r="R46" s="1"/>
      <c r="S46" s="17"/>
    </row>
    <row r="47" spans="1:35" hidden="1" x14ac:dyDescent="0.35">
      <c r="G47" t="s">
        <v>55</v>
      </c>
      <c r="H47" s="1">
        <f>H46*(1-13.11%)</f>
        <v>-7437994470.9154186</v>
      </c>
      <c r="R47" s="1"/>
    </row>
    <row r="48" spans="1:35" hidden="1" x14ac:dyDescent="0.35">
      <c r="R48" s="1"/>
    </row>
    <row r="49" spans="7:28" hidden="1" x14ac:dyDescent="0.35">
      <c r="G49" t="s">
        <v>3</v>
      </c>
      <c r="H49" s="18">
        <f>SUM(H17:H18)</f>
        <v>-357046411.33265007</v>
      </c>
    </row>
    <row r="50" spans="7:28" hidden="1" x14ac:dyDescent="0.35">
      <c r="H50" s="1">
        <f>H49*(1-13.11%)</f>
        <v>-310237626.80693966</v>
      </c>
    </row>
    <row r="51" spans="7:28" hidden="1" x14ac:dyDescent="0.35"/>
    <row r="52" spans="7:28" hidden="1" x14ac:dyDescent="0.35">
      <c r="G52" t="s">
        <v>36</v>
      </c>
      <c r="H52" s="1">
        <v>-3459806000</v>
      </c>
    </row>
    <row r="53" spans="7:28" hidden="1" x14ac:dyDescent="0.35">
      <c r="H53" s="1">
        <f>H52*(1-13.11%)</f>
        <v>-3006225433.4000001</v>
      </c>
    </row>
    <row r="54" spans="7:28" hidden="1" x14ac:dyDescent="0.35"/>
    <row r="55" spans="7:28" hidden="1" x14ac:dyDescent="0.35">
      <c r="R55" s="1"/>
    </row>
    <row r="56" spans="7:28" hidden="1" x14ac:dyDescent="0.35"/>
    <row r="57" spans="7:28" hidden="1" x14ac:dyDescent="0.35"/>
    <row r="58" spans="7:28" hidden="1" x14ac:dyDescent="0.35"/>
    <row r="59" spans="7:28" hidden="1" x14ac:dyDescent="0.35">
      <c r="P59" s="1"/>
      <c r="Q59" s="1"/>
    </row>
    <row r="60" spans="7:28" hidden="1" x14ac:dyDescent="0.35">
      <c r="P60" s="1"/>
      <c r="Q60" s="1"/>
    </row>
    <row r="61" spans="7:28" hidden="1" x14ac:dyDescent="0.35">
      <c r="P61" s="18"/>
      <c r="Q61" s="18"/>
      <c r="R61" s="18"/>
    </row>
    <row r="62" spans="7:28" hidden="1" x14ac:dyDescent="0.35">
      <c r="P62" s="6"/>
      <c r="Q62" s="6"/>
    </row>
    <row r="63" spans="7:28" hidden="1" x14ac:dyDescent="0.35">
      <c r="P63" s="1">
        <v>4349.54</v>
      </c>
      <c r="Q63" s="1">
        <v>4344.5929999999998</v>
      </c>
    </row>
    <row r="64" spans="7:28" hidden="1" x14ac:dyDescent="0.35">
      <c r="AB64" s="1"/>
    </row>
    <row r="65" spans="1:31" hidden="1" x14ac:dyDescent="0.35">
      <c r="AB65" s="1"/>
      <c r="AC65" s="1"/>
    </row>
    <row r="66" spans="1:31" ht="15" hidden="1" thickBot="1" x14ac:dyDescent="0.4">
      <c r="Q66" s="105"/>
      <c r="AC66" s="1"/>
    </row>
    <row r="67" spans="1:31" x14ac:dyDescent="0.35">
      <c r="A67" s="20" t="s">
        <v>30</v>
      </c>
      <c r="I67" s="200" t="s">
        <v>107</v>
      </c>
      <c r="O67" s="50" t="s">
        <v>54</v>
      </c>
      <c r="P67" s="1"/>
      <c r="Q67" s="1"/>
      <c r="R67" s="18"/>
      <c r="AB67" t="s">
        <v>53</v>
      </c>
    </row>
    <row r="68" spans="1:31" x14ac:dyDescent="0.35">
      <c r="A68" s="33"/>
      <c r="B68" s="33"/>
      <c r="C68" s="61" t="s">
        <v>28</v>
      </c>
      <c r="D68" s="61" t="s">
        <v>27</v>
      </c>
      <c r="E68" s="61" t="s">
        <v>26</v>
      </c>
      <c r="F68" s="61" t="s">
        <v>25</v>
      </c>
      <c r="G68" s="61" t="s">
        <v>24</v>
      </c>
      <c r="H68" s="19" t="s">
        <v>23</v>
      </c>
      <c r="I68" s="201" t="s">
        <v>106</v>
      </c>
      <c r="J68" s="204" t="s">
        <v>108</v>
      </c>
      <c r="K68" s="204" t="s">
        <v>109</v>
      </c>
      <c r="M68" s="59" t="s">
        <v>21</v>
      </c>
      <c r="O68" s="36"/>
      <c r="P68" s="104" t="s">
        <v>9</v>
      </c>
      <c r="Q68" s="104" t="s">
        <v>8</v>
      </c>
      <c r="R68" s="36"/>
      <c r="S68" s="36"/>
      <c r="U68" s="57" t="s">
        <v>9</v>
      </c>
      <c r="V68" s="57" t="s">
        <v>8</v>
      </c>
      <c r="W68" s="35"/>
      <c r="X68" s="35"/>
      <c r="Z68" s="56" t="s">
        <v>20</v>
      </c>
      <c r="AA68" s="55" t="s">
        <v>19</v>
      </c>
      <c r="AB68" s="55" t="s">
        <v>52</v>
      </c>
      <c r="AC68" s="55" t="s">
        <v>17</v>
      </c>
      <c r="AD68" s="19" t="s">
        <v>51</v>
      </c>
    </row>
    <row r="69" spans="1:31" x14ac:dyDescent="0.35">
      <c r="A69" s="33" t="str">
        <f>A3</f>
        <v>KH T11</v>
      </c>
      <c r="B69" s="33"/>
      <c r="C69" s="103">
        <f>H69</f>
        <v>48459973133.623436</v>
      </c>
      <c r="D69" s="51"/>
      <c r="E69" s="53"/>
      <c r="F69" s="52"/>
      <c r="G69" s="51"/>
      <c r="H69" s="1">
        <f>H3</f>
        <v>48459973133.623436</v>
      </c>
      <c r="I69" s="202"/>
      <c r="J69" s="205"/>
      <c r="K69" s="205"/>
      <c r="M69" s="43"/>
      <c r="O69" s="36"/>
      <c r="P69" s="36"/>
      <c r="Q69" s="36"/>
      <c r="R69" s="36"/>
      <c r="S69" s="36"/>
      <c r="U69" s="35"/>
      <c r="V69" s="35"/>
      <c r="W69" s="35"/>
      <c r="X69" s="35"/>
      <c r="Z69" s="25"/>
      <c r="AA69" s="25"/>
      <c r="AB69" s="25"/>
      <c r="AC69" s="25"/>
    </row>
    <row r="70" spans="1:31" x14ac:dyDescent="0.35">
      <c r="A70" s="33" t="s">
        <v>7</v>
      </c>
      <c r="B70" s="33" t="s">
        <v>16</v>
      </c>
      <c r="C70" s="32"/>
      <c r="D70" s="32">
        <f>C69-F70</f>
        <v>32103197192.312939</v>
      </c>
      <c r="E70" s="31">
        <f>IF(H70&gt;0,H70,0)</f>
        <v>0</v>
      </c>
      <c r="F70" s="30">
        <f>IF(H70&lt;0,-H70,0)</f>
        <v>16356775941.310497</v>
      </c>
      <c r="G70" s="32"/>
      <c r="H70" s="39">
        <f t="shared" ref="H70:H80" si="6">M70</f>
        <v>-16356775941.310497</v>
      </c>
      <c r="I70" s="202">
        <f>SUM(H$69:H70)</f>
        <v>32103197192.312939</v>
      </c>
      <c r="J70" s="206">
        <f>IF(H70&gt;0,H70,0)</f>
        <v>0</v>
      </c>
      <c r="K70" s="207">
        <f>IF(H70&lt;0,-H70,0)</f>
        <v>16356775941.310497</v>
      </c>
      <c r="M70" s="43" cm="1">
        <f t="array" ref="M70:M71">TRANSPOSE(AA70:AB70)</f>
        <v>-16356775941.310497</v>
      </c>
      <c r="O70" s="102" t="s">
        <v>15</v>
      </c>
      <c r="P70" s="23">
        <v>4678.78</v>
      </c>
      <c r="Q70" s="23">
        <v>2027.64</v>
      </c>
      <c r="R70" s="23">
        <f t="shared" ref="R70:R79" si="7">Q70-P70</f>
        <v>-2651.1399999999994</v>
      </c>
      <c r="S70" s="101">
        <f t="shared" ref="S70:S79" si="8">R70/P70</f>
        <v>-0.56663061738316389</v>
      </c>
      <c r="T70" s="6"/>
      <c r="U70" s="35"/>
      <c r="V70" s="35"/>
      <c r="W70" s="35"/>
      <c r="X70" s="35"/>
      <c r="Z70" s="46">
        <f>SUM(AA70:AC70)</f>
        <v>-21969182811.194908</v>
      </c>
      <c r="AA70" s="45">
        <f>R70*P71*U71</f>
        <v>-16356775941.310497</v>
      </c>
      <c r="AB70" s="45">
        <f>AB4+AC4</f>
        <v>-8560242226.8562765</v>
      </c>
      <c r="AC70" s="45">
        <f>AD4</f>
        <v>2947835356.9718676</v>
      </c>
      <c r="AD70" s="1">
        <v>-21969182811.194908</v>
      </c>
      <c r="AE70" s="18">
        <f>Z70-AD70</f>
        <v>0</v>
      </c>
    </row>
    <row r="71" spans="1:31" x14ac:dyDescent="0.35">
      <c r="A71" s="33"/>
      <c r="B71" s="33" t="s">
        <v>50</v>
      </c>
      <c r="C71" s="32"/>
      <c r="D71" s="32">
        <f>D70-F71+E70</f>
        <v>23542954965.456661</v>
      </c>
      <c r="E71" s="31">
        <f t="shared" ref="E71:E82" si="9">IF(H71&gt;0,H71,0)</f>
        <v>0</v>
      </c>
      <c r="F71" s="30">
        <f t="shared" ref="F71:F82" si="10">IF(H71&lt;0,-H71,0)</f>
        <v>8560242226.8562765</v>
      </c>
      <c r="G71" s="32"/>
      <c r="H71" s="39">
        <f t="shared" si="6"/>
        <v>-8560242226.8562765</v>
      </c>
      <c r="I71" s="202">
        <f>SUM(H$69:H71)</f>
        <v>23542954965.456661</v>
      </c>
      <c r="J71" s="206">
        <f t="shared" ref="J71:J82" si="11">IF(H71&gt;0,H71,0)</f>
        <v>0</v>
      </c>
      <c r="K71" s="207">
        <f t="shared" ref="K71:K82" si="12">IF(H71&lt;0,-H71,0)</f>
        <v>8560242226.8562765</v>
      </c>
      <c r="L71" s="18"/>
      <c r="M71" s="43">
        <v>-8560242226.8562765</v>
      </c>
      <c r="O71" s="36" t="s">
        <v>13</v>
      </c>
      <c r="P71" s="100">
        <f>(P5-P6/U5*10^3)</f>
        <v>246.78856554252889</v>
      </c>
      <c r="Q71" s="100">
        <f>(Q5-Q6/U5*10^3)</f>
        <v>77.917518870412096</v>
      </c>
      <c r="R71" s="100">
        <f t="shared" si="7"/>
        <v>-168.87104667211679</v>
      </c>
      <c r="S71" s="99">
        <f t="shared" si="8"/>
        <v>-0.68427419358298991</v>
      </c>
      <c r="U71" s="40">
        <v>25000</v>
      </c>
      <c r="V71" s="40">
        <v>26187.839228082179</v>
      </c>
      <c r="W71" s="27">
        <f>V71-U71</f>
        <v>1187.839228082179</v>
      </c>
      <c r="X71" s="26">
        <f>W71/U71</f>
        <v>4.7513569123287164E-2</v>
      </c>
      <c r="Z71" s="25"/>
      <c r="AA71" s="25"/>
      <c r="AB71" s="25"/>
      <c r="AC71" s="25"/>
    </row>
    <row r="72" spans="1:31" x14ac:dyDescent="0.35">
      <c r="A72" s="33" t="s">
        <v>6</v>
      </c>
      <c r="B72" s="33" t="s">
        <v>16</v>
      </c>
      <c r="C72" s="32"/>
      <c r="D72" s="32">
        <f t="shared" ref="D72:D82" si="13">D71-F72+E71</f>
        <v>19768024997.966225</v>
      </c>
      <c r="E72" s="31">
        <f t="shared" si="9"/>
        <v>0</v>
      </c>
      <c r="F72" s="30">
        <f t="shared" si="10"/>
        <v>3774929967.490438</v>
      </c>
      <c r="G72" s="32"/>
      <c r="H72" s="39">
        <f t="shared" si="6"/>
        <v>-3774929967.490438</v>
      </c>
      <c r="I72" s="202">
        <f>SUM(H$69:H72)</f>
        <v>19768024997.966225</v>
      </c>
      <c r="J72" s="206">
        <f t="shared" si="11"/>
        <v>0</v>
      </c>
      <c r="K72" s="207">
        <f t="shared" si="12"/>
        <v>3774929967.490438</v>
      </c>
      <c r="M72" s="43" cm="1">
        <f t="array" ref="M72:M73">TRANSPOSE(AA72:AB72)</f>
        <v>-3774929967.490438</v>
      </c>
      <c r="O72" s="102" t="s">
        <v>15</v>
      </c>
      <c r="P72" s="23">
        <v>927</v>
      </c>
      <c r="Q72" s="23">
        <v>268.72500000000002</v>
      </c>
      <c r="R72" s="23">
        <f t="shared" si="7"/>
        <v>-658.27499999999998</v>
      </c>
      <c r="S72" s="101">
        <f t="shared" si="8"/>
        <v>-0.71011326860841417</v>
      </c>
      <c r="U72" s="35"/>
      <c r="V72" s="35"/>
      <c r="W72" s="35"/>
      <c r="X72" s="35"/>
      <c r="Z72" s="46">
        <f>SUM(AA72:AC72)</f>
        <v>-5264094496.5763702</v>
      </c>
      <c r="AA72" s="45">
        <f>R72*P73*U73</f>
        <v>-3774929967.490438</v>
      </c>
      <c r="AB72" s="45">
        <f>AB7+AC7</f>
        <v>-1812493450.2365561</v>
      </c>
      <c r="AC72" s="45">
        <f>AD7</f>
        <v>323328921.15062314</v>
      </c>
      <c r="AD72" s="1">
        <v>-5264094496.576375</v>
      </c>
      <c r="AE72" s="18">
        <f>Z72-AD72</f>
        <v>0</v>
      </c>
    </row>
    <row r="73" spans="1:31" x14ac:dyDescent="0.35">
      <c r="A73" s="33"/>
      <c r="B73" s="33" t="s">
        <v>50</v>
      </c>
      <c r="C73" s="32"/>
      <c r="D73" s="32">
        <f t="shared" si="13"/>
        <v>17955531547.729668</v>
      </c>
      <c r="E73" s="31">
        <f t="shared" si="9"/>
        <v>0</v>
      </c>
      <c r="F73" s="30">
        <f t="shared" si="10"/>
        <v>1812493450.2365561</v>
      </c>
      <c r="G73" s="32"/>
      <c r="H73" s="39">
        <f t="shared" si="6"/>
        <v>-1812493450.2365561</v>
      </c>
      <c r="I73" s="202">
        <f>SUM(H$69:H73)</f>
        <v>17955531547.729668</v>
      </c>
      <c r="J73" s="206">
        <f t="shared" si="11"/>
        <v>0</v>
      </c>
      <c r="K73" s="207">
        <f t="shared" si="12"/>
        <v>1812493450.2365561</v>
      </c>
      <c r="L73" s="18"/>
      <c r="M73" s="43">
        <v>-1812493450.2365561</v>
      </c>
      <c r="O73" s="36" t="s">
        <v>13</v>
      </c>
      <c r="P73" s="100">
        <f>(P8-P9/U8*10^3)</f>
        <v>229.38315855777228</v>
      </c>
      <c r="Q73" s="100">
        <f>(Q8-Q9/U8*10^3)</f>
        <v>-40.408405343845402</v>
      </c>
      <c r="R73" s="100">
        <f t="shared" si="7"/>
        <v>-269.79156390161768</v>
      </c>
      <c r="S73" s="99">
        <f t="shared" si="8"/>
        <v>-1.1761611689276141</v>
      </c>
      <c r="U73" s="40">
        <v>25000</v>
      </c>
      <c r="V73" s="40">
        <v>26191.396655794346</v>
      </c>
      <c r="W73" s="27">
        <f>V73-U73</f>
        <v>1191.3966557943459</v>
      </c>
      <c r="X73" s="26">
        <f>W73/U73</f>
        <v>4.7655866231773834E-2</v>
      </c>
      <c r="Z73" s="25"/>
      <c r="AA73" s="25"/>
      <c r="AB73" s="25"/>
      <c r="AC73" s="25"/>
    </row>
    <row r="74" spans="1:31" x14ac:dyDescent="0.35">
      <c r="A74" s="33" t="s">
        <v>5</v>
      </c>
      <c r="B74" s="33" t="s">
        <v>16</v>
      </c>
      <c r="C74" s="32"/>
      <c r="D74" s="32">
        <f t="shared" si="13"/>
        <v>17955531547.729668</v>
      </c>
      <c r="E74" s="31">
        <f t="shared" si="9"/>
        <v>163911341.71177879</v>
      </c>
      <c r="F74" s="30">
        <f t="shared" si="10"/>
        <v>0</v>
      </c>
      <c r="G74" s="32"/>
      <c r="H74" s="39">
        <f t="shared" si="6"/>
        <v>163911341.71177879</v>
      </c>
      <c r="I74" s="202">
        <f>SUM(H$69:H74)</f>
        <v>18119442889.441448</v>
      </c>
      <c r="J74" s="206">
        <f t="shared" si="11"/>
        <v>163911341.71177879</v>
      </c>
      <c r="K74" s="207">
        <f t="shared" si="12"/>
        <v>0</v>
      </c>
      <c r="M74" s="43" cm="1">
        <f t="array" ref="M74:M75">TRANSPOSE(AA74:AB74)</f>
        <v>163911341.71177879</v>
      </c>
      <c r="O74" s="102" t="s">
        <v>15</v>
      </c>
      <c r="P74" s="23">
        <v>155.75</v>
      </c>
      <c r="Q74" s="23">
        <v>186.75</v>
      </c>
      <c r="R74" s="23">
        <f t="shared" si="7"/>
        <v>31</v>
      </c>
      <c r="S74" s="101">
        <f t="shared" si="8"/>
        <v>0.19903691813804172</v>
      </c>
      <c r="U74" s="35"/>
      <c r="V74" s="35"/>
      <c r="W74" s="35"/>
      <c r="X74" s="35"/>
      <c r="Z74" s="46">
        <f>SUM(AA74:AC74)</f>
        <v>-2391326647.7317286</v>
      </c>
      <c r="AA74" s="45">
        <f>R74*P75*U75</f>
        <v>163911341.71177879</v>
      </c>
      <c r="AB74" s="45">
        <f>AB10+AC10</f>
        <v>-2696349600.725491</v>
      </c>
      <c r="AC74" s="45">
        <f>AD10</f>
        <v>141111611.28198406</v>
      </c>
      <c r="AD74" s="1">
        <v>-2391326647.7317286</v>
      </c>
      <c r="AE74" s="18">
        <f>Z74-AD74</f>
        <v>0</v>
      </c>
    </row>
    <row r="75" spans="1:31" x14ac:dyDescent="0.35">
      <c r="A75" s="33"/>
      <c r="B75" s="33" t="s">
        <v>50</v>
      </c>
      <c r="C75" s="32"/>
      <c r="D75" s="32">
        <f t="shared" si="13"/>
        <v>15423093288.715956</v>
      </c>
      <c r="E75" s="31">
        <f t="shared" si="9"/>
        <v>0</v>
      </c>
      <c r="F75" s="30">
        <f t="shared" si="10"/>
        <v>2696349600.725491</v>
      </c>
      <c r="G75" s="32"/>
      <c r="H75" s="39">
        <f t="shared" si="6"/>
        <v>-2696349600.725491</v>
      </c>
      <c r="I75" s="202">
        <f>SUM(H$69:H75)</f>
        <v>15423093288.715958</v>
      </c>
      <c r="J75" s="206">
        <f t="shared" si="11"/>
        <v>0</v>
      </c>
      <c r="K75" s="207">
        <f t="shared" si="12"/>
        <v>2696349600.725491</v>
      </c>
      <c r="L75" s="18"/>
      <c r="M75" s="43">
        <v>-2696349600.725491</v>
      </c>
      <c r="O75" s="36" t="s">
        <v>13</v>
      </c>
      <c r="P75" s="100">
        <f>(P11-P12/U11*10^3)</f>
        <v>211.49850543455329</v>
      </c>
      <c r="Q75" s="100">
        <f>(Q11-Q12/U11*10^3)</f>
        <v>-366.03286821481572</v>
      </c>
      <c r="R75" s="100">
        <f t="shared" si="7"/>
        <v>-577.53137364936902</v>
      </c>
      <c r="S75" s="99">
        <f t="shared" si="8"/>
        <v>-2.7306640889151907</v>
      </c>
      <c r="U75" s="40">
        <v>25000</v>
      </c>
      <c r="V75" s="40">
        <v>26188.248885874826</v>
      </c>
      <c r="W75" s="27">
        <f>V75-U75</f>
        <v>1188.2488858748256</v>
      </c>
      <c r="X75" s="26">
        <f>W75/U75</f>
        <v>4.7529955434993026E-2</v>
      </c>
      <c r="Z75" s="25"/>
      <c r="AA75" s="25"/>
      <c r="AB75" s="25"/>
      <c r="AC75" s="25"/>
    </row>
    <row r="76" spans="1:31" x14ac:dyDescent="0.35">
      <c r="A76" s="33" t="s">
        <v>4</v>
      </c>
      <c r="B76" s="33" t="s">
        <v>16</v>
      </c>
      <c r="C76" s="32"/>
      <c r="D76" s="32">
        <f t="shared" si="13"/>
        <v>15423093288.715956</v>
      </c>
      <c r="E76" s="31">
        <f t="shared" si="9"/>
        <v>455435768.40818661</v>
      </c>
      <c r="F76" s="30">
        <f t="shared" si="10"/>
        <v>0</v>
      </c>
      <c r="G76" s="32"/>
      <c r="H76" s="39">
        <f t="shared" si="6"/>
        <v>455435768.40818661</v>
      </c>
      <c r="I76" s="202">
        <f>SUM(H$69:H76)</f>
        <v>15878529057.124144</v>
      </c>
      <c r="J76" s="206">
        <f t="shared" si="11"/>
        <v>455435768.40818661</v>
      </c>
      <c r="K76" s="207">
        <f t="shared" si="12"/>
        <v>0</v>
      </c>
      <c r="M76" s="43" cm="1">
        <f t="array" ref="M76:M77">TRANSPOSE(AA76:AB76)</f>
        <v>455435768.40818661</v>
      </c>
      <c r="O76" s="102" t="s">
        <v>15</v>
      </c>
      <c r="P76" s="23">
        <v>107.44</v>
      </c>
      <c r="Q76" s="23">
        <v>0</v>
      </c>
      <c r="R76" s="23">
        <f t="shared" si="7"/>
        <v>-107.44</v>
      </c>
      <c r="S76" s="101">
        <f t="shared" si="8"/>
        <v>-1</v>
      </c>
      <c r="T76" s="50"/>
      <c r="U76" s="35"/>
      <c r="V76" s="35"/>
      <c r="W76" s="35"/>
      <c r="X76" s="35"/>
      <c r="Z76" s="46">
        <f>SUM(AA76:AC76)</f>
        <v>455435768.40818661</v>
      </c>
      <c r="AA76" s="45">
        <f>R76*P77*U77</f>
        <v>455435768.40818661</v>
      </c>
      <c r="AB76" s="45">
        <f>AB13+AC13</f>
        <v>0</v>
      </c>
      <c r="AC76" s="45">
        <f>AD13</f>
        <v>0</v>
      </c>
      <c r="AD76" s="1">
        <v>455435768.40818632</v>
      </c>
      <c r="AE76" s="18">
        <f>Z76-AD76</f>
        <v>0</v>
      </c>
    </row>
    <row r="77" spans="1:31" x14ac:dyDescent="0.35">
      <c r="A77" s="33"/>
      <c r="B77" s="33" t="s">
        <v>50</v>
      </c>
      <c r="C77" s="32"/>
      <c r="D77" s="32">
        <f t="shared" si="13"/>
        <v>15878529057.124142</v>
      </c>
      <c r="E77" s="31">
        <f t="shared" si="9"/>
        <v>0</v>
      </c>
      <c r="F77" s="30">
        <f t="shared" si="10"/>
        <v>0</v>
      </c>
      <c r="G77" s="32"/>
      <c r="H77" s="39">
        <f t="shared" si="6"/>
        <v>0</v>
      </c>
      <c r="I77" s="202">
        <f>SUM(H$69:H77)</f>
        <v>15878529057.124144</v>
      </c>
      <c r="J77" s="206">
        <f t="shared" si="11"/>
        <v>0</v>
      </c>
      <c r="K77" s="207">
        <f t="shared" si="12"/>
        <v>0</v>
      </c>
      <c r="L77" s="18"/>
      <c r="M77" s="43">
        <v>0</v>
      </c>
      <c r="O77" s="36" t="s">
        <v>13</v>
      </c>
      <c r="P77" s="100">
        <f>(P14-P15/U14*10^3)</f>
        <v>-169.55910960840902</v>
      </c>
      <c r="Q77" s="100">
        <f>(Q14-Q15/U14*10^3)</f>
        <v>0</v>
      </c>
      <c r="R77" s="100">
        <f t="shared" si="7"/>
        <v>169.55910960840902</v>
      </c>
      <c r="S77" s="99">
        <f t="shared" si="8"/>
        <v>-1</v>
      </c>
      <c r="U77" s="40">
        <v>25000</v>
      </c>
      <c r="V77" s="40">
        <v>0</v>
      </c>
      <c r="W77" s="27">
        <f>V77-U77</f>
        <v>-25000</v>
      </c>
      <c r="X77" s="26">
        <f>W77/U77</f>
        <v>-1</v>
      </c>
      <c r="Z77" s="25"/>
      <c r="AA77" s="25"/>
      <c r="AB77" s="25"/>
      <c r="AC77" s="25"/>
    </row>
    <row r="78" spans="1:31" x14ac:dyDescent="0.35">
      <c r="A78" s="33" t="s">
        <v>3</v>
      </c>
      <c r="B78" s="33" t="s">
        <v>16</v>
      </c>
      <c r="C78" s="32"/>
      <c r="D78" s="32">
        <f t="shared" si="13"/>
        <v>15878529057.124142</v>
      </c>
      <c r="E78" s="31">
        <f t="shared" si="9"/>
        <v>11327183.663465697</v>
      </c>
      <c r="F78" s="30">
        <f t="shared" si="10"/>
        <v>0</v>
      </c>
      <c r="G78" s="32"/>
      <c r="H78" s="39">
        <f t="shared" si="6"/>
        <v>11327183.663465697</v>
      </c>
      <c r="I78" s="202">
        <f>SUM(H$69:H78)</f>
        <v>15889856240.787609</v>
      </c>
      <c r="J78" s="206">
        <f t="shared" si="11"/>
        <v>11327183.663465697</v>
      </c>
      <c r="K78" s="207">
        <f t="shared" si="12"/>
        <v>0</v>
      </c>
      <c r="M78" s="43" cm="1">
        <f t="array" ref="M78:M79">TRANSPOSE(AA78:AB78)</f>
        <v>11327183.663465697</v>
      </c>
      <c r="O78" s="102" t="s">
        <v>15</v>
      </c>
      <c r="P78" s="23">
        <v>100</v>
      </c>
      <c r="Q78" s="23">
        <v>27.3</v>
      </c>
      <c r="R78" s="23">
        <f t="shared" si="7"/>
        <v>-72.7</v>
      </c>
      <c r="S78" s="101">
        <f t="shared" si="8"/>
        <v>-0.72699999999999998</v>
      </c>
      <c r="U78" s="35"/>
      <c r="V78" s="35"/>
      <c r="W78" s="35"/>
      <c r="X78" s="35"/>
      <c r="Z78" s="46">
        <f>SUM(AA78:AC78)</f>
        <v>-325230570.52861357</v>
      </c>
      <c r="AA78" s="45">
        <f>R78*P79*U79</f>
        <v>11327183.663465697</v>
      </c>
      <c r="AB78" s="45">
        <f>AB16+AC16</f>
        <v>-357046411.33265007</v>
      </c>
      <c r="AC78" s="45">
        <f>AD16</f>
        <v>20488657.140570827</v>
      </c>
      <c r="AD78" s="1">
        <v>-325230570.52861351</v>
      </c>
      <c r="AE78" s="18">
        <f>Z78-AD78</f>
        <v>0</v>
      </c>
    </row>
    <row r="79" spans="1:31" x14ac:dyDescent="0.35">
      <c r="A79" s="33"/>
      <c r="B79" s="33" t="s">
        <v>50</v>
      </c>
      <c r="C79" s="32"/>
      <c r="D79" s="32">
        <f t="shared" si="13"/>
        <v>15532809829.454958</v>
      </c>
      <c r="E79" s="31">
        <f t="shared" si="9"/>
        <v>0</v>
      </c>
      <c r="F79" s="30">
        <f t="shared" si="10"/>
        <v>357046411.33265007</v>
      </c>
      <c r="G79" s="32"/>
      <c r="H79" s="39">
        <f t="shared" si="6"/>
        <v>-357046411.33265007</v>
      </c>
      <c r="I79" s="202">
        <f>SUM(H$69:H79)</f>
        <v>15532809829.45496</v>
      </c>
      <c r="J79" s="206">
        <f t="shared" si="11"/>
        <v>0</v>
      </c>
      <c r="K79" s="207">
        <f t="shared" si="12"/>
        <v>357046411.33265007</v>
      </c>
      <c r="L79" s="18"/>
      <c r="M79" s="43">
        <v>-357046411.33265007</v>
      </c>
      <c r="O79" s="36" t="s">
        <v>13</v>
      </c>
      <c r="P79" s="100">
        <f>(P17-P18/U17*10^3)</f>
        <v>-6.2322881229522409</v>
      </c>
      <c r="Q79" s="100">
        <f>(Q17-Q18/V17*10^3)</f>
        <v>-476.67567128468988</v>
      </c>
      <c r="R79" s="100">
        <f t="shared" si="7"/>
        <v>-470.44338316173764</v>
      </c>
      <c r="S79" s="99">
        <f t="shared" si="8"/>
        <v>75.484857869325879</v>
      </c>
      <c r="U79" s="40">
        <v>25000</v>
      </c>
      <c r="V79" s="40">
        <v>26189.568336070231</v>
      </c>
      <c r="W79" s="27">
        <f>V79-U79</f>
        <v>1189.5683360702315</v>
      </c>
      <c r="X79" s="26">
        <f>W79/U79</f>
        <v>4.7582733442809257E-2</v>
      </c>
      <c r="Z79" s="25"/>
      <c r="AA79" s="25"/>
      <c r="AB79" s="25"/>
      <c r="AC79" s="25"/>
    </row>
    <row r="80" spans="1:31" x14ac:dyDescent="0.35">
      <c r="A80" s="33" t="s">
        <v>12</v>
      </c>
      <c r="B80" s="33"/>
      <c r="C80" s="32"/>
      <c r="D80" s="32">
        <f t="shared" si="13"/>
        <v>15532809829.454958</v>
      </c>
      <c r="E80" s="31">
        <f t="shared" si="9"/>
        <v>3432764546.5450454</v>
      </c>
      <c r="F80" s="30">
        <f t="shared" si="10"/>
        <v>0</v>
      </c>
      <c r="G80" s="32"/>
      <c r="H80" s="39">
        <f t="shared" si="6"/>
        <v>3432764546.5450454</v>
      </c>
      <c r="I80" s="202">
        <f>SUM(H$69:H80)</f>
        <v>18965574376.000004</v>
      </c>
      <c r="J80" s="206">
        <f t="shared" si="11"/>
        <v>3432764546.5450454</v>
      </c>
      <c r="K80" s="207">
        <f t="shared" si="12"/>
        <v>0</v>
      </c>
      <c r="M80" s="37">
        <f>AC70+AC72+AC74+AC76+AC78</f>
        <v>3432764546.5450454</v>
      </c>
      <c r="U80" s="35"/>
      <c r="V80" s="35"/>
      <c r="W80" s="35"/>
      <c r="X80" s="35"/>
      <c r="Z80" s="25"/>
      <c r="AA80" s="25"/>
      <c r="AB80" s="25"/>
      <c r="AC80" s="25"/>
    </row>
    <row r="81" spans="1:29" x14ac:dyDescent="0.35">
      <c r="A81" s="33" t="s">
        <v>1</v>
      </c>
      <c r="B81" s="33"/>
      <c r="C81" s="32"/>
      <c r="D81" s="32">
        <f t="shared" si="13"/>
        <v>17652558878.000004</v>
      </c>
      <c r="E81" s="31">
        <f t="shared" si="9"/>
        <v>0</v>
      </c>
      <c r="F81" s="30">
        <f t="shared" si="10"/>
        <v>1313015498</v>
      </c>
      <c r="G81" s="32"/>
      <c r="H81" s="98">
        <f>H83-SUM(H69:H80,H82)</f>
        <v>-1313015498</v>
      </c>
      <c r="I81" s="202">
        <f>SUM(H$69:H81)</f>
        <v>17652558878.000004</v>
      </c>
      <c r="J81" s="206">
        <f t="shared" si="11"/>
        <v>0</v>
      </c>
      <c r="K81" s="207">
        <f t="shared" si="12"/>
        <v>1313015498</v>
      </c>
      <c r="O81" s="173" t="s">
        <v>97</v>
      </c>
      <c r="P81" s="174"/>
      <c r="Q81" s="174"/>
      <c r="R81" s="174"/>
      <c r="S81" s="174"/>
      <c r="U81" s="35"/>
      <c r="V81" s="35"/>
      <c r="W81" s="35"/>
      <c r="X81" s="35"/>
      <c r="Z81" s="25"/>
      <c r="AA81" s="25"/>
      <c r="AB81" s="25"/>
      <c r="AC81" s="25"/>
    </row>
    <row r="82" spans="1:29" x14ac:dyDescent="0.35">
      <c r="A82" s="33" t="s">
        <v>120</v>
      </c>
      <c r="B82" s="33" t="s">
        <v>119</v>
      </c>
      <c r="C82" s="32"/>
      <c r="D82" s="32">
        <f t="shared" si="13"/>
        <v>7407279957.999958</v>
      </c>
      <c r="E82" s="31">
        <f t="shared" si="9"/>
        <v>0</v>
      </c>
      <c r="F82" s="30">
        <f t="shared" si="10"/>
        <v>10245278920.000046</v>
      </c>
      <c r="G82" s="32"/>
      <c r="H82" s="98">
        <f>H21</f>
        <v>-10245278920.000046</v>
      </c>
      <c r="I82" s="202">
        <f>SUM(H$69:H82)</f>
        <v>7407279957.999958</v>
      </c>
      <c r="J82" s="206">
        <f t="shared" si="11"/>
        <v>0</v>
      </c>
      <c r="K82" s="207">
        <f t="shared" si="12"/>
        <v>10245278920.000046</v>
      </c>
      <c r="O82" s="173"/>
      <c r="P82" s="174"/>
      <c r="Q82" s="174"/>
      <c r="R82" s="174"/>
      <c r="S82" s="174"/>
      <c r="U82" s="35"/>
      <c r="V82" s="35"/>
      <c r="W82" s="35"/>
      <c r="X82" s="35"/>
      <c r="Z82" s="25"/>
      <c r="AA82" s="25"/>
      <c r="AB82" s="25"/>
      <c r="AC82" s="25"/>
    </row>
    <row r="83" spans="1:29" ht="15" thickBot="1" x14ac:dyDescent="0.4">
      <c r="A83" s="33" t="str">
        <f>A22</f>
        <v>TT T11</v>
      </c>
      <c r="B83" s="33"/>
      <c r="C83" s="32"/>
      <c r="D83" s="32"/>
      <c r="E83" s="31"/>
      <c r="F83" s="30"/>
      <c r="G83" s="97">
        <f>D82</f>
        <v>7407279957.999958</v>
      </c>
      <c r="H83" s="1">
        <f>H22</f>
        <v>7407279957.999958</v>
      </c>
      <c r="I83" s="203"/>
      <c r="J83" s="205"/>
      <c r="K83" s="208"/>
      <c r="O83" s="174" t="s">
        <v>7</v>
      </c>
      <c r="P83" s="175">
        <f>P70/10^3</f>
        <v>4.6787799999999997</v>
      </c>
      <c r="Q83" s="175">
        <f>Q70/10^3</f>
        <v>2.0276399999999999</v>
      </c>
      <c r="R83" s="177">
        <f t="shared" ref="R83:R87" si="14">Q83-P83</f>
        <v>-2.6511399999999998</v>
      </c>
      <c r="S83" s="176">
        <f t="shared" ref="S83:S87" si="15">R83/P83</f>
        <v>-0.566630617383164</v>
      </c>
      <c r="U83" s="28">
        <v>25000</v>
      </c>
      <c r="V83" s="28">
        <v>26188.206413254738</v>
      </c>
      <c r="W83" s="27">
        <f>V83-U83</f>
        <v>1188.2064132547384</v>
      </c>
      <c r="X83" s="26">
        <f>W83/U83</f>
        <v>4.7528256530189536E-2</v>
      </c>
      <c r="Z83" s="25"/>
      <c r="AA83" s="25"/>
      <c r="AB83" s="25"/>
      <c r="AC83" s="25"/>
    </row>
    <row r="84" spans="1:29" s="21" customFormat="1" x14ac:dyDescent="0.35">
      <c r="A84" s="21" t="s">
        <v>11</v>
      </c>
      <c r="F84" s="110">
        <f>G83-C69</f>
        <v>-41052693175.623474</v>
      </c>
      <c r="G84" s="96">
        <f>G83-H83</f>
        <v>0</v>
      </c>
      <c r="H84" s="6">
        <f>H83/H69-1</f>
        <v>-0.84714642871189505</v>
      </c>
      <c r="O84" s="174" t="s">
        <v>6</v>
      </c>
      <c r="P84" s="175">
        <f>P72/10^3</f>
        <v>0.92700000000000005</v>
      </c>
      <c r="Q84" s="175">
        <f>Q72/10^3</f>
        <v>0.26872500000000005</v>
      </c>
      <c r="R84" s="177">
        <f t="shared" si="14"/>
        <v>-0.65827499999999994</v>
      </c>
      <c r="S84" s="176">
        <f t="shared" si="15"/>
        <v>-0.71011326860841417</v>
      </c>
    </row>
    <row r="85" spans="1:29" x14ac:dyDescent="0.35">
      <c r="F85" s="107">
        <f>F84/C69</f>
        <v>-0.84714642871189505</v>
      </c>
      <c r="G85" s="94">
        <f>G24</f>
        <v>0</v>
      </c>
      <c r="O85" s="174" t="s">
        <v>5</v>
      </c>
      <c r="P85" s="175">
        <f>P74/10^3</f>
        <v>0.15575</v>
      </c>
      <c r="Q85" s="175">
        <f>Q74/10^3</f>
        <v>0.18675</v>
      </c>
      <c r="R85" s="177">
        <f t="shared" si="14"/>
        <v>3.1E-2</v>
      </c>
      <c r="S85" s="176">
        <f t="shared" si="15"/>
        <v>0.19903691813804172</v>
      </c>
    </row>
    <row r="86" spans="1:29" x14ac:dyDescent="0.35">
      <c r="O86" s="174" t="s">
        <v>4</v>
      </c>
      <c r="P86" s="175">
        <f>P76/10^3</f>
        <v>0.10743999999999999</v>
      </c>
      <c r="Q86" s="175">
        <f>Q76/10^3</f>
        <v>0</v>
      </c>
      <c r="R86" s="177">
        <f t="shared" si="14"/>
        <v>-0.10743999999999999</v>
      </c>
      <c r="S86" s="176">
        <f t="shared" si="15"/>
        <v>-1</v>
      </c>
    </row>
    <row r="87" spans="1:29" x14ac:dyDescent="0.35">
      <c r="O87" s="174" t="s">
        <v>3</v>
      </c>
      <c r="P87" s="175">
        <f>P78/10^3</f>
        <v>0.1</v>
      </c>
      <c r="Q87" s="175">
        <f>Q78/10^3</f>
        <v>2.7300000000000001E-2</v>
      </c>
      <c r="R87" s="177">
        <f t="shared" si="14"/>
        <v>-7.2700000000000001E-2</v>
      </c>
      <c r="S87" s="176">
        <f t="shared" si="15"/>
        <v>-0.72699999999999998</v>
      </c>
    </row>
    <row r="88" spans="1:29" x14ac:dyDescent="0.35">
      <c r="M88" s="1"/>
    </row>
    <row r="89" spans="1:29" x14ac:dyDescent="0.35">
      <c r="M89" s="1"/>
    </row>
    <row r="90" spans="1:29" x14ac:dyDescent="0.35">
      <c r="M90" s="1"/>
    </row>
    <row r="91" spans="1:29" x14ac:dyDescent="0.35">
      <c r="M91" s="1"/>
    </row>
    <row r="92" spans="1:29" x14ac:dyDescent="0.35">
      <c r="A92" s="68"/>
      <c r="B92" s="60"/>
      <c r="C92" s="60"/>
      <c r="D92" s="68"/>
      <c r="E92" s="68"/>
      <c r="M92" s="1"/>
    </row>
    <row r="93" spans="1:29" x14ac:dyDescent="0.35">
      <c r="A93" s="65"/>
      <c r="B93" s="44"/>
      <c r="C93" s="44"/>
      <c r="D93" s="157"/>
      <c r="E93" s="158"/>
      <c r="M93" s="18"/>
    </row>
    <row r="94" spans="1:29" x14ac:dyDescent="0.35">
      <c r="A94" s="65"/>
      <c r="B94" s="44"/>
      <c r="C94" s="44"/>
      <c r="D94" s="157"/>
      <c r="E94" s="158"/>
      <c r="M94" s="93"/>
    </row>
    <row r="96" spans="1:29" x14ac:dyDescent="0.35">
      <c r="A96" s="68"/>
      <c r="B96" s="60"/>
      <c r="C96" s="60"/>
      <c r="D96" s="68"/>
      <c r="E96" s="68"/>
    </row>
    <row r="97" spans="1:5" x14ac:dyDescent="0.35">
      <c r="A97" s="65"/>
      <c r="B97" s="44"/>
      <c r="C97" s="44"/>
      <c r="D97" s="157"/>
      <c r="E97" s="158"/>
    </row>
    <row r="98" spans="1:5" x14ac:dyDescent="0.35">
      <c r="A98" s="65"/>
      <c r="B98" s="44"/>
      <c r="C98" s="44"/>
      <c r="D98" s="157"/>
      <c r="E98" s="158"/>
    </row>
  </sheetData>
  <conditionalFormatting sqref="I69:I83">
    <cfRule type="expression" dxfId="1" priority="1">
      <formula>I69&lt;0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9B83-1D7C-43CE-94BE-B965C0479223}">
  <sheetPr codeName="Sheet5">
    <tabColor rgb="FFC00000"/>
  </sheetPr>
  <dimension ref="A4:Y140"/>
  <sheetViews>
    <sheetView showGridLines="0" zoomScale="85" zoomScaleNormal="85" workbookViewId="0">
      <pane ySplit="6" topLeftCell="A79" activePane="bottomLeft" state="frozen"/>
      <selection activeCell="N41" sqref="N41"/>
      <selection pane="bottomLeft" activeCell="B86" sqref="B86"/>
    </sheetView>
  </sheetViews>
  <sheetFormatPr defaultRowHeight="14.5" outlineLevelRow="1" x14ac:dyDescent="0.35"/>
  <cols>
    <col min="1" max="1" width="14" customWidth="1"/>
    <col min="2" max="3" width="19.1796875" bestFit="1" customWidth="1"/>
    <col min="4" max="4" width="19.7265625" bestFit="1" customWidth="1"/>
    <col min="5" max="5" width="18.7265625" bestFit="1" customWidth="1"/>
    <col min="6" max="6" width="18" bestFit="1" customWidth="1"/>
    <col min="7" max="7" width="15.26953125" bestFit="1" customWidth="1"/>
    <col min="8" max="8" width="18.7265625" bestFit="1" customWidth="1"/>
    <col min="9" max="9" width="16.26953125" bestFit="1" customWidth="1"/>
    <col min="10" max="10" width="16.81640625" bestFit="1" customWidth="1"/>
    <col min="11" max="11" width="18.453125" bestFit="1" customWidth="1"/>
    <col min="12" max="13" width="17.54296875" customWidth="1"/>
    <col min="14" max="14" width="17.7265625" bestFit="1" customWidth="1"/>
    <col min="15" max="15" width="18.7265625" bestFit="1" customWidth="1"/>
    <col min="16" max="16" width="18.7265625" customWidth="1"/>
    <col min="17" max="17" width="17" bestFit="1" customWidth="1"/>
    <col min="18" max="18" width="18.7265625" bestFit="1" customWidth="1"/>
    <col min="19" max="19" width="16" bestFit="1" customWidth="1"/>
    <col min="20" max="20" width="15" bestFit="1" customWidth="1"/>
    <col min="21" max="21" width="16" bestFit="1" customWidth="1"/>
    <col min="22" max="22" width="14.26953125" bestFit="1" customWidth="1"/>
    <col min="23" max="23" width="15" bestFit="1" customWidth="1"/>
    <col min="24" max="24" width="15" customWidth="1"/>
    <col min="25" max="25" width="16" bestFit="1" customWidth="1"/>
  </cols>
  <sheetData>
    <row r="4" spans="1:19" x14ac:dyDescent="0.35">
      <c r="C4">
        <f>C12/C7</f>
        <v>1.0874696016395695E-2</v>
      </c>
    </row>
    <row r="5" spans="1:19" x14ac:dyDescent="0.35">
      <c r="A5" s="20" t="s">
        <v>49</v>
      </c>
      <c r="K5" s="92" t="s">
        <v>48</v>
      </c>
      <c r="L5" s="91"/>
      <c r="M5" s="91"/>
      <c r="N5" s="91"/>
      <c r="O5" s="91"/>
      <c r="P5" s="91"/>
    </row>
    <row r="6" spans="1:19" x14ac:dyDescent="0.35">
      <c r="A6" s="90"/>
      <c r="B6" s="89" t="s">
        <v>9</v>
      </c>
      <c r="C6" s="89" t="s">
        <v>8</v>
      </c>
      <c r="D6" s="89" t="s">
        <v>47</v>
      </c>
      <c r="F6" t="s">
        <v>46</v>
      </c>
      <c r="G6" t="s">
        <v>45</v>
      </c>
      <c r="H6" t="s">
        <v>44</v>
      </c>
      <c r="I6" t="s">
        <v>43</v>
      </c>
      <c r="K6" s="89" t="s">
        <v>16</v>
      </c>
      <c r="L6" s="89" t="s">
        <v>42</v>
      </c>
      <c r="M6" s="89" t="s">
        <v>14</v>
      </c>
      <c r="N6" s="89" t="s">
        <v>12</v>
      </c>
      <c r="O6" s="89" t="s">
        <v>1</v>
      </c>
      <c r="P6" s="89" t="s">
        <v>112</v>
      </c>
    </row>
    <row r="7" spans="1:19" s="83" customFormat="1" x14ac:dyDescent="0.35">
      <c r="A7" s="142" t="s">
        <v>39</v>
      </c>
      <c r="B7" s="141">
        <f>SUM(B8:B12)</f>
        <v>5968970</v>
      </c>
      <c r="C7" s="141">
        <f>SUM(C8:C12)</f>
        <v>2510415</v>
      </c>
      <c r="D7" s="144">
        <f t="shared" ref="D7:D13" si="0">C7-B7</f>
        <v>-3458555</v>
      </c>
      <c r="E7" s="87">
        <f>D7/B7</f>
        <v>-0.5794224129121105</v>
      </c>
      <c r="F7" s="86"/>
      <c r="H7" s="84">
        <f>SUM(H8:H12)</f>
        <v>2510415</v>
      </c>
      <c r="I7" s="84"/>
    </row>
    <row r="8" spans="1:19" s="80" customFormat="1" outlineLevel="1" x14ac:dyDescent="0.35">
      <c r="A8" s="140" t="s">
        <v>7</v>
      </c>
      <c r="B8" s="139">
        <f>'S6'!B8</f>
        <v>4678780</v>
      </c>
      <c r="C8" s="139">
        <f>'S6'!C8</f>
        <v>2027640</v>
      </c>
      <c r="D8" s="143">
        <f t="shared" si="0"/>
        <v>-2651140</v>
      </c>
      <c r="F8" s="85">
        <f t="shared" ref="F8:G12" si="1">B8/B$7</f>
        <v>0.78385048006607505</v>
      </c>
      <c r="G8" s="85">
        <f t="shared" si="1"/>
        <v>0.80769115863313434</v>
      </c>
      <c r="H8" s="82">
        <f>F8*C$7</f>
        <v>1967790.0029150757</v>
      </c>
      <c r="I8" s="82"/>
      <c r="Q8" s="82"/>
      <c r="R8" s="81"/>
      <c r="S8" s="81"/>
    </row>
    <row r="9" spans="1:19" s="80" customFormat="1" outlineLevel="1" x14ac:dyDescent="0.35">
      <c r="A9" s="140" t="s">
        <v>6</v>
      </c>
      <c r="B9" s="139">
        <f>'S6'!B9</f>
        <v>927000</v>
      </c>
      <c r="C9" s="139">
        <f>'S6'!C9</f>
        <v>268725.00000000006</v>
      </c>
      <c r="D9" s="143">
        <f t="shared" si="0"/>
        <v>-658275</v>
      </c>
      <c r="F9" s="85">
        <f t="shared" si="1"/>
        <v>0.15530317625989074</v>
      </c>
      <c r="G9" s="85">
        <f t="shared" si="1"/>
        <v>0.10704405446908183</v>
      </c>
      <c r="H9" s="82">
        <f>F9*C$7</f>
        <v>389875.42323047359</v>
      </c>
      <c r="I9" s="82"/>
      <c r="Q9" s="82"/>
      <c r="R9" s="81"/>
      <c r="S9" s="81"/>
    </row>
    <row r="10" spans="1:19" s="80" customFormat="1" outlineLevel="1" x14ac:dyDescent="0.35">
      <c r="A10" s="140" t="s">
        <v>5</v>
      </c>
      <c r="B10" s="139">
        <f>'S6'!B10</f>
        <v>155750</v>
      </c>
      <c r="C10" s="139">
        <f>'S6'!C10</f>
        <v>186750</v>
      </c>
      <c r="D10" s="143">
        <f t="shared" si="0"/>
        <v>31000</v>
      </c>
      <c r="F10" s="85">
        <f t="shared" si="1"/>
        <v>2.609327907494928E-2</v>
      </c>
      <c r="G10" s="85">
        <f t="shared" si="1"/>
        <v>7.4390090881388135E-2</v>
      </c>
      <c r="H10" s="82">
        <f>F10*C$7</f>
        <v>65504.959188938796</v>
      </c>
      <c r="I10" s="82"/>
      <c r="Q10" s="82"/>
      <c r="R10" s="81"/>
      <c r="S10" s="81"/>
    </row>
    <row r="11" spans="1:19" s="80" customFormat="1" outlineLevel="1" x14ac:dyDescent="0.35">
      <c r="A11" s="140" t="s">
        <v>4</v>
      </c>
      <c r="B11" s="139">
        <f>'S6'!B11</f>
        <v>107440</v>
      </c>
      <c r="C11" s="139">
        <f>'S6'!C11</f>
        <v>0</v>
      </c>
      <c r="D11" s="143">
        <f t="shared" si="0"/>
        <v>-107440</v>
      </c>
      <c r="F11" s="85">
        <f t="shared" si="1"/>
        <v>1.7999755401685719E-2</v>
      </c>
      <c r="G11" s="85">
        <f t="shared" si="1"/>
        <v>0</v>
      </c>
      <c r="H11" s="82">
        <f>F11*C$7</f>
        <v>45186.855956722851</v>
      </c>
      <c r="I11" s="82"/>
      <c r="Q11" s="82"/>
      <c r="R11" s="81"/>
      <c r="S11" s="81"/>
    </row>
    <row r="12" spans="1:19" s="80" customFormat="1" outlineLevel="1" x14ac:dyDescent="0.35">
      <c r="A12" s="140" t="s">
        <v>3</v>
      </c>
      <c r="B12" s="139">
        <f>'S6'!B12</f>
        <v>100000</v>
      </c>
      <c r="C12" s="139">
        <f>'S6'!C12</f>
        <v>27300</v>
      </c>
      <c r="D12" s="143">
        <f t="shared" si="0"/>
        <v>-72700</v>
      </c>
      <c r="F12" s="85">
        <f t="shared" si="1"/>
        <v>1.6753309197399216E-2</v>
      </c>
      <c r="G12" s="85">
        <f t="shared" si="1"/>
        <v>1.0874696016395695E-2</v>
      </c>
      <c r="H12" s="82">
        <f>F12*C$7</f>
        <v>42057.758708788955</v>
      </c>
      <c r="I12" s="82"/>
      <c r="Q12" s="82"/>
      <c r="R12" s="81"/>
      <c r="S12" s="81"/>
    </row>
    <row r="13" spans="1:19" s="83" customFormat="1" x14ac:dyDescent="0.35">
      <c r="A13" s="142" t="s">
        <v>38</v>
      </c>
      <c r="B13" s="141">
        <v>30553.284880668703</v>
      </c>
      <c r="C13" s="141">
        <v>28801.443116591079</v>
      </c>
      <c r="D13" s="141">
        <f t="shared" si="0"/>
        <v>-1751.8417640776242</v>
      </c>
      <c r="I13" s="84">
        <f>SUM(I14:I18)</f>
        <v>80215848429.02124</v>
      </c>
    </row>
    <row r="14" spans="1:19" s="80" customFormat="1" outlineLevel="1" x14ac:dyDescent="0.35">
      <c r="A14" s="140" t="s">
        <v>7</v>
      </c>
      <c r="B14" s="139">
        <f>'S6'!B14</f>
        <v>32352.747404237853</v>
      </c>
      <c r="C14" s="139">
        <f>'S6'!C14</f>
        <v>32051.94404185751</v>
      </c>
      <c r="D14" s="143"/>
      <c r="I14" s="82">
        <f>H8*B14</f>
        <v>63663412908.895912</v>
      </c>
      <c r="K14" s="81"/>
    </row>
    <row r="15" spans="1:19" s="80" customFormat="1" outlineLevel="1" x14ac:dyDescent="0.35">
      <c r="A15" s="140" t="s">
        <v>6</v>
      </c>
      <c r="B15" s="139">
        <f>'S6'!B15</f>
        <v>33424.217907227612</v>
      </c>
      <c r="C15" s="139">
        <f>'S6'!C15</f>
        <v>26450.797011815048</v>
      </c>
      <c r="D15" s="143"/>
      <c r="I15" s="82">
        <f>H9*B15</f>
        <v>13031281102.72794</v>
      </c>
      <c r="K15" s="81"/>
    </row>
    <row r="16" spans="1:19" s="80" customFormat="1" outlineLevel="1" x14ac:dyDescent="0.35">
      <c r="A16" s="140" t="s">
        <v>5</v>
      </c>
      <c r="B16" s="139">
        <f>'S6'!B16</f>
        <v>20838.282504012837</v>
      </c>
      <c r="C16" s="139">
        <f>'S6'!C16</f>
        <v>16653.33369105255</v>
      </c>
      <c r="D16" s="143"/>
      <c r="I16" s="82">
        <f>H10*B16</f>
        <v>1365010844.9929383</v>
      </c>
      <c r="K16" s="81"/>
    </row>
    <row r="17" spans="1:17" s="80" customFormat="1" outlineLevel="1" x14ac:dyDescent="0.35">
      <c r="A17" s="140" t="s">
        <v>4</v>
      </c>
      <c r="B17" s="139">
        <f>'S6'!B17</f>
        <v>22120.485852568869</v>
      </c>
      <c r="C17" s="139">
        <f>'S6'!C17</f>
        <v>0</v>
      </c>
      <c r="D17" s="143"/>
      <c r="I17" s="82">
        <f>H11*B17</f>
        <v>999555207.91275513</v>
      </c>
      <c r="K17" s="81"/>
    </row>
    <row r="18" spans="1:17" s="80" customFormat="1" outlineLevel="1" x14ac:dyDescent="0.35">
      <c r="A18" s="140" t="s">
        <v>3</v>
      </c>
      <c r="B18" s="139">
        <f>'S6'!B18</f>
        <v>27499.999999999996</v>
      </c>
      <c r="C18" s="139">
        <f>'S6'!C18</f>
        <v>16523.033852161385</v>
      </c>
      <c r="D18" s="143"/>
      <c r="I18" s="82">
        <f>H12*B18</f>
        <v>1156588364.4916961</v>
      </c>
      <c r="K18" s="81"/>
    </row>
    <row r="19" spans="1:17" x14ac:dyDescent="0.35">
      <c r="A19" s="49" t="s">
        <v>37</v>
      </c>
      <c r="B19" s="48">
        <f>SUM(B20:B24)</f>
        <v>190727824999.99997</v>
      </c>
      <c r="C19" s="48">
        <f>SUM(C20:C24)</f>
        <v>75658883135.000015</v>
      </c>
      <c r="D19" s="114">
        <f>C19-B19</f>
        <v>-115068941864.99995</v>
      </c>
    </row>
    <row r="20" spans="1:17" s="79" customFormat="1" x14ac:dyDescent="0.35">
      <c r="A20" s="135" t="s">
        <v>7</v>
      </c>
      <c r="B20" s="134">
        <f t="shared" ref="B20:C24" si="2">B8*B14</f>
        <v>151371387499.99997</v>
      </c>
      <c r="C20" s="134">
        <f t="shared" si="2"/>
        <v>64989803817.03196</v>
      </c>
      <c r="D20" s="134">
        <f>C20-B20</f>
        <v>-86381583682.968018</v>
      </c>
      <c r="K20" s="81">
        <f>I14-B20</f>
        <v>-87707974591.104065</v>
      </c>
      <c r="L20" s="81">
        <f>C8*B14-I14</f>
        <v>1936311837.8329239</v>
      </c>
      <c r="M20" s="82">
        <f>D63*C8/10^3*$B$69</f>
        <v>-3557756286.6687517</v>
      </c>
      <c r="N20" s="82">
        <f>IFERROR(C20-C20/C70*B70,0)</f>
        <v>2947835356.9718704</v>
      </c>
    </row>
    <row r="21" spans="1:17" s="79" customFormat="1" x14ac:dyDescent="0.35">
      <c r="A21" s="135" t="s">
        <v>6</v>
      </c>
      <c r="B21" s="134">
        <f t="shared" si="2"/>
        <v>30984249999.999996</v>
      </c>
      <c r="C21" s="134">
        <f t="shared" si="2"/>
        <v>7107990427</v>
      </c>
      <c r="D21" s="134">
        <f t="shared" ref="D21:D24" si="3">C21-B21</f>
        <v>-23876259572.999996</v>
      </c>
      <c r="K21" s="81">
        <f>I15-B21</f>
        <v>-17952968897.272057</v>
      </c>
      <c r="L21" s="81">
        <f>C9*B15-I15</f>
        <v>-4049358145.6081982</v>
      </c>
      <c r="M21" s="82">
        <f>D64*C9/10^3*$B$69</f>
        <v>-2197261451.2703648</v>
      </c>
      <c r="N21" s="82">
        <f t="shared" ref="N21:N24" si="4">IFERROR(C21-C21/C71*B71,0)</f>
        <v>323328921.15062428</v>
      </c>
    </row>
    <row r="22" spans="1:17" s="79" customFormat="1" x14ac:dyDescent="0.35">
      <c r="A22" s="135" t="s">
        <v>5</v>
      </c>
      <c r="B22" s="134">
        <f t="shared" si="2"/>
        <v>3245562499.9999995</v>
      </c>
      <c r="C22" s="134">
        <f t="shared" si="2"/>
        <v>3110010066.8040638</v>
      </c>
      <c r="D22" s="134">
        <f t="shared" si="3"/>
        <v>-135552433.19593573</v>
      </c>
      <c r="K22" s="81">
        <f>I16-B22</f>
        <v>-1880551655.0070612</v>
      </c>
      <c r="L22" s="81">
        <f>C10*B16-I16</f>
        <v>2526538412.6314592</v>
      </c>
      <c r="M22" s="82">
        <f>D65*C10/10^3*$B$69</f>
        <v>-922650802.10231829</v>
      </c>
      <c r="N22" s="82">
        <f t="shared" si="4"/>
        <v>141111611.28198433</v>
      </c>
    </row>
    <row r="23" spans="1:17" s="79" customFormat="1" x14ac:dyDescent="0.35">
      <c r="A23" s="135" t="s">
        <v>4</v>
      </c>
      <c r="B23" s="134">
        <f t="shared" si="2"/>
        <v>2376624999.999999</v>
      </c>
      <c r="C23" s="134">
        <f t="shared" si="2"/>
        <v>0</v>
      </c>
      <c r="D23" s="134">
        <f t="shared" si="3"/>
        <v>-2376624999.999999</v>
      </c>
      <c r="K23" s="81">
        <f>I17-B23</f>
        <v>-1377069792.087244</v>
      </c>
      <c r="L23" s="81">
        <f>C11*B17-I17</f>
        <v>-999555207.91275513</v>
      </c>
      <c r="M23" s="82">
        <f>D66*C11/10^3*$B$69</f>
        <v>0</v>
      </c>
      <c r="N23" s="82">
        <f t="shared" si="4"/>
        <v>0</v>
      </c>
    </row>
    <row r="24" spans="1:17" s="79" customFormat="1" x14ac:dyDescent="0.35">
      <c r="A24" s="135" t="s">
        <v>3</v>
      </c>
      <c r="B24" s="134">
        <f t="shared" si="2"/>
        <v>2749999999.9999995</v>
      </c>
      <c r="C24" s="134">
        <f t="shared" si="2"/>
        <v>451078824.16400582</v>
      </c>
      <c r="D24" s="134">
        <f t="shared" si="3"/>
        <v>-2298921175.8359938</v>
      </c>
      <c r="K24" s="81">
        <f>I18-B24</f>
        <v>-1593411635.5083034</v>
      </c>
      <c r="L24" s="81">
        <f>C12*B18-I18</f>
        <v>-405838364.49169624</v>
      </c>
      <c r="M24" s="82">
        <f>D67*C12/10^3*$B$69</f>
        <v>-320159832.97656494</v>
      </c>
      <c r="N24" s="82">
        <f t="shared" si="4"/>
        <v>20488657.140570939</v>
      </c>
    </row>
    <row r="25" spans="1:17" s="50" customFormat="1" x14ac:dyDescent="0.35">
      <c r="A25" s="49" t="s">
        <v>36</v>
      </c>
      <c r="B25" s="48">
        <f>'S6'!B25</f>
        <v>3408550000</v>
      </c>
      <c r="C25" s="48">
        <f>'S6'!C25</f>
        <v>3395251201</v>
      </c>
      <c r="D25" s="48">
        <f>C25-B25</f>
        <v>-13298799</v>
      </c>
      <c r="O25" s="75">
        <f>D25</f>
        <v>-13298799</v>
      </c>
      <c r="P25" s="75"/>
      <c r="Q25" s="76">
        <f>SUM(K25:P25)</f>
        <v>-13298799</v>
      </c>
    </row>
    <row r="26" spans="1:17" s="50" customFormat="1" x14ac:dyDescent="0.35">
      <c r="A26" s="49" t="s">
        <v>35</v>
      </c>
      <c r="B26" s="48">
        <f>'S6'!B26</f>
        <v>2640000000</v>
      </c>
      <c r="C26" s="48">
        <f>'S6'!C26</f>
        <v>6989889073</v>
      </c>
      <c r="D26" s="48">
        <f>C26-B26</f>
        <v>4349889073</v>
      </c>
      <c r="O26" s="75">
        <f>D26</f>
        <v>4349889073</v>
      </c>
      <c r="P26" s="75"/>
      <c r="Q26" s="76">
        <f t="shared" ref="Q26:Q29" si="5">SUM(K26:P26)</f>
        <v>4349889073</v>
      </c>
    </row>
    <row r="27" spans="1:17" s="50" customFormat="1" x14ac:dyDescent="0.35">
      <c r="A27" s="49" t="s">
        <v>1</v>
      </c>
      <c r="B27" s="48">
        <f>'S6'!B27</f>
        <v>0</v>
      </c>
      <c r="C27" s="48">
        <f>'S6'!C27</f>
        <v>63558813.000030518</v>
      </c>
      <c r="D27" s="48">
        <f>C27-B27</f>
        <v>63558813.000030518</v>
      </c>
      <c r="O27" s="75">
        <f>D27</f>
        <v>63558813.000030518</v>
      </c>
      <c r="P27" s="75"/>
      <c r="Q27" s="76">
        <f t="shared" si="5"/>
        <v>63558813.000030518</v>
      </c>
    </row>
    <row r="28" spans="1:17" s="50" customFormat="1" x14ac:dyDescent="0.35">
      <c r="A28" s="49" t="s">
        <v>112</v>
      </c>
      <c r="B28" s="48">
        <f>'S8'!C27</f>
        <v>12485577500</v>
      </c>
      <c r="C28" s="48">
        <f>'S8'!G27</f>
        <v>2240298579.9999542</v>
      </c>
      <c r="D28" s="48">
        <f>C28-B28</f>
        <v>-10245278920.000046</v>
      </c>
      <c r="O28" s="75"/>
      <c r="P28" s="75">
        <f>D28</f>
        <v>-10245278920.000046</v>
      </c>
      <c r="Q28" s="76">
        <f>SUM(K28:P28)</f>
        <v>-10245278920.000046</v>
      </c>
    </row>
    <row r="29" spans="1:17" x14ac:dyDescent="0.35">
      <c r="A29" s="132" t="s">
        <v>114</v>
      </c>
      <c r="B29" s="131">
        <f>B19+B25+B26+B27+B28</f>
        <v>209261952499.99997</v>
      </c>
      <c r="C29" s="131">
        <f>C19+C25+C26+C27+C28</f>
        <v>88347880802</v>
      </c>
      <c r="D29" s="48">
        <f>C29-B29</f>
        <v>-120914071697.99997</v>
      </c>
      <c r="E29" s="1"/>
      <c r="K29" s="23">
        <f>SUM(K7:K28)</f>
        <v>-110511976570.97874</v>
      </c>
      <c r="L29" s="23">
        <f t="shared" ref="L29:P29" si="6">SUM(L7:L28)</f>
        <v>-991901467.54826641</v>
      </c>
      <c r="M29" s="23">
        <f t="shared" si="6"/>
        <v>-6997828373.0180006</v>
      </c>
      <c r="N29" s="23">
        <f t="shared" si="6"/>
        <v>3432764546.5450501</v>
      </c>
      <c r="O29" s="23">
        <f t="shared" si="6"/>
        <v>4400149087.0000305</v>
      </c>
      <c r="P29" s="23">
        <f t="shared" si="6"/>
        <v>-10245278920.000046</v>
      </c>
      <c r="Q29" s="75">
        <f t="shared" si="5"/>
        <v>-120914071697.99998</v>
      </c>
    </row>
    <row r="30" spans="1:17" x14ac:dyDescent="0.35">
      <c r="P30" s="21" t="s">
        <v>11</v>
      </c>
      <c r="Q30" s="74">
        <f>Q29-D29</f>
        <v>0</v>
      </c>
    </row>
    <row r="31" spans="1:17" s="83" customFormat="1" x14ac:dyDescent="0.35">
      <c r="A31" s="142" t="s">
        <v>74</v>
      </c>
      <c r="B31" s="141"/>
      <c r="C31" s="141"/>
      <c r="D31" s="141"/>
      <c r="I31" s="84"/>
    </row>
    <row r="32" spans="1:17" s="80" customFormat="1" outlineLevel="1" x14ac:dyDescent="0.35">
      <c r="A32" s="140" t="s">
        <v>7</v>
      </c>
      <c r="B32" s="139">
        <v>26183.033265674632</v>
      </c>
      <c r="C32" s="139">
        <v>28650.180264248109</v>
      </c>
      <c r="D32" s="139">
        <f>C32-B32</f>
        <v>2467.1469985734766</v>
      </c>
      <c r="I32" s="82"/>
      <c r="K32" s="81"/>
    </row>
    <row r="33" spans="1:24" s="80" customFormat="1" outlineLevel="1" x14ac:dyDescent="0.35">
      <c r="A33" s="140" t="s">
        <v>6</v>
      </c>
      <c r="B33" s="139">
        <v>27689.638943283306</v>
      </c>
      <c r="C33" s="139">
        <v>26257.810862405797</v>
      </c>
      <c r="D33" s="139">
        <f>C33-B33</f>
        <v>-1431.8280808775089</v>
      </c>
      <c r="I33" s="82"/>
      <c r="K33" s="81"/>
    </row>
    <row r="34" spans="1:24" s="80" customFormat="1" outlineLevel="1" x14ac:dyDescent="0.35">
      <c r="A34" s="140" t="s">
        <v>5</v>
      </c>
      <c r="B34" s="139">
        <v>15550.819868149008</v>
      </c>
      <c r="C34" s="139">
        <v>25048.537665327978</v>
      </c>
      <c r="D34" s="139">
        <f>C34-B34</f>
        <v>9497.7177971789697</v>
      </c>
      <c r="I34" s="82"/>
      <c r="K34" s="81"/>
    </row>
    <row r="35" spans="1:24" s="80" customFormat="1" outlineLevel="1" x14ac:dyDescent="0.35">
      <c r="A35" s="140" t="s">
        <v>4</v>
      </c>
      <c r="B35" s="139">
        <v>26359.463592779099</v>
      </c>
      <c r="C35" s="139">
        <v>0</v>
      </c>
      <c r="D35" s="139">
        <f>C35-B35</f>
        <v>-26359.463592779099</v>
      </c>
      <c r="I35" s="82"/>
      <c r="K35" s="81"/>
    </row>
    <row r="36" spans="1:24" s="80" customFormat="1" outlineLevel="1" x14ac:dyDescent="0.35">
      <c r="A36" s="140" t="s">
        <v>3</v>
      </c>
      <c r="B36" s="139">
        <v>27655.807203073808</v>
      </c>
      <c r="C36" s="139">
        <v>29006.96391941392</v>
      </c>
      <c r="D36" s="139">
        <f>C36-B36</f>
        <v>1351.1567163401123</v>
      </c>
      <c r="I36" s="82"/>
      <c r="K36" s="81"/>
    </row>
    <row r="37" spans="1:24" x14ac:dyDescent="0.35">
      <c r="A37" s="33"/>
      <c r="B37" s="33"/>
      <c r="C37" s="33"/>
      <c r="D37" s="33"/>
    </row>
    <row r="38" spans="1:24" x14ac:dyDescent="0.35">
      <c r="A38" s="49" t="s">
        <v>73</v>
      </c>
      <c r="B38" s="48">
        <f>SUM(B39:B43)</f>
        <v>156192629366.37653</v>
      </c>
      <c r="C38" s="48">
        <f>SUM(C39:C43)</f>
        <v>70618086259.000031</v>
      </c>
      <c r="D38" s="33"/>
      <c r="F38" s="156"/>
      <c r="G38" s="18"/>
    </row>
    <row r="39" spans="1:24" s="79" customFormat="1" x14ac:dyDescent="0.35">
      <c r="A39" s="135" t="s">
        <v>7</v>
      </c>
      <c r="B39" s="134">
        <f t="shared" ref="B39:C43" si="7">B32*B8</f>
        <v>122504652382.77316</v>
      </c>
      <c r="C39" s="134">
        <f t="shared" si="7"/>
        <v>58092251511.000038</v>
      </c>
      <c r="D39" s="135"/>
    </row>
    <row r="40" spans="1:24" s="79" customFormat="1" x14ac:dyDescent="0.35">
      <c r="A40" s="135" t="s">
        <v>6</v>
      </c>
      <c r="B40" s="134">
        <f t="shared" si="7"/>
        <v>25668295300.423626</v>
      </c>
      <c r="C40" s="134">
        <f t="shared" si="7"/>
        <v>7056130223.999999</v>
      </c>
      <c r="D40" s="135"/>
    </row>
    <row r="41" spans="1:24" s="79" customFormat="1" x14ac:dyDescent="0.35">
      <c r="A41" s="135" t="s">
        <v>5</v>
      </c>
      <c r="B41" s="134">
        <f t="shared" si="7"/>
        <v>2422040194.4642081</v>
      </c>
      <c r="C41" s="134">
        <f t="shared" si="7"/>
        <v>4677814409</v>
      </c>
      <c r="D41" s="135"/>
    </row>
    <row r="42" spans="1:24" s="79" customFormat="1" x14ac:dyDescent="0.35">
      <c r="A42" s="135" t="s">
        <v>4</v>
      </c>
      <c r="B42" s="134">
        <f t="shared" si="7"/>
        <v>2832060768.4081864</v>
      </c>
      <c r="C42" s="134">
        <f t="shared" si="7"/>
        <v>0</v>
      </c>
      <c r="D42" s="135"/>
    </row>
    <row r="43" spans="1:24" s="79" customFormat="1" x14ac:dyDescent="0.35">
      <c r="A43" s="135" t="s">
        <v>3</v>
      </c>
      <c r="B43" s="134">
        <f t="shared" si="7"/>
        <v>2765580720.3073807</v>
      </c>
      <c r="C43" s="134">
        <f t="shared" si="7"/>
        <v>791890115</v>
      </c>
      <c r="D43" s="135"/>
    </row>
    <row r="44" spans="1:24" s="50" customFormat="1" x14ac:dyDescent="0.35">
      <c r="A44" s="49" t="s">
        <v>36</v>
      </c>
      <c r="B44" s="48"/>
      <c r="C44" s="49"/>
      <c r="D44" s="49"/>
    </row>
    <row r="45" spans="1:24" s="50" customFormat="1" x14ac:dyDescent="0.35">
      <c r="A45" s="49" t="s">
        <v>35</v>
      </c>
      <c r="B45" s="209">
        <v>2359350000</v>
      </c>
      <c r="C45" s="209">
        <v>6217736669</v>
      </c>
      <c r="D45" s="49"/>
      <c r="F45" s="75"/>
    </row>
    <row r="46" spans="1:24" s="50" customFormat="1" x14ac:dyDescent="0.35">
      <c r="A46" s="49" t="s">
        <v>1</v>
      </c>
      <c r="B46" s="209">
        <v>2250000000</v>
      </c>
      <c r="C46" s="209">
        <v>4104777916.0000153</v>
      </c>
      <c r="D46" s="49"/>
    </row>
    <row r="47" spans="1:24" x14ac:dyDescent="0.35">
      <c r="A47" s="132" t="s">
        <v>87</v>
      </c>
      <c r="B47" s="131">
        <f>B38+B44+B45+B46</f>
        <v>160801979366.37653</v>
      </c>
      <c r="C47" s="131">
        <f>C38+C44+C45+C46</f>
        <v>80940600844.000046</v>
      </c>
      <c r="D47" s="33"/>
      <c r="E47" s="1"/>
      <c r="F47" s="1"/>
      <c r="K47" s="92" t="s">
        <v>48</v>
      </c>
      <c r="L47" s="91"/>
      <c r="M47" s="91"/>
      <c r="N47" s="91"/>
      <c r="O47" s="91"/>
      <c r="P47" s="91"/>
      <c r="Q47" s="91"/>
      <c r="S47" s="92" t="s">
        <v>72</v>
      </c>
      <c r="T47" s="91"/>
      <c r="U47" s="91"/>
      <c r="V47" s="91"/>
      <c r="W47" s="91"/>
      <c r="X47" s="212"/>
    </row>
    <row r="48" spans="1:24" x14ac:dyDescent="0.35">
      <c r="A48" s="108" t="s">
        <v>105</v>
      </c>
      <c r="B48" s="197">
        <f>'S7'!C3-'S8'!C3-B47</f>
        <v>0</v>
      </c>
      <c r="C48" s="197">
        <f>'S7'!G17-'S8'!G22-C47</f>
        <v>0</v>
      </c>
      <c r="D48" s="113"/>
      <c r="F48" s="137" t="s">
        <v>71</v>
      </c>
      <c r="G48" s="137" t="s">
        <v>70</v>
      </c>
      <c r="H48" s="138" t="s">
        <v>69</v>
      </c>
      <c r="K48" s="89" t="s">
        <v>16</v>
      </c>
      <c r="L48" s="89" t="s">
        <v>42</v>
      </c>
      <c r="M48" s="89" t="s">
        <v>14</v>
      </c>
      <c r="N48" s="89" t="s">
        <v>60</v>
      </c>
      <c r="O48" s="89" t="s">
        <v>12</v>
      </c>
      <c r="P48" s="89" t="s">
        <v>1</v>
      </c>
      <c r="Q48" s="89" t="s">
        <v>112</v>
      </c>
      <c r="S48" s="89" t="s">
        <v>16</v>
      </c>
      <c r="T48" s="89" t="s">
        <v>42</v>
      </c>
      <c r="U48" s="89" t="s">
        <v>50</v>
      </c>
      <c r="V48" s="89" t="s">
        <v>12</v>
      </c>
      <c r="W48" s="89" t="s">
        <v>1</v>
      </c>
      <c r="X48" s="213" t="s">
        <v>112</v>
      </c>
    </row>
    <row r="49" spans="1:25" x14ac:dyDescent="0.35">
      <c r="A49" s="49" t="s">
        <v>68</v>
      </c>
      <c r="B49" s="48">
        <f>SUM(B50:B54)</f>
        <v>34535195633.623398</v>
      </c>
      <c r="C49" s="48">
        <f>SUM(C50:C54)</f>
        <v>5040796875.9999924</v>
      </c>
      <c r="D49" s="48">
        <f t="shared" ref="D49:D59" si="8">C49-B49</f>
        <v>-29494398757.623405</v>
      </c>
      <c r="F49" s="137"/>
      <c r="G49" s="137"/>
      <c r="H49" s="136">
        <f>SUM(H50:H54)</f>
        <v>14524729249.197556</v>
      </c>
    </row>
    <row r="50" spans="1:25" x14ac:dyDescent="0.35">
      <c r="A50" s="135" t="s">
        <v>7</v>
      </c>
      <c r="B50" s="134">
        <f t="shared" ref="B50:C56" si="9">B20-B39</f>
        <v>28866735117.226807</v>
      </c>
      <c r="C50" s="134">
        <f t="shared" si="9"/>
        <v>6897552306.0319214</v>
      </c>
      <c r="D50" s="134">
        <f t="shared" si="8"/>
        <v>-21969182811.194885</v>
      </c>
      <c r="F50" s="40">
        <f t="shared" ref="F50:G54" si="10">B63*B70/10^3-B32</f>
        <v>6169.7141385632203</v>
      </c>
      <c r="G50" s="40">
        <f t="shared" si="10"/>
        <v>3401.7637776094016</v>
      </c>
      <c r="H50" s="133">
        <f>F50*H8</f>
        <v>12140701802.708504</v>
      </c>
      <c r="K50" s="18">
        <f>H50-B50</f>
        <v>-16726033314.518303</v>
      </c>
      <c r="L50" s="1">
        <f>C8*F50-H50</f>
        <v>369257373.20782471</v>
      </c>
      <c r="M50" s="1">
        <f>C8*D63*B70/10^3</f>
        <v>-3557756286.6687512</v>
      </c>
      <c r="N50" s="1">
        <f>-D32*C8</f>
        <v>-5002485940.1875238</v>
      </c>
      <c r="O50" s="18">
        <f>N20</f>
        <v>2947835356.9718704</v>
      </c>
      <c r="P50" s="18"/>
      <c r="R50" s="1"/>
      <c r="S50" s="18">
        <f t="shared" ref="S50:T54" si="11">K50</f>
        <v>-16726033314.518303</v>
      </c>
      <c r="T50" s="18">
        <f t="shared" si="11"/>
        <v>369257373.20782471</v>
      </c>
      <c r="U50" s="1">
        <f>M50+N50</f>
        <v>-8560242226.8562756</v>
      </c>
      <c r="V50" s="18">
        <f>O50</f>
        <v>2947835356.9718704</v>
      </c>
    </row>
    <row r="51" spans="1:25" x14ac:dyDescent="0.35">
      <c r="A51" s="135" t="s">
        <v>6</v>
      </c>
      <c r="B51" s="134">
        <f t="shared" si="9"/>
        <v>5315954699.5763702</v>
      </c>
      <c r="C51" s="134">
        <f t="shared" si="9"/>
        <v>51860203.000000954</v>
      </c>
      <c r="D51" s="134">
        <f t="shared" si="8"/>
        <v>-5264094496.5763693</v>
      </c>
      <c r="F51" s="40">
        <f t="shared" si="10"/>
        <v>5734.5789639443065</v>
      </c>
      <c r="G51" s="40">
        <f t="shared" si="10"/>
        <v>192.98614940925108</v>
      </c>
      <c r="H51" s="133">
        <f>F51*H9</f>
        <v>2235771400.6163573</v>
      </c>
      <c r="K51" s="18">
        <f>H51-B51</f>
        <v>-3080183298.9600129</v>
      </c>
      <c r="L51" s="1">
        <f>C9*F51-H51</f>
        <v>-694746668.53042316</v>
      </c>
      <c r="M51" s="1">
        <f>C9*D64*B71/10^3</f>
        <v>-2197261451.2703648</v>
      </c>
      <c r="N51" s="1">
        <f>-D33*C9</f>
        <v>384768001.03380865</v>
      </c>
      <c r="O51" s="18">
        <f>N21</f>
        <v>323328921.15062428</v>
      </c>
      <c r="P51" s="18"/>
      <c r="R51" s="1"/>
      <c r="S51" s="18">
        <f t="shared" si="11"/>
        <v>-3080183298.9600129</v>
      </c>
      <c r="T51" s="18">
        <f t="shared" si="11"/>
        <v>-694746668.53042316</v>
      </c>
      <c r="U51" s="1">
        <f>M51+N51</f>
        <v>-1812493450.2365561</v>
      </c>
      <c r="V51" s="18">
        <f>O51</f>
        <v>323328921.15062428</v>
      </c>
    </row>
    <row r="52" spans="1:25" x14ac:dyDescent="0.35">
      <c r="A52" s="135" t="s">
        <v>5</v>
      </c>
      <c r="B52" s="134">
        <f t="shared" si="9"/>
        <v>823522305.5357914</v>
      </c>
      <c r="C52" s="134">
        <f t="shared" si="9"/>
        <v>-1567804342.1959362</v>
      </c>
      <c r="D52" s="134">
        <f t="shared" si="8"/>
        <v>-2391326647.7317276</v>
      </c>
      <c r="F52" s="40">
        <f t="shared" si="10"/>
        <v>5287.4626358638288</v>
      </c>
      <c r="G52" s="40">
        <f t="shared" si="10"/>
        <v>-8395.2039742754278</v>
      </c>
      <c r="H52" s="133">
        <f>F52*H10</f>
        <v>346355024.17529887</v>
      </c>
      <c r="K52" s="18">
        <f>H52-B52</f>
        <v>-477167281.36049253</v>
      </c>
      <c r="L52" s="1">
        <f>C10*F52-H52</f>
        <v>641078623.07227111</v>
      </c>
      <c r="M52" s="1">
        <f>C10*D65*B72/10^3</f>
        <v>-922650802.10231829</v>
      </c>
      <c r="N52" s="1">
        <f>-D34*C10</f>
        <v>-1773698798.6231725</v>
      </c>
      <c r="O52" s="18">
        <f>N22</f>
        <v>141111611.28198433</v>
      </c>
      <c r="P52" s="18"/>
      <c r="R52" s="1"/>
      <c r="S52" s="18">
        <f t="shared" si="11"/>
        <v>-477167281.36049253</v>
      </c>
      <c r="T52" s="18">
        <f t="shared" si="11"/>
        <v>641078623.07227111</v>
      </c>
      <c r="U52" s="1">
        <f>M52+N52</f>
        <v>-2696349600.7254906</v>
      </c>
      <c r="V52" s="18">
        <f>O52</f>
        <v>141111611.28198433</v>
      </c>
    </row>
    <row r="53" spans="1:25" x14ac:dyDescent="0.35">
      <c r="A53" s="135" t="s">
        <v>4</v>
      </c>
      <c r="B53" s="134">
        <f t="shared" si="9"/>
        <v>-455435768.40818739</v>
      </c>
      <c r="C53" s="134">
        <f t="shared" si="9"/>
        <v>0</v>
      </c>
      <c r="D53" s="134">
        <f t="shared" si="8"/>
        <v>455435768.40818739</v>
      </c>
      <c r="F53" s="40">
        <f t="shared" si="10"/>
        <v>-4238.97774021023</v>
      </c>
      <c r="G53" s="40">
        <f t="shared" si="10"/>
        <v>0</v>
      </c>
      <c r="H53" s="133">
        <f>F53*H11</f>
        <v>-191546076.55063421</v>
      </c>
      <c r="K53" s="18">
        <f>H53-B53</f>
        <v>263889691.85755318</v>
      </c>
      <c r="L53" s="1">
        <f>C11*F53-H53</f>
        <v>191546076.55063421</v>
      </c>
      <c r="M53" s="1">
        <f>C11*D66*B73/10^3</f>
        <v>0</v>
      </c>
      <c r="N53" s="1">
        <f>-D35*C11</f>
        <v>0</v>
      </c>
      <c r="O53" s="18">
        <f>N23</f>
        <v>0</v>
      </c>
      <c r="P53" s="18"/>
      <c r="R53" s="1"/>
      <c r="S53" s="18">
        <f t="shared" si="11"/>
        <v>263889691.85755318</v>
      </c>
      <c r="T53" s="18">
        <f t="shared" si="11"/>
        <v>191546076.55063421</v>
      </c>
      <c r="U53" s="1">
        <f>M53+N53</f>
        <v>0</v>
      </c>
      <c r="V53" s="18">
        <f>O53</f>
        <v>0</v>
      </c>
    </row>
    <row r="54" spans="1:25" x14ac:dyDescent="0.35">
      <c r="A54" s="135" t="s">
        <v>3</v>
      </c>
      <c r="B54" s="134">
        <f t="shared" si="9"/>
        <v>-15580720.307381153</v>
      </c>
      <c r="C54" s="134">
        <f t="shared" si="9"/>
        <v>-340811290.83599418</v>
      </c>
      <c r="D54" s="134">
        <f t="shared" si="8"/>
        <v>-325230570.52861303</v>
      </c>
      <c r="F54" s="40">
        <f t="shared" si="10"/>
        <v>-155.80720307381125</v>
      </c>
      <c r="G54" s="40">
        <f t="shared" si="10"/>
        <v>-12483.930067252535</v>
      </c>
      <c r="H54" s="133">
        <f>F54*H12</f>
        <v>-6552901.7519696346</v>
      </c>
      <c r="K54" s="18">
        <f>H54-B54</f>
        <v>9027818.5554115176</v>
      </c>
      <c r="L54" s="1">
        <f>C12*F54-H54</f>
        <v>2299365.1080545876</v>
      </c>
      <c r="M54" s="1">
        <f>C12*D67*B74/10^3</f>
        <v>-320159832.97656494</v>
      </c>
      <c r="N54" s="1">
        <f>-D36*C12</f>
        <v>-36886578.356085069</v>
      </c>
      <c r="O54" s="18">
        <f>N24</f>
        <v>20488657.140570939</v>
      </c>
      <c r="P54" s="18"/>
      <c r="R54" s="1"/>
      <c r="S54" s="18">
        <f t="shared" si="11"/>
        <v>9027818.5554115176</v>
      </c>
      <c r="T54" s="18">
        <f t="shared" si="11"/>
        <v>2299365.1080545876</v>
      </c>
      <c r="U54" s="1">
        <f>M54+N54</f>
        <v>-357046411.33265001</v>
      </c>
      <c r="V54" s="18">
        <f>O54</f>
        <v>20488657.140570939</v>
      </c>
    </row>
    <row r="55" spans="1:25" x14ac:dyDescent="0.35">
      <c r="A55" s="49" t="s">
        <v>36</v>
      </c>
      <c r="B55" s="48">
        <f t="shared" si="9"/>
        <v>3408550000</v>
      </c>
      <c r="C55" s="48">
        <f t="shared" si="9"/>
        <v>3395251201</v>
      </c>
      <c r="D55" s="48">
        <f t="shared" si="8"/>
        <v>-13298799</v>
      </c>
      <c r="H55" s="9"/>
      <c r="P55" s="18">
        <f>D55</f>
        <v>-13298799</v>
      </c>
      <c r="Q55" s="18"/>
      <c r="W55" s="18">
        <f>P55</f>
        <v>-13298799</v>
      </c>
      <c r="X55" s="18"/>
    </row>
    <row r="56" spans="1:25" x14ac:dyDescent="0.35">
      <c r="A56" s="49" t="s">
        <v>35</v>
      </c>
      <c r="B56" s="48">
        <f t="shared" si="9"/>
        <v>280650000</v>
      </c>
      <c r="C56" s="48">
        <f t="shared" si="9"/>
        <v>772152404</v>
      </c>
      <c r="D56" s="48">
        <f t="shared" si="8"/>
        <v>491502404</v>
      </c>
      <c r="H56" s="9"/>
      <c r="P56" s="18">
        <f t="shared" ref="P56:P57" si="12">D56</f>
        <v>491502404</v>
      </c>
      <c r="Q56" s="18"/>
      <c r="W56" s="18">
        <f t="shared" ref="W56:X58" si="13">P56</f>
        <v>491502404</v>
      </c>
      <c r="X56" s="18"/>
    </row>
    <row r="57" spans="1:25" x14ac:dyDescent="0.35">
      <c r="A57" s="49" t="s">
        <v>1</v>
      </c>
      <c r="B57" s="48">
        <f t="shared" ref="B57:C57" si="14">B27-B46</f>
        <v>-2250000000</v>
      </c>
      <c r="C57" s="48">
        <f t="shared" si="14"/>
        <v>-4041219102.9999847</v>
      </c>
      <c r="D57" s="48">
        <f t="shared" si="8"/>
        <v>-1791219102.9999847</v>
      </c>
      <c r="H57" s="9"/>
      <c r="P57" s="18">
        <f t="shared" si="12"/>
        <v>-1791219102.9999847</v>
      </c>
      <c r="Q57" s="18"/>
      <c r="W57" s="18">
        <f t="shared" si="13"/>
        <v>-1791219102.9999847</v>
      </c>
      <c r="X57" s="18"/>
    </row>
    <row r="58" spans="1:25" x14ac:dyDescent="0.35">
      <c r="A58" s="49" t="s">
        <v>112</v>
      </c>
      <c r="B58" s="48">
        <f>B28</f>
        <v>12485577500</v>
      </c>
      <c r="C58" s="48">
        <f>C28</f>
        <v>2240298579.9999542</v>
      </c>
      <c r="D58" s="48">
        <f t="shared" si="8"/>
        <v>-10245278920.000046</v>
      </c>
      <c r="H58" s="9"/>
      <c r="Q58" s="18">
        <f>D58</f>
        <v>-10245278920.000046</v>
      </c>
      <c r="W58" s="18"/>
      <c r="X58" s="18">
        <f t="shared" si="13"/>
        <v>-10245278920.000046</v>
      </c>
    </row>
    <row r="59" spans="1:25" x14ac:dyDescent="0.35">
      <c r="A59" s="132" t="s">
        <v>67</v>
      </c>
      <c r="B59" s="131">
        <f>B49+B55+B56+B57+B58</f>
        <v>48459973133.623398</v>
      </c>
      <c r="C59" s="131">
        <f>C49+C55+C56+C57+C58</f>
        <v>7407279957.9999619</v>
      </c>
      <c r="D59" s="131">
        <f t="shared" si="8"/>
        <v>-41052693175.623436</v>
      </c>
      <c r="K59" s="23">
        <f>SUM(K49:K58)</f>
        <v>-20010466384.425846</v>
      </c>
      <c r="L59" s="23">
        <f t="shared" ref="L59:Q59" si="15">SUM(L49:L58)</f>
        <v>509434769.40836143</v>
      </c>
      <c r="M59" s="23">
        <f t="shared" si="15"/>
        <v>-6997828373.0179987</v>
      </c>
      <c r="N59" s="23">
        <f t="shared" si="15"/>
        <v>-6428303316.1329727</v>
      </c>
      <c r="O59" s="23">
        <f t="shared" si="15"/>
        <v>3432764546.5450501</v>
      </c>
      <c r="P59" s="23">
        <f t="shared" si="15"/>
        <v>-1313015497.9999847</v>
      </c>
      <c r="Q59" s="23">
        <f t="shared" si="15"/>
        <v>-10245278920.000046</v>
      </c>
      <c r="S59" s="23">
        <f t="shared" ref="S59" si="16">SUM(S49:S58)</f>
        <v>-20010466384.425846</v>
      </c>
      <c r="T59" s="23">
        <f t="shared" ref="T59" si="17">SUM(T49:T58)</f>
        <v>509434769.40836143</v>
      </c>
      <c r="U59" s="23">
        <f t="shared" ref="U59" si="18">SUM(U49:U58)</f>
        <v>-13426131689.15097</v>
      </c>
      <c r="V59" s="23">
        <f t="shared" ref="V59" si="19">SUM(V49:V58)</f>
        <v>3432764546.5450501</v>
      </c>
      <c r="W59" s="23">
        <f t="shared" ref="W59" si="20">SUM(W49:W58)</f>
        <v>-1313015497.9999847</v>
      </c>
      <c r="X59" s="23">
        <f t="shared" ref="X59" si="21">SUM(X49:X58)</f>
        <v>-10245278920.000046</v>
      </c>
      <c r="Y59" s="18">
        <f>SUM(S59:X59)</f>
        <v>-41052693175.623436</v>
      </c>
    </row>
    <row r="60" spans="1:25" s="21" customFormat="1" x14ac:dyDescent="0.35">
      <c r="A60" s="130" t="s">
        <v>11</v>
      </c>
      <c r="B60" s="62">
        <f>B59-'S8'!C3</f>
        <v>0</v>
      </c>
      <c r="C60" s="62">
        <f>C59-'S8'!G22</f>
        <v>0</v>
      </c>
      <c r="F60" s="74"/>
      <c r="X60" s="21" t="s">
        <v>11</v>
      </c>
      <c r="Y60" s="74">
        <f>Y59-D59</f>
        <v>0</v>
      </c>
    </row>
    <row r="61" spans="1:25" x14ac:dyDescent="0.35">
      <c r="B61" s="18"/>
    </row>
    <row r="62" spans="1:25" x14ac:dyDescent="0.35">
      <c r="A62" s="73" t="s">
        <v>34</v>
      </c>
      <c r="B62" s="72" t="s">
        <v>9</v>
      </c>
      <c r="C62" s="72" t="s">
        <v>8</v>
      </c>
      <c r="D62" s="71"/>
    </row>
    <row r="63" spans="1:25" x14ac:dyDescent="0.35">
      <c r="A63" s="70" t="s">
        <v>7</v>
      </c>
      <c r="B63" s="69">
        <f>'S6'!B33</f>
        <v>1294.1098961695143</v>
      </c>
      <c r="C63" s="69">
        <f>'S6'!C33</f>
        <v>1223.9247294403365</v>
      </c>
      <c r="D63" s="69">
        <f>C63-B63</f>
        <v>-70.185166729177809</v>
      </c>
      <c r="L63" s="18"/>
      <c r="Q63" s="1"/>
    </row>
    <row r="64" spans="1:25" x14ac:dyDescent="0.35">
      <c r="A64" s="70" t="s">
        <v>6</v>
      </c>
      <c r="B64" s="69">
        <f>'S6'!B34</f>
        <v>1336.9687162891046</v>
      </c>
      <c r="C64" s="69">
        <f>'S6'!C34</f>
        <v>1009.9040291523864</v>
      </c>
      <c r="D64" s="69">
        <f>C64-B64</f>
        <v>-327.06468713671813</v>
      </c>
      <c r="Q64" s="18"/>
    </row>
    <row r="65" spans="1:17" x14ac:dyDescent="0.35">
      <c r="A65" s="70" t="s">
        <v>5</v>
      </c>
      <c r="B65" s="69">
        <f>'S6'!B35</f>
        <v>833.53130016051364</v>
      </c>
      <c r="C65" s="69">
        <f>'S6'!C35</f>
        <v>635.90863839830354</v>
      </c>
      <c r="D65" s="69">
        <f>C65-B65</f>
        <v>-197.6226617622101</v>
      </c>
      <c r="O65" s="18"/>
      <c r="P65" s="18"/>
    </row>
    <row r="66" spans="1:17" x14ac:dyDescent="0.35">
      <c r="A66" s="70" t="s">
        <v>4</v>
      </c>
      <c r="B66" s="69">
        <f>'S6'!B36</f>
        <v>884.81943410275494</v>
      </c>
      <c r="C66" s="69">
        <f>'S6'!C36</f>
        <v>0</v>
      </c>
      <c r="D66" s="69">
        <f>C66-B66</f>
        <v>-884.81943410275494</v>
      </c>
      <c r="O66" s="1"/>
      <c r="P66" s="1"/>
    </row>
    <row r="67" spans="1:17" x14ac:dyDescent="0.35">
      <c r="A67" s="70" t="s">
        <v>3</v>
      </c>
      <c r="B67" s="69">
        <f>'S6'!B37</f>
        <v>1100</v>
      </c>
      <c r="C67" s="69">
        <f>'S6'!C37</f>
        <v>630.9013436240806</v>
      </c>
      <c r="D67" s="69">
        <f>C67-B67</f>
        <v>-469.0986563759194</v>
      </c>
    </row>
    <row r="69" spans="1:17" x14ac:dyDescent="0.35">
      <c r="A69" s="68" t="s">
        <v>33</v>
      </c>
      <c r="B69" s="67">
        <f>'S6'!B39</f>
        <v>24999.999999999996</v>
      </c>
      <c r="C69" s="67">
        <f>'S6'!C39</f>
        <v>26188.206413254738</v>
      </c>
      <c r="D69" s="65"/>
      <c r="N69" s="18"/>
      <c r="O69" s="18"/>
      <c r="P69" s="18"/>
      <c r="Q69" s="66"/>
    </row>
    <row r="70" spans="1:17" x14ac:dyDescent="0.35">
      <c r="A70" s="65" t="s">
        <v>7</v>
      </c>
      <c r="B70" s="44">
        <f>'S6'!B40</f>
        <v>24999.999999999996</v>
      </c>
      <c r="C70" s="44">
        <f>'S6'!C40</f>
        <v>26187.839228082179</v>
      </c>
      <c r="D70" s="65"/>
    </row>
    <row r="71" spans="1:17" x14ac:dyDescent="0.35">
      <c r="A71" s="65" t="s">
        <v>6</v>
      </c>
      <c r="B71" s="44">
        <f>'S6'!B41</f>
        <v>24999.999999999996</v>
      </c>
      <c r="C71" s="44">
        <f>'S6'!C41</f>
        <v>26191.396655794346</v>
      </c>
      <c r="D71" s="65"/>
    </row>
    <row r="72" spans="1:17" x14ac:dyDescent="0.35">
      <c r="A72" s="65" t="s">
        <v>5</v>
      </c>
      <c r="B72" s="44">
        <f>'S6'!B42</f>
        <v>24999.999999999996</v>
      </c>
      <c r="C72" s="44">
        <f>'S6'!C42</f>
        <v>26188.248885874826</v>
      </c>
      <c r="D72" s="65"/>
    </row>
    <row r="73" spans="1:17" x14ac:dyDescent="0.35">
      <c r="A73" s="65" t="s">
        <v>4</v>
      </c>
      <c r="B73" s="44">
        <f>'S6'!B43</f>
        <v>24999.999999999996</v>
      </c>
      <c r="C73" s="44">
        <f>'S6'!C43</f>
        <v>0</v>
      </c>
      <c r="D73" s="65"/>
    </row>
    <row r="74" spans="1:17" x14ac:dyDescent="0.35">
      <c r="A74" s="65" t="s">
        <v>3</v>
      </c>
      <c r="B74" s="44">
        <f>'S6'!B44</f>
        <v>24999.999999999996</v>
      </c>
      <c r="C74" s="44">
        <f>'S6'!C44</f>
        <v>26189.568336070231</v>
      </c>
      <c r="D74" s="65"/>
    </row>
    <row r="77" spans="1:17" x14ac:dyDescent="0.35">
      <c r="A77" s="49" t="s">
        <v>32</v>
      </c>
      <c r="B77" s="33"/>
      <c r="C77" s="33"/>
      <c r="D77" s="33"/>
      <c r="E77" s="33"/>
      <c r="F77" s="33"/>
      <c r="G77" s="33"/>
    </row>
    <row r="78" spans="1:17" x14ac:dyDescent="0.35">
      <c r="A78" s="49"/>
      <c r="B78" s="49"/>
      <c r="C78" s="49" t="s">
        <v>28</v>
      </c>
      <c r="D78" s="49" t="s">
        <v>27</v>
      </c>
      <c r="E78" s="49" t="s">
        <v>26</v>
      </c>
      <c r="F78" s="49" t="s">
        <v>25</v>
      </c>
      <c r="G78" s="49" t="s">
        <v>24</v>
      </c>
    </row>
    <row r="79" spans="1:17" x14ac:dyDescent="0.35">
      <c r="A79" s="49" t="str">
        <f>'S7'!A3</f>
        <v>KH T11</v>
      </c>
      <c r="B79" s="49"/>
      <c r="C79" s="103">
        <f>B59</f>
        <v>48459973133.623398</v>
      </c>
      <c r="D79" s="51"/>
      <c r="E79" s="53"/>
      <c r="F79" s="52"/>
      <c r="G79" s="51"/>
    </row>
    <row r="80" spans="1:17" x14ac:dyDescent="0.35">
      <c r="A80" s="33" t="s">
        <v>7</v>
      </c>
      <c r="B80" s="33" t="s">
        <v>16</v>
      </c>
      <c r="C80" s="32"/>
      <c r="D80" s="32">
        <f>C79-F80</f>
        <v>31733939819.105095</v>
      </c>
      <c r="E80" s="31">
        <f t="shared" ref="E80:E96" si="22">IF(H80&gt;0,H80,0)</f>
        <v>0</v>
      </c>
      <c r="F80" s="30">
        <f t="shared" ref="F80:F96" si="23">IF(H80&lt;0,-H80,0)</f>
        <v>16726033314.518303</v>
      </c>
      <c r="G80" s="32"/>
      <c r="H80" s="63" cm="1">
        <f t="array" ref="H80:H82">TRANSPOSE(S50:U50)</f>
        <v>-16726033314.518303</v>
      </c>
    </row>
    <row r="81" spans="1:8" x14ac:dyDescent="0.35">
      <c r="A81" s="33"/>
      <c r="B81" s="33" t="s">
        <v>31</v>
      </c>
      <c r="C81" s="32"/>
      <c r="D81" s="32">
        <f t="shared" ref="D81:D96" si="24">D80+E80-F81</f>
        <v>31733939819.105095</v>
      </c>
      <c r="E81" s="31">
        <f t="shared" si="22"/>
        <v>369257373.20782471</v>
      </c>
      <c r="F81" s="30">
        <f t="shared" si="23"/>
        <v>0</v>
      </c>
      <c r="G81" s="32"/>
      <c r="H81" s="63">
        <v>369257373.20782471</v>
      </c>
    </row>
    <row r="82" spans="1:8" x14ac:dyDescent="0.35">
      <c r="A82" s="33"/>
      <c r="B82" s="33" t="s">
        <v>50</v>
      </c>
      <c r="C82" s="32"/>
      <c r="D82" s="32">
        <f t="shared" si="24"/>
        <v>23542954965.456642</v>
      </c>
      <c r="E82" s="31">
        <f t="shared" si="22"/>
        <v>0</v>
      </c>
      <c r="F82" s="30">
        <f t="shared" si="23"/>
        <v>8560242226.8562756</v>
      </c>
      <c r="G82" s="32"/>
      <c r="H82" s="63">
        <v>-8560242226.8562756</v>
      </c>
    </row>
    <row r="83" spans="1:8" x14ac:dyDescent="0.35">
      <c r="A83" s="33" t="s">
        <v>6</v>
      </c>
      <c r="B83" s="33" t="s">
        <v>16</v>
      </c>
      <c r="C83" s="32"/>
      <c r="D83" s="32">
        <f t="shared" si="24"/>
        <v>20462771666.496628</v>
      </c>
      <c r="E83" s="31">
        <f t="shared" si="22"/>
        <v>0</v>
      </c>
      <c r="F83" s="30">
        <f t="shared" si="23"/>
        <v>3080183298.9600129</v>
      </c>
      <c r="G83" s="32"/>
      <c r="H83" s="63" cm="1">
        <f t="array" ref="H83:H85">TRANSPOSE(S51:U51)</f>
        <v>-3080183298.9600129</v>
      </c>
    </row>
    <row r="84" spans="1:8" x14ac:dyDescent="0.35">
      <c r="A84" s="33"/>
      <c r="B84" s="33" t="s">
        <v>31</v>
      </c>
      <c r="C84" s="32"/>
      <c r="D84" s="32">
        <f t="shared" si="24"/>
        <v>19768024997.966206</v>
      </c>
      <c r="E84" s="31">
        <f t="shared" si="22"/>
        <v>0</v>
      </c>
      <c r="F84" s="30">
        <f t="shared" si="23"/>
        <v>694746668.53042316</v>
      </c>
      <c r="G84" s="32"/>
      <c r="H84" s="63">
        <v>-694746668.53042316</v>
      </c>
    </row>
    <row r="85" spans="1:8" x14ac:dyDescent="0.35">
      <c r="A85" s="33"/>
      <c r="B85" s="33" t="s">
        <v>50</v>
      </c>
      <c r="C85" s="32"/>
      <c r="D85" s="32">
        <f t="shared" si="24"/>
        <v>17955531547.729649</v>
      </c>
      <c r="E85" s="31">
        <f t="shared" si="22"/>
        <v>0</v>
      </c>
      <c r="F85" s="30">
        <f t="shared" si="23"/>
        <v>1812493450.2365561</v>
      </c>
      <c r="G85" s="32"/>
      <c r="H85" s="63">
        <v>-1812493450.2365561</v>
      </c>
    </row>
    <row r="86" spans="1:8" x14ac:dyDescent="0.35">
      <c r="A86" s="33" t="s">
        <v>5</v>
      </c>
      <c r="B86" s="33" t="s">
        <v>16</v>
      </c>
      <c r="C86" s="32"/>
      <c r="D86" s="32">
        <f t="shared" si="24"/>
        <v>17478364266.369156</v>
      </c>
      <c r="E86" s="31">
        <f t="shared" si="22"/>
        <v>0</v>
      </c>
      <c r="F86" s="30">
        <f t="shared" si="23"/>
        <v>477167281.36049253</v>
      </c>
      <c r="G86" s="32"/>
      <c r="H86" s="63" cm="1">
        <f t="array" ref="H86:H88">TRANSPOSE(S52:U52)</f>
        <v>-477167281.36049253</v>
      </c>
    </row>
    <row r="87" spans="1:8" x14ac:dyDescent="0.35">
      <c r="A87" s="33"/>
      <c r="B87" s="33" t="s">
        <v>31</v>
      </c>
      <c r="C87" s="32"/>
      <c r="D87" s="32">
        <f t="shared" si="24"/>
        <v>17478364266.369156</v>
      </c>
      <c r="E87" s="31">
        <f t="shared" si="22"/>
        <v>641078623.07227111</v>
      </c>
      <c r="F87" s="30">
        <f t="shared" si="23"/>
        <v>0</v>
      </c>
      <c r="G87" s="32"/>
      <c r="H87" s="63">
        <v>641078623.07227111</v>
      </c>
    </row>
    <row r="88" spans="1:8" x14ac:dyDescent="0.35">
      <c r="A88" s="33"/>
      <c r="B88" s="33" t="s">
        <v>50</v>
      </c>
      <c r="C88" s="32"/>
      <c r="D88" s="32">
        <f t="shared" si="24"/>
        <v>15423093288.715935</v>
      </c>
      <c r="E88" s="31">
        <f t="shared" si="22"/>
        <v>0</v>
      </c>
      <c r="F88" s="30">
        <f t="shared" si="23"/>
        <v>2696349600.7254906</v>
      </c>
      <c r="G88" s="32"/>
      <c r="H88" s="63">
        <v>-2696349600.7254906</v>
      </c>
    </row>
    <row r="89" spans="1:8" x14ac:dyDescent="0.35">
      <c r="A89" s="33" t="s">
        <v>4</v>
      </c>
      <c r="B89" s="33" t="s">
        <v>16</v>
      </c>
      <c r="C89" s="32"/>
      <c r="D89" s="32">
        <f t="shared" si="24"/>
        <v>15423093288.715935</v>
      </c>
      <c r="E89" s="31">
        <f t="shared" si="22"/>
        <v>263889691.85755318</v>
      </c>
      <c r="F89" s="30">
        <f t="shared" si="23"/>
        <v>0</v>
      </c>
      <c r="G89" s="32"/>
      <c r="H89" s="63" cm="1">
        <f t="array" ref="H89:H91">TRANSPOSE(S53:U53)</f>
        <v>263889691.85755318</v>
      </c>
    </row>
    <row r="90" spans="1:8" x14ac:dyDescent="0.35">
      <c r="A90" s="33"/>
      <c r="B90" s="33" t="s">
        <v>31</v>
      </c>
      <c r="C90" s="32"/>
      <c r="D90" s="32">
        <f t="shared" si="24"/>
        <v>15686982980.573488</v>
      </c>
      <c r="E90" s="31">
        <f t="shared" si="22"/>
        <v>191546076.55063421</v>
      </c>
      <c r="F90" s="30">
        <f t="shared" si="23"/>
        <v>0</v>
      </c>
      <c r="G90" s="32"/>
      <c r="H90" s="63">
        <v>191546076.55063421</v>
      </c>
    </row>
    <row r="91" spans="1:8" x14ac:dyDescent="0.35">
      <c r="A91" s="33"/>
      <c r="B91" s="33" t="s">
        <v>50</v>
      </c>
      <c r="C91" s="32"/>
      <c r="D91" s="32">
        <f t="shared" si="24"/>
        <v>15878529057.124123</v>
      </c>
      <c r="E91" s="31">
        <f t="shared" si="22"/>
        <v>0</v>
      </c>
      <c r="F91" s="30">
        <f t="shared" si="23"/>
        <v>0</v>
      </c>
      <c r="G91" s="32"/>
      <c r="H91" s="63">
        <v>0</v>
      </c>
    </row>
    <row r="92" spans="1:8" x14ac:dyDescent="0.35">
      <c r="A92" s="33" t="s">
        <v>3</v>
      </c>
      <c r="B92" s="33" t="s">
        <v>16</v>
      </c>
      <c r="C92" s="32"/>
      <c r="D92" s="32">
        <f t="shared" si="24"/>
        <v>15878529057.124123</v>
      </c>
      <c r="E92" s="31">
        <f t="shared" si="22"/>
        <v>9027818.5554115176</v>
      </c>
      <c r="F92" s="30">
        <f t="shared" si="23"/>
        <v>0</v>
      </c>
      <c r="G92" s="32"/>
      <c r="H92" s="63" cm="1">
        <f t="array" ref="H92:H94">TRANSPOSE(S54:U54)</f>
        <v>9027818.5554115176</v>
      </c>
    </row>
    <row r="93" spans="1:8" x14ac:dyDescent="0.35">
      <c r="A93" s="33"/>
      <c r="B93" s="33" t="s">
        <v>31</v>
      </c>
      <c r="C93" s="32"/>
      <c r="D93" s="32">
        <f t="shared" si="24"/>
        <v>15887556875.679535</v>
      </c>
      <c r="E93" s="31">
        <f t="shared" si="22"/>
        <v>2299365.1080545876</v>
      </c>
      <c r="F93" s="30">
        <f t="shared" si="23"/>
        <v>0</v>
      </c>
      <c r="G93" s="32"/>
      <c r="H93" s="63">
        <v>2299365.1080545876</v>
      </c>
    </row>
    <row r="94" spans="1:8" x14ac:dyDescent="0.35">
      <c r="A94" s="33"/>
      <c r="B94" s="33" t="s">
        <v>50</v>
      </c>
      <c r="C94" s="32"/>
      <c r="D94" s="32">
        <f t="shared" si="24"/>
        <v>15532809829.454941</v>
      </c>
      <c r="E94" s="31">
        <f t="shared" si="22"/>
        <v>0</v>
      </c>
      <c r="F94" s="30">
        <f t="shared" si="23"/>
        <v>357046411.33265001</v>
      </c>
      <c r="G94" s="32"/>
      <c r="H94" s="63">
        <v>-357046411.33265001</v>
      </c>
    </row>
    <row r="95" spans="1:8" x14ac:dyDescent="0.35">
      <c r="A95" s="33" t="s">
        <v>12</v>
      </c>
      <c r="B95" s="33"/>
      <c r="C95" s="32"/>
      <c r="D95" s="32">
        <f t="shared" si="24"/>
        <v>15532809829.454941</v>
      </c>
      <c r="E95" s="31">
        <f t="shared" si="22"/>
        <v>3432764546.5450501</v>
      </c>
      <c r="F95" s="30">
        <f t="shared" si="23"/>
        <v>0</v>
      </c>
      <c r="G95" s="32"/>
      <c r="H95" s="64">
        <f>V59</f>
        <v>3432764546.5450501</v>
      </c>
    </row>
    <row r="96" spans="1:8" x14ac:dyDescent="0.35">
      <c r="A96" s="33" t="s">
        <v>1</v>
      </c>
      <c r="B96" s="33"/>
      <c r="C96" s="32"/>
      <c r="D96" s="32">
        <f t="shared" si="24"/>
        <v>17652558878.000008</v>
      </c>
      <c r="E96" s="31">
        <f t="shared" si="22"/>
        <v>0</v>
      </c>
      <c r="F96" s="30">
        <f t="shared" si="23"/>
        <v>1313015497.9999847</v>
      </c>
      <c r="G96" s="32"/>
      <c r="H96" s="64">
        <f>W59</f>
        <v>-1313015497.9999847</v>
      </c>
    </row>
    <row r="97" spans="1:8" x14ac:dyDescent="0.35">
      <c r="A97" s="33" t="s">
        <v>112</v>
      </c>
      <c r="B97" s="33"/>
      <c r="C97" s="32"/>
      <c r="D97" s="32">
        <f t="shared" ref="D97" si="25">D96+E96-F97</f>
        <v>7407279957.9999619</v>
      </c>
      <c r="E97" s="31">
        <f t="shared" ref="E97" si="26">IF(H97&gt;0,H97,0)</f>
        <v>0</v>
      </c>
      <c r="F97" s="30">
        <f t="shared" ref="F97" si="27">IF(H97&lt;0,-H97,0)</f>
        <v>10245278920.000046</v>
      </c>
      <c r="G97" s="32"/>
      <c r="H97" s="64">
        <f>X59</f>
        <v>-10245278920.000046</v>
      </c>
    </row>
    <row r="98" spans="1:8" x14ac:dyDescent="0.35">
      <c r="A98" s="49" t="str">
        <f>'S7'!A17</f>
        <v>TT T11</v>
      </c>
      <c r="B98" s="49"/>
      <c r="C98" s="29"/>
      <c r="D98" s="29"/>
      <c r="E98" s="31"/>
      <c r="F98" s="30"/>
      <c r="G98" s="97">
        <f>D97+E97</f>
        <v>7407279957.9999619</v>
      </c>
    </row>
    <row r="99" spans="1:8" s="21" customFormat="1" x14ac:dyDescent="0.35">
      <c r="A99" s="21" t="s">
        <v>11</v>
      </c>
      <c r="G99" s="62">
        <f>G98-C59</f>
        <v>0</v>
      </c>
    </row>
    <row r="131" spans="1:9" x14ac:dyDescent="0.35">
      <c r="A131" s="49" t="s">
        <v>32</v>
      </c>
      <c r="B131" s="33"/>
      <c r="C131" s="33"/>
      <c r="D131" s="33"/>
      <c r="E131" s="33"/>
      <c r="F131" s="33"/>
      <c r="G131" s="33"/>
    </row>
    <row r="132" spans="1:9" x14ac:dyDescent="0.35">
      <c r="A132" s="49"/>
      <c r="B132" s="49"/>
      <c r="C132" s="49" t="s">
        <v>28</v>
      </c>
      <c r="D132" s="49" t="s">
        <v>27</v>
      </c>
      <c r="E132" s="49" t="s">
        <v>26</v>
      </c>
      <c r="F132" s="49" t="s">
        <v>25</v>
      </c>
      <c r="G132" s="49" t="s">
        <v>24</v>
      </c>
    </row>
    <row r="133" spans="1:9" x14ac:dyDescent="0.35">
      <c r="A133" s="49"/>
      <c r="B133" s="49" t="str">
        <f>A79</f>
        <v>KH T11</v>
      </c>
      <c r="C133" s="103">
        <f>B59</f>
        <v>48459973133.623398</v>
      </c>
      <c r="D133" s="51"/>
      <c r="E133" s="53"/>
      <c r="F133" s="52"/>
      <c r="G133" s="51"/>
    </row>
    <row r="134" spans="1:9" x14ac:dyDescent="0.35">
      <c r="A134" s="33"/>
      <c r="B134" s="33" t="s">
        <v>16</v>
      </c>
      <c r="C134" s="32"/>
      <c r="D134" s="32">
        <f>C133-F134</f>
        <v>28449506749.197552</v>
      </c>
      <c r="E134" s="31">
        <f>IF(H134&gt;0,H134,0)</f>
        <v>0</v>
      </c>
      <c r="F134" s="30">
        <f>IF(H134&lt;0,-H134,0)</f>
        <v>20010466384.425846</v>
      </c>
      <c r="G134" s="32"/>
      <c r="H134" s="63">
        <f>SUMIFS($H$80:$H$96,$B$80:$B$96,$B134)</f>
        <v>-20010466384.425846</v>
      </c>
    </row>
    <row r="135" spans="1:9" x14ac:dyDescent="0.35">
      <c r="A135" s="33"/>
      <c r="B135" s="33" t="s">
        <v>31</v>
      </c>
      <c r="C135" s="32"/>
      <c r="D135" s="32">
        <f>D134+E134-F135</f>
        <v>28449506749.197552</v>
      </c>
      <c r="E135" s="31">
        <f>IF(H135&gt;0,H135,0)</f>
        <v>509434769.40836143</v>
      </c>
      <c r="F135" s="30">
        <f>IF(H135&lt;0,-H135,0)</f>
        <v>0</v>
      </c>
      <c r="G135" s="32"/>
      <c r="H135" s="63">
        <f>SUMIFS($H$80:$H$96,$B$80:$B$96,$B135)</f>
        <v>509434769.40836143</v>
      </c>
    </row>
    <row r="136" spans="1:9" x14ac:dyDescent="0.35">
      <c r="A136" s="33"/>
      <c r="B136" s="33" t="s">
        <v>50</v>
      </c>
      <c r="C136" s="32"/>
      <c r="D136" s="32">
        <f>D135+E135-F136</f>
        <v>15532809829.454941</v>
      </c>
      <c r="E136" s="31">
        <f>IF(H136&gt;0,H136,0)</f>
        <v>0</v>
      </c>
      <c r="F136" s="30">
        <f>IF(H136&lt;0,-H136,0)</f>
        <v>13426131689.15097</v>
      </c>
      <c r="G136" s="32"/>
      <c r="H136" s="63">
        <f>SUMIFS($H$80:$H$96,$B$80:$B$96,$B136)</f>
        <v>-13426131689.15097</v>
      </c>
    </row>
    <row r="137" spans="1:9" x14ac:dyDescent="0.35">
      <c r="A137" s="33"/>
      <c r="B137" s="33" t="s">
        <v>12</v>
      </c>
      <c r="C137" s="32"/>
      <c r="D137" s="32">
        <f>D136+E136-F137</f>
        <v>15532809829.454941</v>
      </c>
      <c r="E137" s="31">
        <f>IF(H137&gt;0,H137,0)</f>
        <v>3432764546.5450501</v>
      </c>
      <c r="F137" s="30">
        <f>IF(H137&lt;0,-H137,0)</f>
        <v>0</v>
      </c>
      <c r="G137" s="32"/>
      <c r="H137" s="64">
        <f>H95</f>
        <v>3432764546.5450501</v>
      </c>
    </row>
    <row r="138" spans="1:9" x14ac:dyDescent="0.35">
      <c r="A138" s="33"/>
      <c r="B138" s="33" t="s">
        <v>1</v>
      </c>
      <c r="C138" s="32"/>
      <c r="D138" s="32">
        <f>D137+E137-F138</f>
        <v>7407279957.9999619</v>
      </c>
      <c r="E138" s="31">
        <f>IF(H138&gt;0,H138,0)</f>
        <v>0</v>
      </c>
      <c r="F138" s="30">
        <f>IF(H138&lt;0,-H138,0)</f>
        <v>11558294418.000031</v>
      </c>
      <c r="G138" s="32"/>
      <c r="H138" s="63">
        <f>H96+H97</f>
        <v>-11558294418.000031</v>
      </c>
      <c r="I138" t="s">
        <v>116</v>
      </c>
    </row>
    <row r="139" spans="1:9" x14ac:dyDescent="0.35">
      <c r="A139" s="49"/>
      <c r="B139" s="49" t="str">
        <f>A98</f>
        <v>TT T11</v>
      </c>
      <c r="C139" s="29"/>
      <c r="D139" s="29"/>
      <c r="E139" s="31"/>
      <c r="F139" s="30"/>
      <c r="G139" s="97">
        <f>D138+E138</f>
        <v>7407279957.9999619</v>
      </c>
    </row>
    <row r="140" spans="1:9" x14ac:dyDescent="0.35">
      <c r="A140" s="21" t="s">
        <v>11</v>
      </c>
      <c r="B140" s="21"/>
      <c r="C140" s="21"/>
      <c r="D140" s="21"/>
      <c r="E140" s="21"/>
      <c r="F140" s="21"/>
      <c r="G140" s="62">
        <f>G139-C59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4715-424D-49FD-B33A-9ADC6BCE7A8C}">
  <sheetPr>
    <tabColor rgb="FFC00000"/>
  </sheetPr>
  <dimension ref="A1:U62"/>
  <sheetViews>
    <sheetView showGridLines="0" topLeftCell="A15" zoomScaleNormal="100" workbookViewId="0">
      <selection activeCell="C22" sqref="C22"/>
    </sheetView>
  </sheetViews>
  <sheetFormatPr defaultRowHeight="14.5" x14ac:dyDescent="0.35"/>
  <cols>
    <col min="1" max="1" width="22.453125" bestFit="1" customWidth="1"/>
    <col min="2" max="2" width="10.1796875" customWidth="1"/>
    <col min="3" max="3" width="16.81640625" bestFit="1" customWidth="1"/>
    <col min="4" max="4" width="10.1796875" bestFit="1" customWidth="1"/>
    <col min="8" max="8" width="11.7265625" customWidth="1"/>
    <col min="9" max="9" width="10.54296875" customWidth="1"/>
    <col min="10" max="10" width="11.1796875" customWidth="1"/>
    <col min="11" max="11" width="16.81640625" bestFit="1" customWidth="1"/>
    <col min="12" max="12" width="17.1796875" bestFit="1" customWidth="1"/>
    <col min="13" max="13" width="18" bestFit="1" customWidth="1"/>
    <col min="14" max="14" width="15.54296875" bestFit="1" customWidth="1"/>
  </cols>
  <sheetData>
    <row r="1" spans="1:14" x14ac:dyDescent="0.35">
      <c r="A1">
        <v>-1</v>
      </c>
    </row>
    <row r="2" spans="1:14" x14ac:dyDescent="0.35">
      <c r="A2" s="155" t="s">
        <v>86</v>
      </c>
      <c r="B2" s="154" t="s">
        <v>9</v>
      </c>
      <c r="C2" s="154" t="s">
        <v>8</v>
      </c>
      <c r="D2" s="154" t="s">
        <v>62</v>
      </c>
      <c r="E2" s="154" t="s">
        <v>61</v>
      </c>
      <c r="M2" s="1"/>
    </row>
    <row r="3" spans="1:14" x14ac:dyDescent="0.35">
      <c r="A3" s="153" t="s">
        <v>83</v>
      </c>
      <c r="B3" s="152">
        <f>'S8'!C3-('S8'!C27-'S8'!C28)</f>
        <v>35974395633.623436</v>
      </c>
      <c r="C3" s="152">
        <f>'S8'!G22-('S8'!G27-'S8'!G28)</f>
        <v>5407951261.0000038</v>
      </c>
      <c r="D3" s="151">
        <f t="shared" ref="D3:D11" si="0">C3-B3</f>
        <v>-30566444372.623432</v>
      </c>
      <c r="E3" s="6">
        <f t="shared" ref="E3:E11" si="1">IFERROR(D3/B3,0)</f>
        <v>-0.84967221364671186</v>
      </c>
      <c r="L3" s="1"/>
      <c r="M3" s="1"/>
      <c r="N3" s="18"/>
    </row>
    <row r="4" spans="1:14" x14ac:dyDescent="0.35">
      <c r="A4" s="33" t="s">
        <v>82</v>
      </c>
      <c r="B4" s="150">
        <v>-1708859156.7258296</v>
      </c>
      <c r="C4" s="150">
        <v>-1414420938</v>
      </c>
      <c r="D4" s="150">
        <f t="shared" si="0"/>
        <v>294438218.7258296</v>
      </c>
      <c r="E4" s="6">
        <f t="shared" si="1"/>
        <v>-0.17230104515457703</v>
      </c>
      <c r="M4" s="18"/>
    </row>
    <row r="5" spans="1:14" x14ac:dyDescent="0.35">
      <c r="A5" s="33" t="s">
        <v>81</v>
      </c>
      <c r="B5" s="150">
        <v>-7745175193.0043583</v>
      </c>
      <c r="C5" s="150">
        <v>-9875644458</v>
      </c>
      <c r="D5" s="150">
        <f t="shared" si="0"/>
        <v>-2130469264.9956417</v>
      </c>
      <c r="E5" s="6">
        <f t="shared" si="1"/>
        <v>0.27507050672268024</v>
      </c>
    </row>
    <row r="6" spans="1:14" x14ac:dyDescent="0.35">
      <c r="A6" s="33" t="s">
        <v>80</v>
      </c>
      <c r="B6" s="150">
        <v>-4874877877</v>
      </c>
      <c r="C6" s="150">
        <v>-1256132292</v>
      </c>
      <c r="D6" s="150">
        <f t="shared" si="0"/>
        <v>3618745585</v>
      </c>
      <c r="E6" s="6">
        <f t="shared" si="1"/>
        <v>-0.74232538256465541</v>
      </c>
    </row>
    <row r="7" spans="1:14" x14ac:dyDescent="0.35">
      <c r="A7" s="33" t="s">
        <v>79</v>
      </c>
      <c r="B7" s="150"/>
      <c r="C7" s="150">
        <v>130246672</v>
      </c>
      <c r="D7" s="150">
        <f t="shared" si="0"/>
        <v>130246672</v>
      </c>
      <c r="E7" s="6">
        <f t="shared" si="1"/>
        <v>0</v>
      </c>
    </row>
    <row r="8" spans="1:14" x14ac:dyDescent="0.35">
      <c r="A8" s="33" t="s">
        <v>78</v>
      </c>
      <c r="B8" s="150">
        <v>326826000</v>
      </c>
      <c r="C8" s="150">
        <v>339620636</v>
      </c>
      <c r="D8" s="150">
        <f t="shared" si="0"/>
        <v>12794636</v>
      </c>
      <c r="E8" s="6">
        <f t="shared" si="1"/>
        <v>3.9148158347255116E-2</v>
      </c>
    </row>
    <row r="9" spans="1:14" x14ac:dyDescent="0.35">
      <c r="A9" s="33" t="s">
        <v>85</v>
      </c>
      <c r="B9" s="150"/>
      <c r="C9" s="150">
        <v>-1106151805</v>
      </c>
      <c r="D9" s="150">
        <f t="shared" si="0"/>
        <v>-1106151805</v>
      </c>
      <c r="E9" s="6">
        <f t="shared" si="1"/>
        <v>0</v>
      </c>
      <c r="G9" s="145"/>
      <c r="H9" s="145"/>
    </row>
    <row r="10" spans="1:14" ht="15" thickBot="1" x14ac:dyDescent="0.4">
      <c r="A10" s="33" t="s">
        <v>76</v>
      </c>
      <c r="B10" s="150">
        <v>-3076123316.9214249</v>
      </c>
      <c r="C10" s="150">
        <v>854241004.13640082</v>
      </c>
      <c r="D10" s="150">
        <f t="shared" si="0"/>
        <v>3930364321.0578256</v>
      </c>
      <c r="E10" s="6">
        <f t="shared" si="1"/>
        <v>-1.2777005068156118</v>
      </c>
      <c r="G10" s="95"/>
      <c r="H10" s="6"/>
    </row>
    <row r="11" spans="1:14" ht="15" thickBot="1" x14ac:dyDescent="0.4">
      <c r="A11" s="149" t="s">
        <v>84</v>
      </c>
      <c r="B11" s="148">
        <f>SUM(B3:B10)</f>
        <v>18896186089.971825</v>
      </c>
      <c r="C11" s="148">
        <f>SUM(C3:C10)</f>
        <v>-6920289919.863595</v>
      </c>
      <c r="D11" s="148">
        <f t="shared" si="0"/>
        <v>-25816476009.835419</v>
      </c>
      <c r="E11" s="2">
        <f t="shared" si="1"/>
        <v>-1.3662268082518609</v>
      </c>
    </row>
    <row r="14" spans="1:14" x14ac:dyDescent="0.35">
      <c r="A14" s="36"/>
      <c r="B14" s="54" t="s">
        <v>28</v>
      </c>
      <c r="C14" s="54" t="s">
        <v>27</v>
      </c>
      <c r="D14" s="54" t="s">
        <v>26</v>
      </c>
      <c r="E14" s="54" t="s">
        <v>25</v>
      </c>
      <c r="F14" s="54" t="s">
        <v>24</v>
      </c>
      <c r="I14" s="54" t="s">
        <v>26</v>
      </c>
      <c r="J14" s="54" t="s">
        <v>25</v>
      </c>
    </row>
    <row r="15" spans="1:14" s="50" customFormat="1" x14ac:dyDescent="0.35">
      <c r="A15" s="102" t="str">
        <f>'S7'!A3</f>
        <v>KH T11</v>
      </c>
      <c r="B15" s="234">
        <f>B11</f>
        <v>18896186089.971825</v>
      </c>
      <c r="C15" s="235"/>
      <c r="D15" s="235"/>
      <c r="E15" s="235"/>
      <c r="F15" s="235"/>
    </row>
    <row r="16" spans="1:14" x14ac:dyDescent="0.35">
      <c r="A16" s="36" t="s">
        <v>83</v>
      </c>
      <c r="B16" s="147"/>
      <c r="C16" s="146"/>
      <c r="D16" s="146">
        <f>B15</f>
        <v>18896186089.971825</v>
      </c>
      <c r="E16" s="146">
        <f>H16</f>
        <v>-11670258282.651608</v>
      </c>
      <c r="F16" s="147"/>
      <c r="G16" s="145">
        <f t="shared" ref="G16:G23" si="2">D3</f>
        <v>-30566444372.623432</v>
      </c>
      <c r="H16" s="145">
        <f>B15+G16</f>
        <v>-11670258282.651608</v>
      </c>
      <c r="I16" s="31"/>
      <c r="J16" s="30">
        <f>ABS($G16)</f>
        <v>30566444372.623432</v>
      </c>
    </row>
    <row r="17" spans="1:10" x14ac:dyDescent="0.35">
      <c r="A17" s="36" t="s">
        <v>82</v>
      </c>
      <c r="B17" s="147"/>
      <c r="C17" s="146">
        <f>E16+G17</f>
        <v>-11375820063.925777</v>
      </c>
      <c r="D17" s="146">
        <f>-G17</f>
        <v>-294438218.7258296</v>
      </c>
      <c r="E17" s="146"/>
      <c r="F17" s="147"/>
      <c r="G17" s="145">
        <f t="shared" si="2"/>
        <v>294438218.7258296</v>
      </c>
      <c r="H17" s="145">
        <f t="shared" ref="H17:H23" si="3">H16+G17</f>
        <v>-11375820063.925777</v>
      </c>
      <c r="I17" s="31">
        <f>ABS($G17)</f>
        <v>294438218.7258296</v>
      </c>
      <c r="J17" s="30"/>
    </row>
    <row r="18" spans="1:10" x14ac:dyDescent="0.35">
      <c r="A18" s="36" t="s">
        <v>81</v>
      </c>
      <c r="B18" s="147"/>
      <c r="C18" s="146">
        <f>C17</f>
        <v>-11375820063.925777</v>
      </c>
      <c r="D18" s="146"/>
      <c r="E18" s="146">
        <f>G18</f>
        <v>-2130469264.9956417</v>
      </c>
      <c r="F18" s="147"/>
      <c r="G18" s="145">
        <f t="shared" si="2"/>
        <v>-2130469264.9956417</v>
      </c>
      <c r="H18" s="145">
        <f t="shared" si="3"/>
        <v>-13506289328.921419</v>
      </c>
      <c r="I18" s="31"/>
      <c r="J18" s="30">
        <f>ABS($G18)</f>
        <v>2130469264.9956417</v>
      </c>
    </row>
    <row r="19" spans="1:10" x14ac:dyDescent="0.35">
      <c r="A19" s="36" t="s">
        <v>80</v>
      </c>
      <c r="B19" s="147"/>
      <c r="C19" s="146">
        <f>C18+G18+G19</f>
        <v>-9887543743.9214191</v>
      </c>
      <c r="D19" s="146">
        <f>-G19</f>
        <v>-3618745585</v>
      </c>
      <c r="E19" s="146"/>
      <c r="F19" s="147"/>
      <c r="G19" s="145">
        <f t="shared" si="2"/>
        <v>3618745585</v>
      </c>
      <c r="H19" s="145">
        <f t="shared" si="3"/>
        <v>-9887543743.9214191</v>
      </c>
      <c r="I19" s="31">
        <f>ABS($G19)</f>
        <v>3618745585</v>
      </c>
      <c r="J19" s="30"/>
    </row>
    <row r="20" spans="1:10" x14ac:dyDescent="0.35">
      <c r="A20" s="36" t="s">
        <v>79</v>
      </c>
      <c r="B20" s="147"/>
      <c r="C20" s="146">
        <f>C19+G20</f>
        <v>-9757297071.9214191</v>
      </c>
      <c r="D20" s="146">
        <f>-G20</f>
        <v>-130246672</v>
      </c>
      <c r="E20" s="146"/>
      <c r="F20" s="147"/>
      <c r="G20" s="145">
        <f t="shared" si="2"/>
        <v>130246672</v>
      </c>
      <c r="H20" s="145">
        <f t="shared" si="3"/>
        <v>-9757297071.9214191</v>
      </c>
      <c r="I20" s="31">
        <f>ABS($G20)</f>
        <v>130246672</v>
      </c>
      <c r="J20" s="30"/>
    </row>
    <row r="21" spans="1:10" x14ac:dyDescent="0.35">
      <c r="A21" s="36" t="s">
        <v>78</v>
      </c>
      <c r="B21" s="147"/>
      <c r="C21" s="146">
        <f>C20+G21</f>
        <v>-9744502435.9214191</v>
      </c>
      <c r="D21" s="146">
        <f>-G21</f>
        <v>-12794636</v>
      </c>
      <c r="E21" s="146"/>
      <c r="F21" s="147"/>
      <c r="G21" s="145">
        <f t="shared" si="2"/>
        <v>12794636</v>
      </c>
      <c r="H21" s="145">
        <f t="shared" si="3"/>
        <v>-9744502435.9214191</v>
      </c>
      <c r="I21" s="31">
        <f>ABS($G21)</f>
        <v>12794636</v>
      </c>
      <c r="J21" s="30"/>
    </row>
    <row r="22" spans="1:10" x14ac:dyDescent="0.35">
      <c r="A22" s="36" t="s">
        <v>77</v>
      </c>
      <c r="B22" s="147"/>
      <c r="C22" s="146">
        <f>C21</f>
        <v>-9744502435.9214191</v>
      </c>
      <c r="D22" s="146"/>
      <c r="E22" s="146">
        <f>G22</f>
        <v>-1106151805</v>
      </c>
      <c r="F22" s="147"/>
      <c r="G22" s="145">
        <f t="shared" si="2"/>
        <v>-1106151805</v>
      </c>
      <c r="H22" s="145">
        <f t="shared" si="3"/>
        <v>-10850654240.921419</v>
      </c>
      <c r="I22" s="31"/>
      <c r="J22" s="30">
        <f>ABS($G22)</f>
        <v>1106151805</v>
      </c>
    </row>
    <row r="23" spans="1:10" x14ac:dyDescent="0.35">
      <c r="A23" s="36" t="s">
        <v>76</v>
      </c>
      <c r="B23" s="147"/>
      <c r="C23" s="146">
        <f>C22+G22+G23</f>
        <v>-6920289919.8635941</v>
      </c>
      <c r="D23" s="146">
        <f>-G23</f>
        <v>-3930364321.0578256</v>
      </c>
      <c r="E23" s="146"/>
      <c r="F23" s="147"/>
      <c r="G23" s="145">
        <f t="shared" si="2"/>
        <v>3930364321.0578256</v>
      </c>
      <c r="H23" s="145">
        <f t="shared" si="3"/>
        <v>-6920289919.8635941</v>
      </c>
      <c r="I23" s="31">
        <f>ABS($G23)</f>
        <v>3930364321.0578256</v>
      </c>
      <c r="J23" s="30"/>
    </row>
    <row r="24" spans="1:10" s="50" customFormat="1" x14ac:dyDescent="0.35">
      <c r="A24" s="102" t="str">
        <f>'S7'!A17</f>
        <v>TT T11</v>
      </c>
      <c r="B24" s="235"/>
      <c r="C24" s="236"/>
      <c r="D24" s="236"/>
      <c r="E24" s="236"/>
      <c r="F24" s="234">
        <f>C23</f>
        <v>-6920289919.8635941</v>
      </c>
    </row>
    <row r="25" spans="1:10" x14ac:dyDescent="0.35">
      <c r="F25" s="145">
        <f>F24-C11</f>
        <v>0</v>
      </c>
    </row>
    <row r="27" spans="1:10" x14ac:dyDescent="0.35">
      <c r="A27" s="36" t="s">
        <v>75</v>
      </c>
      <c r="B27" s="146">
        <f>'S7'!C3</f>
        <v>209261952500</v>
      </c>
      <c r="C27" s="146">
        <f>'S7'!G17</f>
        <v>88347880802</v>
      </c>
    </row>
    <row r="28" spans="1:10" x14ac:dyDescent="0.35">
      <c r="B28" s="6">
        <f>B11/B27</f>
        <v>9.0299196123441616E-2</v>
      </c>
      <c r="C28" s="6">
        <f>C11/C27</f>
        <v>-7.8330004715935805E-2</v>
      </c>
    </row>
    <row r="33" spans="21:21" x14ac:dyDescent="0.35">
      <c r="U33" s="6"/>
    </row>
    <row r="58" spans="2:3" x14ac:dyDescent="0.35">
      <c r="B58" s="33" t="s">
        <v>58</v>
      </c>
      <c r="C58" s="196">
        <v>-22184183115.313801</v>
      </c>
    </row>
    <row r="59" spans="2:3" x14ac:dyDescent="0.35">
      <c r="B59" s="33" t="s">
        <v>57</v>
      </c>
      <c r="C59" s="114">
        <v>-19275836708.89616</v>
      </c>
    </row>
    <row r="61" spans="2:3" x14ac:dyDescent="0.35">
      <c r="B61" s="33" t="s">
        <v>103</v>
      </c>
      <c r="C61" s="196">
        <v>-14265744972.55619</v>
      </c>
    </row>
    <row r="62" spans="2:3" x14ac:dyDescent="0.35">
      <c r="B62" s="33" t="s">
        <v>104</v>
      </c>
      <c r="C62" s="114">
        <v>-12395505806.654074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A18B-B6B0-4696-93C7-B821F3F8AEFB}">
  <sheetPr>
    <tabColor rgb="FFC00000"/>
  </sheetPr>
  <dimension ref="A4:Y140"/>
  <sheetViews>
    <sheetView showGridLines="0" zoomScale="85" zoomScaleNormal="85" workbookViewId="0">
      <pane ySplit="6" topLeftCell="A61" activePane="bottomLeft" state="frozen"/>
      <selection activeCell="N41" sqref="N41"/>
      <selection pane="bottomLeft" activeCell="C14" sqref="C14"/>
    </sheetView>
  </sheetViews>
  <sheetFormatPr defaultRowHeight="14.5" outlineLevelRow="1" x14ac:dyDescent="0.35"/>
  <cols>
    <col min="1" max="1" width="14" customWidth="1"/>
    <col min="2" max="3" width="19.1796875" bestFit="1" customWidth="1"/>
    <col min="4" max="4" width="19.7265625" bestFit="1" customWidth="1"/>
    <col min="5" max="5" width="18.7265625" bestFit="1" customWidth="1"/>
    <col min="6" max="6" width="18" bestFit="1" customWidth="1"/>
    <col min="7" max="7" width="15.26953125" bestFit="1" customWidth="1"/>
    <col min="8" max="8" width="18.7265625" bestFit="1" customWidth="1"/>
    <col min="9" max="9" width="16.26953125" bestFit="1" customWidth="1"/>
    <col min="10" max="10" width="16.81640625" bestFit="1" customWidth="1"/>
    <col min="11" max="11" width="18.453125" bestFit="1" customWidth="1"/>
    <col min="12" max="13" width="17.54296875" customWidth="1"/>
    <col min="14" max="14" width="17.7265625" bestFit="1" customWidth="1"/>
    <col min="15" max="15" width="18.7265625" bestFit="1" customWidth="1"/>
    <col min="16" max="16" width="18.7265625" customWidth="1"/>
    <col min="17" max="17" width="17" bestFit="1" customWidth="1"/>
    <col min="18" max="18" width="18.7265625" bestFit="1" customWidth="1"/>
    <col min="19" max="19" width="16" bestFit="1" customWidth="1"/>
    <col min="20" max="20" width="15" bestFit="1" customWidth="1"/>
    <col min="21" max="21" width="16" bestFit="1" customWidth="1"/>
    <col min="22" max="22" width="14.26953125" bestFit="1" customWidth="1"/>
    <col min="23" max="23" width="15" bestFit="1" customWidth="1"/>
    <col min="24" max="24" width="15" customWidth="1"/>
    <col min="25" max="25" width="16" bestFit="1" customWidth="1"/>
  </cols>
  <sheetData>
    <row r="4" spans="1:19" x14ac:dyDescent="0.35">
      <c r="C4">
        <f>C12/C7</f>
        <v>1.0874696016395695E-2</v>
      </c>
    </row>
    <row r="5" spans="1:19" x14ac:dyDescent="0.35">
      <c r="A5" s="20" t="s">
        <v>49</v>
      </c>
      <c r="K5" s="92" t="s">
        <v>48</v>
      </c>
      <c r="L5" s="91"/>
      <c r="M5" s="91"/>
      <c r="N5" s="91"/>
      <c r="O5" s="91"/>
      <c r="P5" s="91"/>
    </row>
    <row r="6" spans="1:19" x14ac:dyDescent="0.35">
      <c r="A6" s="90"/>
      <c r="B6" s="89" t="s">
        <v>9</v>
      </c>
      <c r="C6" s="89" t="s">
        <v>8</v>
      </c>
      <c r="D6" s="89" t="s">
        <v>47</v>
      </c>
      <c r="F6" t="s">
        <v>46</v>
      </c>
      <c r="G6" t="s">
        <v>45</v>
      </c>
      <c r="H6" t="s">
        <v>44</v>
      </c>
      <c r="I6" t="s">
        <v>43</v>
      </c>
      <c r="K6" s="89" t="s">
        <v>16</v>
      </c>
      <c r="L6" s="89" t="s">
        <v>42</v>
      </c>
      <c r="M6" s="89" t="s">
        <v>14</v>
      </c>
      <c r="N6" s="89" t="s">
        <v>12</v>
      </c>
      <c r="O6" s="89" t="s">
        <v>1</v>
      </c>
      <c r="P6" s="89" t="s">
        <v>112</v>
      </c>
    </row>
    <row r="7" spans="1:19" s="83" customFormat="1" x14ac:dyDescent="0.35">
      <c r="A7" s="142" t="s">
        <v>39</v>
      </c>
      <c r="B7" s="141">
        <f>SUM(B8:B12)</f>
        <v>5968970</v>
      </c>
      <c r="C7" s="141">
        <f>SUM(C8:C12)</f>
        <v>2510415</v>
      </c>
      <c r="D7" s="144">
        <f t="shared" ref="D7:D13" si="0">C7-B7</f>
        <v>-3458555</v>
      </c>
      <c r="E7" s="87">
        <f>D7/B7</f>
        <v>-0.5794224129121105</v>
      </c>
      <c r="F7" s="86"/>
      <c r="H7" s="84">
        <f>SUM(H8:H12)</f>
        <v>2510415</v>
      </c>
      <c r="I7" s="84"/>
    </row>
    <row r="8" spans="1:19" s="80" customFormat="1" outlineLevel="1" x14ac:dyDescent="0.35">
      <c r="A8" s="140" t="s">
        <v>7</v>
      </c>
      <c r="B8" s="139">
        <f>'S6'!B8</f>
        <v>4678780</v>
      </c>
      <c r="C8" s="139">
        <f>'S6'!C8</f>
        <v>2027640</v>
      </c>
      <c r="D8" s="143">
        <f t="shared" si="0"/>
        <v>-2651140</v>
      </c>
      <c r="F8" s="85">
        <f t="shared" ref="F8:G12" si="1">B8/B$7</f>
        <v>0.78385048006607505</v>
      </c>
      <c r="G8" s="85">
        <f t="shared" si="1"/>
        <v>0.80769115863313434</v>
      </c>
      <c r="H8" s="82">
        <f>F8*C$7</f>
        <v>1967790.0029150757</v>
      </c>
      <c r="I8" s="82"/>
      <c r="Q8" s="82"/>
      <c r="R8" s="81"/>
      <c r="S8" s="81"/>
    </row>
    <row r="9" spans="1:19" s="80" customFormat="1" outlineLevel="1" x14ac:dyDescent="0.35">
      <c r="A9" s="140" t="s">
        <v>6</v>
      </c>
      <c r="B9" s="139">
        <f>'S6'!B9</f>
        <v>927000</v>
      </c>
      <c r="C9" s="139">
        <f>'S6'!C9</f>
        <v>268725.00000000006</v>
      </c>
      <c r="D9" s="143">
        <f t="shared" si="0"/>
        <v>-658275</v>
      </c>
      <c r="F9" s="85">
        <f t="shared" si="1"/>
        <v>0.15530317625989074</v>
      </c>
      <c r="G9" s="85">
        <f t="shared" si="1"/>
        <v>0.10704405446908183</v>
      </c>
      <c r="H9" s="82">
        <f>F9*C$7</f>
        <v>389875.42323047359</v>
      </c>
      <c r="I9" s="82"/>
      <c r="Q9" s="82"/>
      <c r="R9" s="81"/>
      <c r="S9" s="81"/>
    </row>
    <row r="10" spans="1:19" s="80" customFormat="1" outlineLevel="1" x14ac:dyDescent="0.35">
      <c r="A10" s="140" t="s">
        <v>5</v>
      </c>
      <c r="B10" s="139">
        <f>'S6'!B10</f>
        <v>155750</v>
      </c>
      <c r="C10" s="139">
        <f>'S6'!C10</f>
        <v>186750</v>
      </c>
      <c r="D10" s="143">
        <f t="shared" si="0"/>
        <v>31000</v>
      </c>
      <c r="F10" s="85">
        <f t="shared" si="1"/>
        <v>2.609327907494928E-2</v>
      </c>
      <c r="G10" s="85">
        <f t="shared" si="1"/>
        <v>7.4390090881388135E-2</v>
      </c>
      <c r="H10" s="82">
        <f>F10*C$7</f>
        <v>65504.959188938796</v>
      </c>
      <c r="I10" s="82"/>
      <c r="Q10" s="82"/>
      <c r="R10" s="81"/>
      <c r="S10" s="81"/>
    </row>
    <row r="11" spans="1:19" s="80" customFormat="1" outlineLevel="1" x14ac:dyDescent="0.35">
      <c r="A11" s="140" t="s">
        <v>4</v>
      </c>
      <c r="B11" s="139">
        <f>'S6'!B11</f>
        <v>107440</v>
      </c>
      <c r="C11" s="139">
        <f>'S6'!C11</f>
        <v>0</v>
      </c>
      <c r="D11" s="143">
        <f t="shared" si="0"/>
        <v>-107440</v>
      </c>
      <c r="F11" s="85">
        <f t="shared" si="1"/>
        <v>1.7999755401685719E-2</v>
      </c>
      <c r="G11" s="85">
        <f t="shared" si="1"/>
        <v>0</v>
      </c>
      <c r="H11" s="82">
        <f>F11*C$7</f>
        <v>45186.855956722851</v>
      </c>
      <c r="I11" s="82"/>
      <c r="Q11" s="82"/>
      <c r="R11" s="81"/>
      <c r="S11" s="81"/>
    </row>
    <row r="12" spans="1:19" s="80" customFormat="1" outlineLevel="1" x14ac:dyDescent="0.35">
      <c r="A12" s="140" t="s">
        <v>3</v>
      </c>
      <c r="B12" s="139">
        <f>'S6'!B12</f>
        <v>100000</v>
      </c>
      <c r="C12" s="139">
        <f>'S6'!C12</f>
        <v>27300</v>
      </c>
      <c r="D12" s="143">
        <f t="shared" si="0"/>
        <v>-72700</v>
      </c>
      <c r="F12" s="85">
        <f t="shared" si="1"/>
        <v>1.6753309197399216E-2</v>
      </c>
      <c r="G12" s="85">
        <f t="shared" si="1"/>
        <v>1.0874696016395695E-2</v>
      </c>
      <c r="H12" s="82">
        <f>F12*C$7</f>
        <v>42057.758708788955</v>
      </c>
      <c r="I12" s="82"/>
      <c r="Q12" s="82"/>
      <c r="R12" s="81"/>
      <c r="S12" s="81"/>
    </row>
    <row r="13" spans="1:19" s="83" customFormat="1" x14ac:dyDescent="0.35">
      <c r="A13" s="142" t="s">
        <v>38</v>
      </c>
      <c r="B13" s="141">
        <v>30553.284880668703</v>
      </c>
      <c r="C13" s="141">
        <v>28801.443116591079</v>
      </c>
      <c r="D13" s="141">
        <f t="shared" si="0"/>
        <v>-1751.8417640776242</v>
      </c>
      <c r="I13" s="84">
        <f>SUM(I14:I18)</f>
        <v>80215848429.02124</v>
      </c>
    </row>
    <row r="14" spans="1:19" s="80" customFormat="1" outlineLevel="1" x14ac:dyDescent="0.35">
      <c r="A14" s="140" t="s">
        <v>7</v>
      </c>
      <c r="B14" s="139">
        <f>'S6'!B14</f>
        <v>32352.747404237853</v>
      </c>
      <c r="C14" s="139">
        <f>'S6'!C14</f>
        <v>32051.94404185751</v>
      </c>
      <c r="D14" s="143"/>
      <c r="I14" s="82">
        <f>H8*B14</f>
        <v>63663412908.895912</v>
      </c>
      <c r="K14" s="81"/>
    </row>
    <row r="15" spans="1:19" s="80" customFormat="1" outlineLevel="1" x14ac:dyDescent="0.35">
      <c r="A15" s="140" t="s">
        <v>6</v>
      </c>
      <c r="B15" s="139">
        <f>'S6'!B15</f>
        <v>33424.217907227612</v>
      </c>
      <c r="C15" s="139">
        <f>'S6'!C15</f>
        <v>26450.797011815048</v>
      </c>
      <c r="D15" s="143"/>
      <c r="I15" s="82">
        <f>H9*B15</f>
        <v>13031281102.72794</v>
      </c>
      <c r="K15" s="81"/>
    </row>
    <row r="16" spans="1:19" s="80" customFormat="1" outlineLevel="1" x14ac:dyDescent="0.35">
      <c r="A16" s="140" t="s">
        <v>5</v>
      </c>
      <c r="B16" s="139">
        <f>'S6'!B16</f>
        <v>20838.282504012837</v>
      </c>
      <c r="C16" s="139">
        <f>'S6'!C16</f>
        <v>16653.33369105255</v>
      </c>
      <c r="D16" s="143"/>
      <c r="I16" s="82">
        <f>H10*B16</f>
        <v>1365010844.9929383</v>
      </c>
      <c r="K16" s="81"/>
    </row>
    <row r="17" spans="1:17" s="80" customFormat="1" outlineLevel="1" x14ac:dyDescent="0.35">
      <c r="A17" s="140" t="s">
        <v>4</v>
      </c>
      <c r="B17" s="139">
        <f>'S6'!B17</f>
        <v>22120.485852568869</v>
      </c>
      <c r="C17" s="139">
        <f>'S6'!C17</f>
        <v>0</v>
      </c>
      <c r="D17" s="143"/>
      <c r="I17" s="82">
        <f>H11*B17</f>
        <v>999555207.91275513</v>
      </c>
      <c r="K17" s="81"/>
    </row>
    <row r="18" spans="1:17" s="80" customFormat="1" outlineLevel="1" x14ac:dyDescent="0.35">
      <c r="A18" s="140" t="s">
        <v>3</v>
      </c>
      <c r="B18" s="139">
        <f>'S6'!B18</f>
        <v>27499.999999999996</v>
      </c>
      <c r="C18" s="139">
        <f>'S6'!C18</f>
        <v>16523.033852161385</v>
      </c>
      <c r="D18" s="143"/>
      <c r="I18" s="82">
        <f>H12*B18</f>
        <v>1156588364.4916961</v>
      </c>
      <c r="K18" s="81"/>
    </row>
    <row r="19" spans="1:17" x14ac:dyDescent="0.35">
      <c r="A19" s="49" t="s">
        <v>37</v>
      </c>
      <c r="B19" s="48">
        <f>SUM(B20:B24)</f>
        <v>190727824999.99997</v>
      </c>
      <c r="C19" s="48">
        <f>SUM(C20:C24)</f>
        <v>75658883135.000015</v>
      </c>
      <c r="D19" s="114">
        <f>C19-B19</f>
        <v>-115068941864.99995</v>
      </c>
    </row>
    <row r="20" spans="1:17" s="79" customFormat="1" x14ac:dyDescent="0.35">
      <c r="A20" s="135" t="s">
        <v>7</v>
      </c>
      <c r="B20" s="134">
        <f t="shared" ref="B20:C24" si="2">B8*B14</f>
        <v>151371387499.99997</v>
      </c>
      <c r="C20" s="134">
        <f t="shared" si="2"/>
        <v>64989803817.03196</v>
      </c>
      <c r="D20" s="134">
        <f>C20-B20</f>
        <v>-86381583682.968018</v>
      </c>
      <c r="K20" s="81">
        <f>I14-B20</f>
        <v>-87707974591.104065</v>
      </c>
      <c r="L20" s="81">
        <f>C8*B14-I14</f>
        <v>1936311837.8329239</v>
      </c>
      <c r="M20" s="82">
        <f>D63*C8/10^3*$B$69</f>
        <v>-3557756286.6687517</v>
      </c>
      <c r="N20" s="82">
        <f>IFERROR(C20-C20/C70*B70,0)</f>
        <v>2947835356.9718704</v>
      </c>
    </row>
    <row r="21" spans="1:17" s="79" customFormat="1" x14ac:dyDescent="0.35">
      <c r="A21" s="135" t="s">
        <v>6</v>
      </c>
      <c r="B21" s="134">
        <f t="shared" si="2"/>
        <v>30984249999.999996</v>
      </c>
      <c r="C21" s="134">
        <f t="shared" si="2"/>
        <v>7107990427</v>
      </c>
      <c r="D21" s="134">
        <f t="shared" ref="D21:D24" si="3">C21-B21</f>
        <v>-23876259572.999996</v>
      </c>
      <c r="K21" s="81">
        <f>I15-B21</f>
        <v>-17952968897.272057</v>
      </c>
      <c r="L21" s="81">
        <f>C9*B15-I15</f>
        <v>-4049358145.6081982</v>
      </c>
      <c r="M21" s="82">
        <f>D64*C9/10^3*$B$69</f>
        <v>-2197261451.2703648</v>
      </c>
      <c r="N21" s="82">
        <f t="shared" ref="N21:N24" si="4">IFERROR(C21-C21/C71*B71,0)</f>
        <v>323328921.15062428</v>
      </c>
    </row>
    <row r="22" spans="1:17" s="79" customFormat="1" x14ac:dyDescent="0.35">
      <c r="A22" s="135" t="s">
        <v>5</v>
      </c>
      <c r="B22" s="134">
        <f t="shared" si="2"/>
        <v>3245562499.9999995</v>
      </c>
      <c r="C22" s="134">
        <f t="shared" si="2"/>
        <v>3110010066.8040638</v>
      </c>
      <c r="D22" s="134">
        <f t="shared" si="3"/>
        <v>-135552433.19593573</v>
      </c>
      <c r="K22" s="81">
        <f>I16-B22</f>
        <v>-1880551655.0070612</v>
      </c>
      <c r="L22" s="81">
        <f>C10*B16-I16</f>
        <v>2526538412.6314592</v>
      </c>
      <c r="M22" s="82">
        <f>D65*C10/10^3*$B$69</f>
        <v>-922650802.10231829</v>
      </c>
      <c r="N22" s="82">
        <f t="shared" si="4"/>
        <v>141111611.28198433</v>
      </c>
    </row>
    <row r="23" spans="1:17" s="79" customFormat="1" x14ac:dyDescent="0.35">
      <c r="A23" s="135" t="s">
        <v>4</v>
      </c>
      <c r="B23" s="134">
        <f t="shared" si="2"/>
        <v>2376624999.999999</v>
      </c>
      <c r="C23" s="134">
        <f t="shared" si="2"/>
        <v>0</v>
      </c>
      <c r="D23" s="134">
        <f t="shared" si="3"/>
        <v>-2376624999.999999</v>
      </c>
      <c r="K23" s="81">
        <f>I17-B23</f>
        <v>-1377069792.087244</v>
      </c>
      <c r="L23" s="81">
        <f>C11*B17-I17</f>
        <v>-999555207.91275513</v>
      </c>
      <c r="M23" s="82">
        <f>D66*C11/10^3*$B$69</f>
        <v>0</v>
      </c>
      <c r="N23" s="82">
        <f t="shared" si="4"/>
        <v>0</v>
      </c>
    </row>
    <row r="24" spans="1:17" s="79" customFormat="1" x14ac:dyDescent="0.35">
      <c r="A24" s="135" t="s">
        <v>3</v>
      </c>
      <c r="B24" s="134">
        <f t="shared" si="2"/>
        <v>2749999999.9999995</v>
      </c>
      <c r="C24" s="134">
        <f t="shared" si="2"/>
        <v>451078824.16400582</v>
      </c>
      <c r="D24" s="134">
        <f t="shared" si="3"/>
        <v>-2298921175.8359938</v>
      </c>
      <c r="K24" s="81">
        <f>I18-B24</f>
        <v>-1593411635.5083034</v>
      </c>
      <c r="L24" s="81">
        <f>C12*B18-I18</f>
        <v>-405838364.49169624</v>
      </c>
      <c r="M24" s="82">
        <f>D67*C12/10^3*$B$69</f>
        <v>-320159832.97656494</v>
      </c>
      <c r="N24" s="82">
        <f t="shared" si="4"/>
        <v>20488657.140570939</v>
      </c>
    </row>
    <row r="25" spans="1:17" s="50" customFormat="1" x14ac:dyDescent="0.35">
      <c r="A25" s="49" t="s">
        <v>36</v>
      </c>
      <c r="B25" s="48">
        <f>'S6'!B25</f>
        <v>3408550000</v>
      </c>
      <c r="C25" s="48">
        <f>'S6'!C25</f>
        <v>3395251201</v>
      </c>
      <c r="D25" s="48">
        <f>C25-B25</f>
        <v>-13298799</v>
      </c>
      <c r="O25" s="75">
        <f>D25</f>
        <v>-13298799</v>
      </c>
      <c r="P25" s="75"/>
      <c r="Q25" s="76">
        <f>SUM(K25:P25)</f>
        <v>-13298799</v>
      </c>
    </row>
    <row r="26" spans="1:17" s="50" customFormat="1" x14ac:dyDescent="0.35">
      <c r="A26" s="49" t="s">
        <v>35</v>
      </c>
      <c r="B26" s="48">
        <f>'S6'!B26</f>
        <v>2640000000</v>
      </c>
      <c r="C26" s="48">
        <f>'S6'!C26</f>
        <v>6989889073</v>
      </c>
      <c r="D26" s="48">
        <f>C26-B26</f>
        <v>4349889073</v>
      </c>
      <c r="O26" s="75">
        <f>D26</f>
        <v>4349889073</v>
      </c>
      <c r="P26" s="75"/>
      <c r="Q26" s="76">
        <f t="shared" ref="Q26:Q29" si="5">SUM(K26:P26)</f>
        <v>4349889073</v>
      </c>
    </row>
    <row r="27" spans="1:17" s="50" customFormat="1" x14ac:dyDescent="0.35">
      <c r="A27" s="49" t="s">
        <v>1</v>
      </c>
      <c r="B27" s="48">
        <f>'S6'!B27</f>
        <v>0</v>
      </c>
      <c r="C27" s="48">
        <f>'S6'!C27</f>
        <v>63558813.000030518</v>
      </c>
      <c r="D27" s="48">
        <f>C27-B27</f>
        <v>63558813.000030518</v>
      </c>
      <c r="O27" s="75">
        <f>D27</f>
        <v>63558813.000030518</v>
      </c>
      <c r="P27" s="75"/>
      <c r="Q27" s="76">
        <f t="shared" si="5"/>
        <v>63558813.000030518</v>
      </c>
    </row>
    <row r="28" spans="1:17" s="50" customFormat="1" x14ac:dyDescent="0.35">
      <c r="A28" s="49" t="s">
        <v>112</v>
      </c>
      <c r="B28" s="48">
        <f>'S8'!C27</f>
        <v>12485577500</v>
      </c>
      <c r="C28" s="48">
        <f>'S8'!G27</f>
        <v>2240298579.9999542</v>
      </c>
      <c r="D28" s="48">
        <f>C28-B28</f>
        <v>-10245278920.000046</v>
      </c>
      <c r="O28" s="75"/>
      <c r="P28" s="75">
        <f>D28</f>
        <v>-10245278920.000046</v>
      </c>
      <c r="Q28" s="76">
        <f>SUM(K28:P28)</f>
        <v>-10245278920.000046</v>
      </c>
    </row>
    <row r="29" spans="1:17" x14ac:dyDescent="0.35">
      <c r="A29" s="132" t="s">
        <v>114</v>
      </c>
      <c r="B29" s="131">
        <f>B19+B25+B26+B27+B28</f>
        <v>209261952499.99997</v>
      </c>
      <c r="C29" s="131">
        <f>C19+C25+C26+C27+C28</f>
        <v>88347880802</v>
      </c>
      <c r="D29" s="48">
        <f>C29-B29</f>
        <v>-120914071697.99997</v>
      </c>
      <c r="E29" s="1"/>
      <c r="K29" s="23">
        <f>SUM(K7:K28)</f>
        <v>-110511976570.97874</v>
      </c>
      <c r="L29" s="23">
        <f t="shared" ref="L29:P29" si="6">SUM(L7:L28)</f>
        <v>-991901467.54826641</v>
      </c>
      <c r="M29" s="23">
        <f t="shared" si="6"/>
        <v>-6997828373.0180006</v>
      </c>
      <c r="N29" s="23">
        <f t="shared" si="6"/>
        <v>3432764546.5450501</v>
      </c>
      <c r="O29" s="23">
        <f t="shared" si="6"/>
        <v>4400149087.0000305</v>
      </c>
      <c r="P29" s="23">
        <f t="shared" si="6"/>
        <v>-10245278920.000046</v>
      </c>
      <c r="Q29" s="75">
        <f t="shared" si="5"/>
        <v>-120914071697.99998</v>
      </c>
    </row>
    <row r="30" spans="1:17" x14ac:dyDescent="0.35">
      <c r="P30" s="21" t="s">
        <v>11</v>
      </c>
      <c r="Q30" s="74">
        <f>Q29-D29</f>
        <v>0</v>
      </c>
    </row>
    <row r="31" spans="1:17" s="83" customFormat="1" x14ac:dyDescent="0.35">
      <c r="A31" s="142" t="s">
        <v>74</v>
      </c>
      <c r="B31" s="141"/>
      <c r="C31" s="141"/>
      <c r="D31" s="141"/>
      <c r="I31" s="84"/>
    </row>
    <row r="32" spans="1:17" s="80" customFormat="1" outlineLevel="1" x14ac:dyDescent="0.35">
      <c r="A32" s="140" t="s">
        <v>7</v>
      </c>
      <c r="B32" s="139">
        <v>26183.033265674632</v>
      </c>
      <c r="C32" s="139">
        <v>28650.180264248109</v>
      </c>
      <c r="D32" s="139">
        <f>C32-B32</f>
        <v>2467.1469985734766</v>
      </c>
      <c r="I32" s="82"/>
      <c r="K32" s="81"/>
    </row>
    <row r="33" spans="1:24" s="80" customFormat="1" outlineLevel="1" x14ac:dyDescent="0.35">
      <c r="A33" s="140" t="s">
        <v>6</v>
      </c>
      <c r="B33" s="139">
        <v>27689.638943283306</v>
      </c>
      <c r="C33" s="139">
        <v>26257.810862405797</v>
      </c>
      <c r="D33" s="139">
        <f>C33-B33</f>
        <v>-1431.8280808775089</v>
      </c>
      <c r="I33" s="82"/>
      <c r="K33" s="81"/>
    </row>
    <row r="34" spans="1:24" s="80" customFormat="1" outlineLevel="1" x14ac:dyDescent="0.35">
      <c r="A34" s="140" t="s">
        <v>5</v>
      </c>
      <c r="B34" s="139">
        <v>15550.819868149008</v>
      </c>
      <c r="C34" s="139">
        <v>25048.537665327978</v>
      </c>
      <c r="D34" s="139">
        <f>C34-B34</f>
        <v>9497.7177971789697</v>
      </c>
      <c r="I34" s="82"/>
      <c r="K34" s="81"/>
    </row>
    <row r="35" spans="1:24" s="80" customFormat="1" outlineLevel="1" x14ac:dyDescent="0.35">
      <c r="A35" s="140" t="s">
        <v>4</v>
      </c>
      <c r="B35" s="139">
        <v>26359.463592779099</v>
      </c>
      <c r="C35" s="139">
        <v>0</v>
      </c>
      <c r="D35" s="139">
        <f>C35-B35</f>
        <v>-26359.463592779099</v>
      </c>
      <c r="I35" s="82"/>
      <c r="K35" s="81"/>
    </row>
    <row r="36" spans="1:24" s="80" customFormat="1" outlineLevel="1" x14ac:dyDescent="0.35">
      <c r="A36" s="140" t="s">
        <v>3</v>
      </c>
      <c r="B36" s="139">
        <v>27655.807203073808</v>
      </c>
      <c r="C36" s="139">
        <v>29006.96391941392</v>
      </c>
      <c r="D36" s="139">
        <f>C36-B36</f>
        <v>1351.1567163401123</v>
      </c>
      <c r="I36" s="82"/>
      <c r="K36" s="81"/>
    </row>
    <row r="37" spans="1:24" x14ac:dyDescent="0.35">
      <c r="A37" s="33"/>
      <c r="B37" s="33"/>
      <c r="C37" s="33"/>
      <c r="D37" s="33"/>
    </row>
    <row r="38" spans="1:24" x14ac:dyDescent="0.35">
      <c r="A38" s="49" t="s">
        <v>73</v>
      </c>
      <c r="B38" s="48">
        <f>SUM(B39:B43)</f>
        <v>156192629366.37653</v>
      </c>
      <c r="C38" s="48">
        <f>SUM(C39:C43)</f>
        <v>70618086259.000031</v>
      </c>
      <c r="D38" s="33"/>
      <c r="F38" s="156"/>
      <c r="G38" s="18"/>
    </row>
    <row r="39" spans="1:24" s="79" customFormat="1" x14ac:dyDescent="0.35">
      <c r="A39" s="135" t="s">
        <v>7</v>
      </c>
      <c r="B39" s="134">
        <f t="shared" ref="B39:C43" si="7">B32*B8</f>
        <v>122504652382.77316</v>
      </c>
      <c r="C39" s="134">
        <f t="shared" si="7"/>
        <v>58092251511.000038</v>
      </c>
      <c r="D39" s="135"/>
    </row>
    <row r="40" spans="1:24" s="79" customFormat="1" x14ac:dyDescent="0.35">
      <c r="A40" s="135" t="s">
        <v>6</v>
      </c>
      <c r="B40" s="134">
        <f t="shared" si="7"/>
        <v>25668295300.423626</v>
      </c>
      <c r="C40" s="134">
        <f t="shared" si="7"/>
        <v>7056130223.999999</v>
      </c>
      <c r="D40" s="135"/>
    </row>
    <row r="41" spans="1:24" s="79" customFormat="1" x14ac:dyDescent="0.35">
      <c r="A41" s="135" t="s">
        <v>5</v>
      </c>
      <c r="B41" s="134">
        <f t="shared" si="7"/>
        <v>2422040194.4642081</v>
      </c>
      <c r="C41" s="134">
        <f t="shared" si="7"/>
        <v>4677814409</v>
      </c>
      <c r="D41" s="135"/>
    </row>
    <row r="42" spans="1:24" s="79" customFormat="1" x14ac:dyDescent="0.35">
      <c r="A42" s="135" t="s">
        <v>4</v>
      </c>
      <c r="B42" s="134">
        <f t="shared" si="7"/>
        <v>2832060768.4081864</v>
      </c>
      <c r="C42" s="134">
        <f t="shared" si="7"/>
        <v>0</v>
      </c>
      <c r="D42" s="135"/>
    </row>
    <row r="43" spans="1:24" s="79" customFormat="1" x14ac:dyDescent="0.35">
      <c r="A43" s="135" t="s">
        <v>3</v>
      </c>
      <c r="B43" s="134">
        <f t="shared" si="7"/>
        <v>2765580720.3073807</v>
      </c>
      <c r="C43" s="134">
        <f t="shared" si="7"/>
        <v>791890115</v>
      </c>
      <c r="D43" s="135"/>
    </row>
    <row r="44" spans="1:24" s="50" customFormat="1" x14ac:dyDescent="0.35">
      <c r="A44" s="49" t="s">
        <v>36</v>
      </c>
      <c r="B44" s="48"/>
      <c r="C44" s="49"/>
      <c r="D44" s="49"/>
    </row>
    <row r="45" spans="1:24" s="50" customFormat="1" x14ac:dyDescent="0.35">
      <c r="A45" s="49" t="s">
        <v>35</v>
      </c>
      <c r="B45" s="209">
        <v>2359350000</v>
      </c>
      <c r="C45" s="209">
        <v>6217736669</v>
      </c>
      <c r="D45" s="49"/>
      <c r="F45" s="75"/>
    </row>
    <row r="46" spans="1:24" s="50" customFormat="1" x14ac:dyDescent="0.35">
      <c r="A46" s="49" t="s">
        <v>1</v>
      </c>
      <c r="B46" s="209">
        <v>2250000000</v>
      </c>
      <c r="C46" s="209">
        <v>4104777916.0000153</v>
      </c>
      <c r="D46" s="49"/>
    </row>
    <row r="47" spans="1:24" x14ac:dyDescent="0.35">
      <c r="A47" s="132" t="s">
        <v>87</v>
      </c>
      <c r="B47" s="131">
        <f>B38+B44+B45+B46</f>
        <v>160801979366.37653</v>
      </c>
      <c r="C47" s="131">
        <f>C38+C44+C45+C46</f>
        <v>80940600844.000046</v>
      </c>
      <c r="D47" s="33"/>
      <c r="E47" s="1"/>
      <c r="F47" s="1"/>
      <c r="K47" s="92" t="s">
        <v>48</v>
      </c>
      <c r="L47" s="91"/>
      <c r="M47" s="91"/>
      <c r="N47" s="91"/>
      <c r="O47" s="91"/>
      <c r="P47" s="91"/>
      <c r="Q47" s="91"/>
      <c r="S47" s="92" t="s">
        <v>72</v>
      </c>
      <c r="T47" s="91"/>
      <c r="U47" s="91"/>
      <c r="V47" s="91"/>
      <c r="W47" s="91"/>
      <c r="X47" s="212"/>
    </row>
    <row r="48" spans="1:24" x14ac:dyDescent="0.35">
      <c r="A48" s="108" t="s">
        <v>105</v>
      </c>
      <c r="B48" s="197">
        <f>'S7'!C3-'S8'!C3-B47</f>
        <v>0</v>
      </c>
      <c r="C48" s="197">
        <f>'S7'!G17-'S8'!G22-C47</f>
        <v>0</v>
      </c>
      <c r="D48" s="113"/>
      <c r="F48" s="137" t="s">
        <v>71</v>
      </c>
      <c r="G48" s="137" t="s">
        <v>70</v>
      </c>
      <c r="H48" s="138" t="s">
        <v>69</v>
      </c>
      <c r="K48" s="89" t="s">
        <v>16</v>
      </c>
      <c r="L48" s="89" t="s">
        <v>42</v>
      </c>
      <c r="M48" s="89" t="s">
        <v>14</v>
      </c>
      <c r="N48" s="89" t="s">
        <v>60</v>
      </c>
      <c r="O48" s="89" t="s">
        <v>12</v>
      </c>
      <c r="P48" s="89" t="s">
        <v>1</v>
      </c>
      <c r="Q48" s="89" t="s">
        <v>112</v>
      </c>
      <c r="S48" s="89" t="s">
        <v>16</v>
      </c>
      <c r="T48" s="89" t="s">
        <v>42</v>
      </c>
      <c r="U48" s="89" t="s">
        <v>50</v>
      </c>
      <c r="V48" s="89" t="s">
        <v>12</v>
      </c>
      <c r="W48" s="89" t="s">
        <v>1</v>
      </c>
      <c r="X48" s="213" t="s">
        <v>112</v>
      </c>
    </row>
    <row r="49" spans="1:25" x14ac:dyDescent="0.35">
      <c r="A49" s="49" t="s">
        <v>68</v>
      </c>
      <c r="B49" s="48">
        <f>SUM(B50:B54)</f>
        <v>34535195633.623398</v>
      </c>
      <c r="C49" s="48">
        <f>SUM(C50:C54)</f>
        <v>5040796875.9999924</v>
      </c>
      <c r="D49" s="48">
        <f t="shared" ref="D49:D59" si="8">C49-B49</f>
        <v>-29494398757.623405</v>
      </c>
      <c r="F49" s="137"/>
      <c r="G49" s="137"/>
      <c r="H49" s="136">
        <f>SUM(H50:H54)</f>
        <v>14524729249.197556</v>
      </c>
    </row>
    <row r="50" spans="1:25" x14ac:dyDescent="0.35">
      <c r="A50" s="135" t="s">
        <v>7</v>
      </c>
      <c r="B50" s="134">
        <f t="shared" ref="B50:C57" si="9">B20-B39</f>
        <v>28866735117.226807</v>
      </c>
      <c r="C50" s="134">
        <f t="shared" si="9"/>
        <v>6897552306.0319214</v>
      </c>
      <c r="D50" s="134">
        <f t="shared" si="8"/>
        <v>-21969182811.194885</v>
      </c>
      <c r="F50" s="40">
        <f t="shared" ref="F50:G54" si="10">B63*B70/10^3-B32</f>
        <v>6169.7141385632203</v>
      </c>
      <c r="G50" s="40">
        <f t="shared" si="10"/>
        <v>3401.7637776094016</v>
      </c>
      <c r="H50" s="133">
        <f>F50*H8</f>
        <v>12140701802.708504</v>
      </c>
      <c r="K50" s="18">
        <f>H50-B50</f>
        <v>-16726033314.518303</v>
      </c>
      <c r="L50" s="1">
        <f>C8*F50-H50</f>
        <v>369257373.20782471</v>
      </c>
      <c r="M50" s="1">
        <f>C8*D63*B70/10^3</f>
        <v>-3557756286.6687512</v>
      </c>
      <c r="N50" s="1">
        <f>-D32*C8</f>
        <v>-5002485940.1875238</v>
      </c>
      <c r="O50" s="18">
        <f>N20</f>
        <v>2947835356.9718704</v>
      </c>
      <c r="P50" s="18"/>
      <c r="R50" s="1"/>
      <c r="S50" s="18">
        <f t="shared" ref="S50:T54" si="11">K50</f>
        <v>-16726033314.518303</v>
      </c>
      <c r="T50" s="18">
        <f t="shared" si="11"/>
        <v>369257373.20782471</v>
      </c>
      <c r="U50" s="1">
        <f>M50+N50</f>
        <v>-8560242226.8562756</v>
      </c>
      <c r="V50" s="18">
        <f>O50</f>
        <v>2947835356.9718704</v>
      </c>
    </row>
    <row r="51" spans="1:25" x14ac:dyDescent="0.35">
      <c r="A51" s="135" t="s">
        <v>6</v>
      </c>
      <c r="B51" s="134">
        <f t="shared" si="9"/>
        <v>5315954699.5763702</v>
      </c>
      <c r="C51" s="134">
        <f t="shared" si="9"/>
        <v>51860203.000000954</v>
      </c>
      <c r="D51" s="134">
        <f t="shared" si="8"/>
        <v>-5264094496.5763693</v>
      </c>
      <c r="F51" s="40">
        <f t="shared" si="10"/>
        <v>5734.5789639443065</v>
      </c>
      <c r="G51" s="40">
        <f t="shared" si="10"/>
        <v>192.98614940925108</v>
      </c>
      <c r="H51" s="133">
        <f>F51*H9</f>
        <v>2235771400.6163573</v>
      </c>
      <c r="K51" s="18">
        <f>H51-B51</f>
        <v>-3080183298.9600129</v>
      </c>
      <c r="L51" s="1">
        <f>C9*F51-H51</f>
        <v>-694746668.53042316</v>
      </c>
      <c r="M51" s="1">
        <f>C9*D64*B71/10^3</f>
        <v>-2197261451.2703648</v>
      </c>
      <c r="N51" s="1">
        <f>-D33*C9</f>
        <v>384768001.03380865</v>
      </c>
      <c r="O51" s="18">
        <f>N21</f>
        <v>323328921.15062428</v>
      </c>
      <c r="P51" s="18"/>
      <c r="R51" s="1"/>
      <c r="S51" s="18">
        <f t="shared" si="11"/>
        <v>-3080183298.9600129</v>
      </c>
      <c r="T51" s="18">
        <f t="shared" si="11"/>
        <v>-694746668.53042316</v>
      </c>
      <c r="U51" s="1">
        <f>M51+N51</f>
        <v>-1812493450.2365561</v>
      </c>
      <c r="V51" s="18">
        <f>O51</f>
        <v>323328921.15062428</v>
      </c>
    </row>
    <row r="52" spans="1:25" x14ac:dyDescent="0.35">
      <c r="A52" s="135" t="s">
        <v>5</v>
      </c>
      <c r="B52" s="134">
        <f t="shared" si="9"/>
        <v>823522305.5357914</v>
      </c>
      <c r="C52" s="134">
        <f t="shared" si="9"/>
        <v>-1567804342.1959362</v>
      </c>
      <c r="D52" s="134">
        <f t="shared" si="8"/>
        <v>-2391326647.7317276</v>
      </c>
      <c r="F52" s="40">
        <f t="shared" si="10"/>
        <v>5287.4626358638288</v>
      </c>
      <c r="G52" s="40">
        <f t="shared" si="10"/>
        <v>-8395.2039742754278</v>
      </c>
      <c r="H52" s="133">
        <f>F52*H10</f>
        <v>346355024.17529887</v>
      </c>
      <c r="K52" s="18">
        <f>H52-B52</f>
        <v>-477167281.36049253</v>
      </c>
      <c r="L52" s="1">
        <f>C10*F52-H52</f>
        <v>641078623.07227111</v>
      </c>
      <c r="M52" s="1">
        <f>C10*D65*B72/10^3</f>
        <v>-922650802.10231829</v>
      </c>
      <c r="N52" s="1">
        <f>-D34*C10</f>
        <v>-1773698798.6231725</v>
      </c>
      <c r="O52" s="18">
        <f>N22</f>
        <v>141111611.28198433</v>
      </c>
      <c r="P52" s="18"/>
      <c r="R52" s="1"/>
      <c r="S52" s="18">
        <f t="shared" si="11"/>
        <v>-477167281.36049253</v>
      </c>
      <c r="T52" s="18">
        <f t="shared" si="11"/>
        <v>641078623.07227111</v>
      </c>
      <c r="U52" s="1">
        <f>M52+N52</f>
        <v>-2696349600.7254906</v>
      </c>
      <c r="V52" s="18">
        <f>O52</f>
        <v>141111611.28198433</v>
      </c>
    </row>
    <row r="53" spans="1:25" x14ac:dyDescent="0.35">
      <c r="A53" s="135" t="s">
        <v>4</v>
      </c>
      <c r="B53" s="134">
        <f t="shared" si="9"/>
        <v>-455435768.40818739</v>
      </c>
      <c r="C53" s="134">
        <f t="shared" si="9"/>
        <v>0</v>
      </c>
      <c r="D53" s="134">
        <f t="shared" si="8"/>
        <v>455435768.40818739</v>
      </c>
      <c r="F53" s="40">
        <f t="shared" si="10"/>
        <v>-4238.97774021023</v>
      </c>
      <c r="G53" s="40">
        <f t="shared" si="10"/>
        <v>0</v>
      </c>
      <c r="H53" s="133">
        <f>F53*H11</f>
        <v>-191546076.55063421</v>
      </c>
      <c r="K53" s="18">
        <f>H53-B53</f>
        <v>263889691.85755318</v>
      </c>
      <c r="L53" s="1">
        <f>C11*F53-H53</f>
        <v>191546076.55063421</v>
      </c>
      <c r="M53" s="1">
        <f>C11*D66*B73/10^3</f>
        <v>0</v>
      </c>
      <c r="N53" s="1">
        <f>-D35*C11</f>
        <v>0</v>
      </c>
      <c r="O53" s="18">
        <f>N23</f>
        <v>0</v>
      </c>
      <c r="P53" s="18"/>
      <c r="R53" s="1"/>
      <c r="S53" s="18">
        <f t="shared" si="11"/>
        <v>263889691.85755318</v>
      </c>
      <c r="T53" s="18">
        <f t="shared" si="11"/>
        <v>191546076.55063421</v>
      </c>
      <c r="U53" s="1">
        <f>M53+N53</f>
        <v>0</v>
      </c>
      <c r="V53" s="18">
        <f>O53</f>
        <v>0</v>
      </c>
    </row>
    <row r="54" spans="1:25" x14ac:dyDescent="0.35">
      <c r="A54" s="135" t="s">
        <v>3</v>
      </c>
      <c r="B54" s="134">
        <f t="shared" si="9"/>
        <v>-15580720.307381153</v>
      </c>
      <c r="C54" s="134">
        <f t="shared" si="9"/>
        <v>-340811290.83599418</v>
      </c>
      <c r="D54" s="134">
        <f t="shared" si="8"/>
        <v>-325230570.52861303</v>
      </c>
      <c r="F54" s="40">
        <f t="shared" si="10"/>
        <v>-155.80720307381125</v>
      </c>
      <c r="G54" s="40">
        <f t="shared" si="10"/>
        <v>-12483.930067252535</v>
      </c>
      <c r="H54" s="133">
        <f>F54*H12</f>
        <v>-6552901.7519696346</v>
      </c>
      <c r="K54" s="18">
        <f>H54-B54</f>
        <v>9027818.5554115176</v>
      </c>
      <c r="L54" s="1">
        <f>C12*F54-H54</f>
        <v>2299365.1080545876</v>
      </c>
      <c r="M54" s="1">
        <f>C12*D67*B74/10^3</f>
        <v>-320159832.97656494</v>
      </c>
      <c r="N54" s="1">
        <f>-D36*C12</f>
        <v>-36886578.356085069</v>
      </c>
      <c r="O54" s="18">
        <f>N24</f>
        <v>20488657.140570939</v>
      </c>
      <c r="P54" s="18"/>
      <c r="R54" s="1"/>
      <c r="S54" s="18">
        <f t="shared" si="11"/>
        <v>9027818.5554115176</v>
      </c>
      <c r="T54" s="18">
        <f t="shared" si="11"/>
        <v>2299365.1080545876</v>
      </c>
      <c r="U54" s="1">
        <f>M54+N54</f>
        <v>-357046411.33265001</v>
      </c>
      <c r="V54" s="18">
        <f>O54</f>
        <v>20488657.140570939</v>
      </c>
    </row>
    <row r="55" spans="1:25" x14ac:dyDescent="0.35">
      <c r="A55" s="49" t="s">
        <v>36</v>
      </c>
      <c r="B55" s="48">
        <f t="shared" si="9"/>
        <v>3408550000</v>
      </c>
      <c r="C55" s="48">
        <f t="shared" si="9"/>
        <v>3395251201</v>
      </c>
      <c r="D55" s="48">
        <f t="shared" si="8"/>
        <v>-13298799</v>
      </c>
      <c r="H55" s="9"/>
      <c r="P55" s="18">
        <f>D55</f>
        <v>-13298799</v>
      </c>
      <c r="Q55" s="18"/>
      <c r="W55" s="18">
        <f>P55</f>
        <v>-13298799</v>
      </c>
      <c r="X55" s="18"/>
    </row>
    <row r="56" spans="1:25" x14ac:dyDescent="0.35">
      <c r="A56" s="49" t="s">
        <v>35</v>
      </c>
      <c r="B56" s="48">
        <f t="shared" si="9"/>
        <v>280650000</v>
      </c>
      <c r="C56" s="48">
        <f t="shared" si="9"/>
        <v>772152404</v>
      </c>
      <c r="D56" s="48">
        <f t="shared" si="8"/>
        <v>491502404</v>
      </c>
      <c r="H56" s="9"/>
      <c r="P56" s="18">
        <f t="shared" ref="P56:P57" si="12">D56</f>
        <v>491502404</v>
      </c>
      <c r="Q56" s="18"/>
      <c r="W56" s="18">
        <f t="shared" ref="W56:X58" si="13">P56</f>
        <v>491502404</v>
      </c>
      <c r="X56" s="18"/>
    </row>
    <row r="57" spans="1:25" x14ac:dyDescent="0.35">
      <c r="A57" s="49" t="s">
        <v>1</v>
      </c>
      <c r="B57" s="48">
        <f t="shared" si="9"/>
        <v>-2250000000</v>
      </c>
      <c r="C57" s="48">
        <f t="shared" si="9"/>
        <v>-4041219102.9999847</v>
      </c>
      <c r="D57" s="48">
        <f t="shared" si="8"/>
        <v>-1791219102.9999847</v>
      </c>
      <c r="H57" s="9"/>
      <c r="P57" s="18">
        <f t="shared" si="12"/>
        <v>-1791219102.9999847</v>
      </c>
      <c r="Q57" s="18"/>
      <c r="W57" s="18">
        <f t="shared" si="13"/>
        <v>-1791219102.9999847</v>
      </c>
      <c r="X57" s="18"/>
    </row>
    <row r="58" spans="1:25" x14ac:dyDescent="0.35">
      <c r="A58" s="49" t="s">
        <v>112</v>
      </c>
      <c r="B58" s="48">
        <f>B28</f>
        <v>12485577500</v>
      </c>
      <c r="C58" s="48">
        <f>C28</f>
        <v>2240298579.9999542</v>
      </c>
      <c r="D58" s="48">
        <f t="shared" si="8"/>
        <v>-10245278920.000046</v>
      </c>
      <c r="H58" s="9"/>
      <c r="Q58" s="18">
        <f>D58</f>
        <v>-10245278920.000046</v>
      </c>
      <c r="W58" s="18"/>
      <c r="X58" s="18">
        <f t="shared" si="13"/>
        <v>-10245278920.000046</v>
      </c>
    </row>
    <row r="59" spans="1:25" x14ac:dyDescent="0.35">
      <c r="A59" s="132" t="s">
        <v>67</v>
      </c>
      <c r="B59" s="131">
        <f>B49+B55+B56+B57+B58</f>
        <v>48459973133.623398</v>
      </c>
      <c r="C59" s="131">
        <f>C49+C55+C56+C57+C58</f>
        <v>7407279957.9999619</v>
      </c>
      <c r="D59" s="131">
        <f t="shared" si="8"/>
        <v>-41052693175.623436</v>
      </c>
      <c r="K59" s="23">
        <f>SUM(K49:K58)</f>
        <v>-20010466384.425846</v>
      </c>
      <c r="L59" s="23">
        <f t="shared" ref="L59:Q59" si="14">SUM(L49:L58)</f>
        <v>509434769.40836143</v>
      </c>
      <c r="M59" s="23">
        <f t="shared" si="14"/>
        <v>-6997828373.0179987</v>
      </c>
      <c r="N59" s="23">
        <f t="shared" si="14"/>
        <v>-6428303316.1329727</v>
      </c>
      <c r="O59" s="23">
        <f t="shared" si="14"/>
        <v>3432764546.5450501</v>
      </c>
      <c r="P59" s="23">
        <f t="shared" si="14"/>
        <v>-1313015497.9999847</v>
      </c>
      <c r="Q59" s="23">
        <f t="shared" si="14"/>
        <v>-10245278920.000046</v>
      </c>
      <c r="S59" s="23">
        <f t="shared" ref="S59:X59" si="15">SUM(S49:S58)</f>
        <v>-20010466384.425846</v>
      </c>
      <c r="T59" s="23">
        <f t="shared" si="15"/>
        <v>509434769.40836143</v>
      </c>
      <c r="U59" s="23">
        <f t="shared" si="15"/>
        <v>-13426131689.15097</v>
      </c>
      <c r="V59" s="23">
        <f t="shared" si="15"/>
        <v>3432764546.5450501</v>
      </c>
      <c r="W59" s="23">
        <f t="shared" si="15"/>
        <v>-1313015497.9999847</v>
      </c>
      <c r="X59" s="23">
        <f t="shared" si="15"/>
        <v>-10245278920.000046</v>
      </c>
      <c r="Y59" s="18">
        <f>SUM(S59:X59)</f>
        <v>-41052693175.623436</v>
      </c>
    </row>
    <row r="60" spans="1:25" s="21" customFormat="1" x14ac:dyDescent="0.35">
      <c r="A60" s="130" t="s">
        <v>11</v>
      </c>
      <c r="B60" s="62">
        <f>B59-'S8'!C3</f>
        <v>0</v>
      </c>
      <c r="C60" s="62">
        <f>C59-'S8'!G22</f>
        <v>0</v>
      </c>
      <c r="F60" s="74"/>
      <c r="X60" s="21" t="s">
        <v>11</v>
      </c>
      <c r="Y60" s="74">
        <f>Y59-D59</f>
        <v>0</v>
      </c>
    </row>
    <row r="61" spans="1:25" x14ac:dyDescent="0.35">
      <c r="B61" s="18"/>
    </row>
    <row r="62" spans="1:25" x14ac:dyDescent="0.35">
      <c r="A62" s="73" t="s">
        <v>34</v>
      </c>
      <c r="B62" s="72" t="s">
        <v>9</v>
      </c>
      <c r="C62" s="72" t="s">
        <v>8</v>
      </c>
      <c r="D62" s="71"/>
    </row>
    <row r="63" spans="1:25" x14ac:dyDescent="0.35">
      <c r="A63" s="70" t="s">
        <v>7</v>
      </c>
      <c r="B63" s="69">
        <f>'S6'!B33</f>
        <v>1294.1098961695143</v>
      </c>
      <c r="C63" s="69">
        <f>'S6'!C33</f>
        <v>1223.9247294403365</v>
      </c>
      <c r="D63" s="69">
        <f>C63-B63</f>
        <v>-70.185166729177809</v>
      </c>
      <c r="L63" s="18"/>
      <c r="Q63" s="1"/>
    </row>
    <row r="64" spans="1:25" x14ac:dyDescent="0.35">
      <c r="A64" s="70" t="s">
        <v>6</v>
      </c>
      <c r="B64" s="69">
        <f>'S6'!B34</f>
        <v>1336.9687162891046</v>
      </c>
      <c r="C64" s="69">
        <f>'S6'!C34</f>
        <v>1009.9040291523864</v>
      </c>
      <c r="D64" s="69">
        <f>C64-B64</f>
        <v>-327.06468713671813</v>
      </c>
      <c r="Q64" s="18"/>
    </row>
    <row r="65" spans="1:17" x14ac:dyDescent="0.35">
      <c r="A65" s="70" t="s">
        <v>5</v>
      </c>
      <c r="B65" s="69">
        <f>'S6'!B35</f>
        <v>833.53130016051364</v>
      </c>
      <c r="C65" s="69">
        <f>'S6'!C35</f>
        <v>635.90863839830354</v>
      </c>
      <c r="D65" s="69">
        <f>C65-B65</f>
        <v>-197.6226617622101</v>
      </c>
      <c r="O65" s="18"/>
      <c r="P65" s="18"/>
    </row>
    <row r="66" spans="1:17" x14ac:dyDescent="0.35">
      <c r="A66" s="70" t="s">
        <v>4</v>
      </c>
      <c r="B66" s="69">
        <f>'S6'!B36</f>
        <v>884.81943410275494</v>
      </c>
      <c r="C66" s="69">
        <f>'S6'!C36</f>
        <v>0</v>
      </c>
      <c r="D66" s="69">
        <f>C66-B66</f>
        <v>-884.81943410275494</v>
      </c>
      <c r="O66" s="1"/>
      <c r="P66" s="1"/>
    </row>
    <row r="67" spans="1:17" x14ac:dyDescent="0.35">
      <c r="A67" s="70" t="s">
        <v>3</v>
      </c>
      <c r="B67" s="69">
        <f>'S6'!B37</f>
        <v>1100</v>
      </c>
      <c r="C67" s="69">
        <f>'S6'!C37</f>
        <v>630.9013436240806</v>
      </c>
      <c r="D67" s="69">
        <f>C67-B67</f>
        <v>-469.0986563759194</v>
      </c>
    </row>
    <row r="69" spans="1:17" x14ac:dyDescent="0.35">
      <c r="A69" s="68" t="s">
        <v>33</v>
      </c>
      <c r="B69" s="67">
        <f>'S6'!B39</f>
        <v>24999.999999999996</v>
      </c>
      <c r="C69" s="67">
        <f>'S6'!C39</f>
        <v>26188.206413254738</v>
      </c>
      <c r="D69" s="65"/>
      <c r="N69" s="18"/>
      <c r="O69" s="18"/>
      <c r="P69" s="18"/>
      <c r="Q69" s="66"/>
    </row>
    <row r="70" spans="1:17" x14ac:dyDescent="0.35">
      <c r="A70" s="65" t="s">
        <v>7</v>
      </c>
      <c r="B70" s="44">
        <f>'S6'!B40</f>
        <v>24999.999999999996</v>
      </c>
      <c r="C70" s="44">
        <f>'S6'!C40</f>
        <v>26187.839228082179</v>
      </c>
      <c r="D70" s="65"/>
    </row>
    <row r="71" spans="1:17" x14ac:dyDescent="0.35">
      <c r="A71" s="65" t="s">
        <v>6</v>
      </c>
      <c r="B71" s="44">
        <f>'S6'!B41</f>
        <v>24999.999999999996</v>
      </c>
      <c r="C71" s="44">
        <f>'S6'!C41</f>
        <v>26191.396655794346</v>
      </c>
      <c r="D71" s="65"/>
    </row>
    <row r="72" spans="1:17" x14ac:dyDescent="0.35">
      <c r="A72" s="65" t="s">
        <v>5</v>
      </c>
      <c r="B72" s="44">
        <f>'S6'!B42</f>
        <v>24999.999999999996</v>
      </c>
      <c r="C72" s="44">
        <f>'S6'!C42</f>
        <v>26188.248885874826</v>
      </c>
      <c r="D72" s="65"/>
    </row>
    <row r="73" spans="1:17" x14ac:dyDescent="0.35">
      <c r="A73" s="65" t="s">
        <v>4</v>
      </c>
      <c r="B73" s="44">
        <f>'S6'!B43</f>
        <v>24999.999999999996</v>
      </c>
      <c r="C73" s="44">
        <f>'S6'!C43</f>
        <v>0</v>
      </c>
      <c r="D73" s="65"/>
    </row>
    <row r="74" spans="1:17" x14ac:dyDescent="0.35">
      <c r="A74" s="65" t="s">
        <v>3</v>
      </c>
      <c r="B74" s="44">
        <f>'S6'!B44</f>
        <v>24999.999999999996</v>
      </c>
      <c r="C74" s="44">
        <f>'S6'!C44</f>
        <v>26189.568336070231</v>
      </c>
      <c r="D74" s="65"/>
    </row>
    <row r="77" spans="1:17" x14ac:dyDescent="0.35">
      <c r="A77" s="49" t="s">
        <v>32</v>
      </c>
      <c r="B77" s="33"/>
      <c r="C77" s="33"/>
      <c r="D77" s="33"/>
      <c r="E77" s="33"/>
      <c r="F77" s="33"/>
      <c r="G77" s="33"/>
    </row>
    <row r="78" spans="1:17" x14ac:dyDescent="0.35">
      <c r="A78" s="49"/>
      <c r="B78" s="49"/>
      <c r="C78" s="49" t="s">
        <v>28</v>
      </c>
      <c r="D78" s="49" t="s">
        <v>27</v>
      </c>
      <c r="E78" s="49" t="s">
        <v>26</v>
      </c>
      <c r="F78" s="49" t="s">
        <v>25</v>
      </c>
      <c r="G78" s="49" t="s">
        <v>24</v>
      </c>
    </row>
    <row r="79" spans="1:17" x14ac:dyDescent="0.35">
      <c r="A79" s="49" t="str">
        <f>'S7'!A3</f>
        <v>KH T11</v>
      </c>
      <c r="B79" s="49"/>
      <c r="C79" s="103">
        <f>B59</f>
        <v>48459973133.623398</v>
      </c>
      <c r="D79" s="51"/>
      <c r="E79" s="53"/>
      <c r="F79" s="52"/>
      <c r="G79" s="51"/>
    </row>
    <row r="80" spans="1:17" x14ac:dyDescent="0.35">
      <c r="A80" s="33" t="s">
        <v>7</v>
      </c>
      <c r="B80" s="33" t="s">
        <v>16</v>
      </c>
      <c r="C80" s="32"/>
      <c r="D80" s="32">
        <f>C79-F80</f>
        <v>31733939819.105095</v>
      </c>
      <c r="E80" s="31">
        <f t="shared" ref="E80:E97" si="16">IF(H80&gt;0,H80,0)</f>
        <v>0</v>
      </c>
      <c r="F80" s="30">
        <f t="shared" ref="F80:F97" si="17">IF(H80&lt;0,-H80,0)</f>
        <v>16726033314.518303</v>
      </c>
      <c r="G80" s="32"/>
      <c r="H80" s="63" cm="1">
        <f t="array" ref="H80:H82">TRANSPOSE(S50:U50)</f>
        <v>-16726033314.518303</v>
      </c>
    </row>
    <row r="81" spans="1:8" x14ac:dyDescent="0.35">
      <c r="A81" s="33"/>
      <c r="B81" s="33" t="s">
        <v>31</v>
      </c>
      <c r="C81" s="32"/>
      <c r="D81" s="32">
        <f t="shared" ref="D81:D97" si="18">D80+E80-F81</f>
        <v>31733939819.105095</v>
      </c>
      <c r="E81" s="31">
        <f t="shared" si="16"/>
        <v>369257373.20782471</v>
      </c>
      <c r="F81" s="30">
        <f t="shared" si="17"/>
        <v>0</v>
      </c>
      <c r="G81" s="32"/>
      <c r="H81" s="63">
        <v>369257373.20782471</v>
      </c>
    </row>
    <row r="82" spans="1:8" x14ac:dyDescent="0.35">
      <c r="A82" s="33"/>
      <c r="B82" s="33" t="s">
        <v>50</v>
      </c>
      <c r="C82" s="32"/>
      <c r="D82" s="32">
        <f t="shared" si="18"/>
        <v>23542954965.456642</v>
      </c>
      <c r="E82" s="31">
        <f t="shared" si="16"/>
        <v>0</v>
      </c>
      <c r="F82" s="30">
        <f t="shared" si="17"/>
        <v>8560242226.8562756</v>
      </c>
      <c r="G82" s="32"/>
      <c r="H82" s="63">
        <v>-8560242226.8562756</v>
      </c>
    </row>
    <row r="83" spans="1:8" x14ac:dyDescent="0.35">
      <c r="A83" s="33" t="s">
        <v>6</v>
      </c>
      <c r="B83" s="33" t="s">
        <v>16</v>
      </c>
      <c r="C83" s="32"/>
      <c r="D83" s="32">
        <f t="shared" si="18"/>
        <v>20462771666.496628</v>
      </c>
      <c r="E83" s="31">
        <f t="shared" si="16"/>
        <v>0</v>
      </c>
      <c r="F83" s="30">
        <f t="shared" si="17"/>
        <v>3080183298.9600129</v>
      </c>
      <c r="G83" s="32"/>
      <c r="H83" s="63" cm="1">
        <f t="array" ref="H83:H85">TRANSPOSE(S51:U51)</f>
        <v>-3080183298.9600129</v>
      </c>
    </row>
    <row r="84" spans="1:8" x14ac:dyDescent="0.35">
      <c r="A84" s="33"/>
      <c r="B84" s="33" t="s">
        <v>31</v>
      </c>
      <c r="C84" s="32"/>
      <c r="D84" s="32">
        <f t="shared" si="18"/>
        <v>19768024997.966206</v>
      </c>
      <c r="E84" s="31">
        <f t="shared" si="16"/>
        <v>0</v>
      </c>
      <c r="F84" s="30">
        <f t="shared" si="17"/>
        <v>694746668.53042316</v>
      </c>
      <c r="G84" s="32"/>
      <c r="H84" s="63">
        <v>-694746668.53042316</v>
      </c>
    </row>
    <row r="85" spans="1:8" x14ac:dyDescent="0.35">
      <c r="A85" s="33"/>
      <c r="B85" s="33" t="s">
        <v>50</v>
      </c>
      <c r="C85" s="32"/>
      <c r="D85" s="32">
        <f t="shared" si="18"/>
        <v>17955531547.729649</v>
      </c>
      <c r="E85" s="31">
        <f t="shared" si="16"/>
        <v>0</v>
      </c>
      <c r="F85" s="30">
        <f t="shared" si="17"/>
        <v>1812493450.2365561</v>
      </c>
      <c r="G85" s="32"/>
      <c r="H85" s="63">
        <v>-1812493450.2365561</v>
      </c>
    </row>
    <row r="86" spans="1:8" x14ac:dyDescent="0.35">
      <c r="A86" s="33" t="s">
        <v>5</v>
      </c>
      <c r="B86" s="33" t="s">
        <v>16</v>
      </c>
      <c r="C86" s="32"/>
      <c r="D86" s="32">
        <f t="shared" si="18"/>
        <v>17478364266.369156</v>
      </c>
      <c r="E86" s="31">
        <f t="shared" si="16"/>
        <v>0</v>
      </c>
      <c r="F86" s="30">
        <f t="shared" si="17"/>
        <v>477167281.36049253</v>
      </c>
      <c r="G86" s="32"/>
      <c r="H86" s="63" cm="1">
        <f t="array" ref="H86:H88">TRANSPOSE(S52:U52)</f>
        <v>-477167281.36049253</v>
      </c>
    </row>
    <row r="87" spans="1:8" x14ac:dyDescent="0.35">
      <c r="A87" s="33"/>
      <c r="B87" s="33" t="s">
        <v>31</v>
      </c>
      <c r="C87" s="32"/>
      <c r="D87" s="32">
        <f t="shared" si="18"/>
        <v>17478364266.369156</v>
      </c>
      <c r="E87" s="31">
        <f t="shared" si="16"/>
        <v>641078623.07227111</v>
      </c>
      <c r="F87" s="30">
        <f t="shared" si="17"/>
        <v>0</v>
      </c>
      <c r="G87" s="32"/>
      <c r="H87" s="63">
        <v>641078623.07227111</v>
      </c>
    </row>
    <row r="88" spans="1:8" x14ac:dyDescent="0.35">
      <c r="A88" s="33"/>
      <c r="B88" s="33" t="s">
        <v>50</v>
      </c>
      <c r="C88" s="32"/>
      <c r="D88" s="32">
        <f t="shared" si="18"/>
        <v>15423093288.715935</v>
      </c>
      <c r="E88" s="31">
        <f t="shared" si="16"/>
        <v>0</v>
      </c>
      <c r="F88" s="30">
        <f t="shared" si="17"/>
        <v>2696349600.7254906</v>
      </c>
      <c r="G88" s="32"/>
      <c r="H88" s="63">
        <v>-2696349600.7254906</v>
      </c>
    </row>
    <row r="89" spans="1:8" x14ac:dyDescent="0.35">
      <c r="A89" s="33" t="s">
        <v>4</v>
      </c>
      <c r="B89" s="33" t="s">
        <v>16</v>
      </c>
      <c r="C89" s="32"/>
      <c r="D89" s="32">
        <f t="shared" si="18"/>
        <v>15423093288.715935</v>
      </c>
      <c r="E89" s="31">
        <f t="shared" si="16"/>
        <v>263889691.85755318</v>
      </c>
      <c r="F89" s="30">
        <f t="shared" si="17"/>
        <v>0</v>
      </c>
      <c r="G89" s="32"/>
      <c r="H89" s="63" cm="1">
        <f t="array" ref="H89:H91">TRANSPOSE(S53:U53)</f>
        <v>263889691.85755318</v>
      </c>
    </row>
    <row r="90" spans="1:8" x14ac:dyDescent="0.35">
      <c r="A90" s="33"/>
      <c r="B90" s="33" t="s">
        <v>31</v>
      </c>
      <c r="C90" s="32"/>
      <c r="D90" s="32">
        <f t="shared" si="18"/>
        <v>15686982980.573488</v>
      </c>
      <c r="E90" s="31">
        <f t="shared" si="16"/>
        <v>191546076.55063421</v>
      </c>
      <c r="F90" s="30">
        <f t="shared" si="17"/>
        <v>0</v>
      </c>
      <c r="G90" s="32"/>
      <c r="H90" s="63">
        <v>191546076.55063421</v>
      </c>
    </row>
    <row r="91" spans="1:8" x14ac:dyDescent="0.35">
      <c r="A91" s="33"/>
      <c r="B91" s="33" t="s">
        <v>50</v>
      </c>
      <c r="C91" s="32"/>
      <c r="D91" s="32">
        <f t="shared" si="18"/>
        <v>15878529057.124123</v>
      </c>
      <c r="E91" s="31">
        <f t="shared" si="16"/>
        <v>0</v>
      </c>
      <c r="F91" s="30">
        <f t="shared" si="17"/>
        <v>0</v>
      </c>
      <c r="G91" s="32"/>
      <c r="H91" s="63">
        <v>0</v>
      </c>
    </row>
    <row r="92" spans="1:8" x14ac:dyDescent="0.35">
      <c r="A92" s="33" t="s">
        <v>3</v>
      </c>
      <c r="B92" s="33" t="s">
        <v>16</v>
      </c>
      <c r="C92" s="32"/>
      <c r="D92" s="32">
        <f t="shared" si="18"/>
        <v>15878529057.124123</v>
      </c>
      <c r="E92" s="31">
        <f t="shared" si="16"/>
        <v>9027818.5554115176</v>
      </c>
      <c r="F92" s="30">
        <f t="shared" si="17"/>
        <v>0</v>
      </c>
      <c r="G92" s="32"/>
      <c r="H92" s="63" cm="1">
        <f t="array" ref="H92:H94">TRANSPOSE(S54:U54)</f>
        <v>9027818.5554115176</v>
      </c>
    </row>
    <row r="93" spans="1:8" x14ac:dyDescent="0.35">
      <c r="A93" s="33"/>
      <c r="B93" s="33" t="s">
        <v>31</v>
      </c>
      <c r="C93" s="32"/>
      <c r="D93" s="32">
        <f t="shared" si="18"/>
        <v>15887556875.679535</v>
      </c>
      <c r="E93" s="31">
        <f t="shared" si="16"/>
        <v>2299365.1080545876</v>
      </c>
      <c r="F93" s="30">
        <f t="shared" si="17"/>
        <v>0</v>
      </c>
      <c r="G93" s="32"/>
      <c r="H93" s="63">
        <v>2299365.1080545876</v>
      </c>
    </row>
    <row r="94" spans="1:8" x14ac:dyDescent="0.35">
      <c r="A94" s="33"/>
      <c r="B94" s="33" t="s">
        <v>50</v>
      </c>
      <c r="C94" s="32"/>
      <c r="D94" s="32">
        <f t="shared" si="18"/>
        <v>15532809829.454941</v>
      </c>
      <c r="E94" s="31">
        <f t="shared" si="16"/>
        <v>0</v>
      </c>
      <c r="F94" s="30">
        <f t="shared" si="17"/>
        <v>357046411.33265001</v>
      </c>
      <c r="G94" s="32"/>
      <c r="H94" s="63">
        <v>-357046411.33265001</v>
      </c>
    </row>
    <row r="95" spans="1:8" x14ac:dyDescent="0.35">
      <c r="A95" s="33" t="s">
        <v>12</v>
      </c>
      <c r="B95" s="33"/>
      <c r="C95" s="32"/>
      <c r="D95" s="32">
        <f t="shared" si="18"/>
        <v>15532809829.454941</v>
      </c>
      <c r="E95" s="31">
        <f t="shared" si="16"/>
        <v>3432764546.5450501</v>
      </c>
      <c r="F95" s="30">
        <f t="shared" si="17"/>
        <v>0</v>
      </c>
      <c r="G95" s="32"/>
      <c r="H95" s="64">
        <f>V59</f>
        <v>3432764546.5450501</v>
      </c>
    </row>
    <row r="96" spans="1:8" x14ac:dyDescent="0.35">
      <c r="A96" s="33" t="s">
        <v>1</v>
      </c>
      <c r="B96" s="33"/>
      <c r="C96" s="32"/>
      <c r="D96" s="32">
        <f t="shared" si="18"/>
        <v>17652558878.000008</v>
      </c>
      <c r="E96" s="31">
        <f t="shared" si="16"/>
        <v>0</v>
      </c>
      <c r="F96" s="30">
        <f t="shared" si="17"/>
        <v>1313015497.9999847</v>
      </c>
      <c r="G96" s="32"/>
      <c r="H96" s="64">
        <f>W59</f>
        <v>-1313015497.9999847</v>
      </c>
    </row>
    <row r="97" spans="1:8" x14ac:dyDescent="0.35">
      <c r="A97" s="33" t="s">
        <v>112</v>
      </c>
      <c r="B97" s="33"/>
      <c r="C97" s="32"/>
      <c r="D97" s="32">
        <f t="shared" si="18"/>
        <v>7407279957.9999619</v>
      </c>
      <c r="E97" s="31">
        <f t="shared" si="16"/>
        <v>0</v>
      </c>
      <c r="F97" s="30">
        <f t="shared" si="17"/>
        <v>10245278920.000046</v>
      </c>
      <c r="G97" s="32"/>
      <c r="H97" s="64">
        <f>X59</f>
        <v>-10245278920.000046</v>
      </c>
    </row>
    <row r="98" spans="1:8" x14ac:dyDescent="0.35">
      <c r="A98" s="49" t="str">
        <f>'S7'!A17</f>
        <v>TT T11</v>
      </c>
      <c r="B98" s="49"/>
      <c r="C98" s="29"/>
      <c r="D98" s="29"/>
      <c r="E98" s="31"/>
      <c r="F98" s="30"/>
      <c r="G98" s="97">
        <f>D97+E97</f>
        <v>7407279957.9999619</v>
      </c>
    </row>
    <row r="99" spans="1:8" s="21" customFormat="1" x14ac:dyDescent="0.35">
      <c r="A99" s="21" t="s">
        <v>11</v>
      </c>
      <c r="G99" s="62">
        <f>G98-C59</f>
        <v>0</v>
      </c>
    </row>
    <row r="131" spans="1:9" x14ac:dyDescent="0.35">
      <c r="A131" s="49" t="s">
        <v>32</v>
      </c>
      <c r="B131" s="33"/>
      <c r="C131" s="33"/>
      <c r="D131" s="33"/>
      <c r="E131" s="33"/>
      <c r="F131" s="33"/>
      <c r="G131" s="33"/>
    </row>
    <row r="132" spans="1:9" x14ac:dyDescent="0.35">
      <c r="A132" s="49"/>
      <c r="B132" s="49"/>
      <c r="C132" s="49" t="s">
        <v>28</v>
      </c>
      <c r="D132" s="49" t="s">
        <v>27</v>
      </c>
      <c r="E132" s="49" t="s">
        <v>26</v>
      </c>
      <c r="F132" s="49" t="s">
        <v>25</v>
      </c>
      <c r="G132" s="49" t="s">
        <v>24</v>
      </c>
    </row>
    <row r="133" spans="1:9" x14ac:dyDescent="0.35">
      <c r="A133" s="49"/>
      <c r="B133" s="49" t="str">
        <f>A79</f>
        <v>KH T11</v>
      </c>
      <c r="C133" s="103">
        <f>B59</f>
        <v>48459973133.623398</v>
      </c>
      <c r="D133" s="51"/>
      <c r="E133" s="53"/>
      <c r="F133" s="52"/>
      <c r="G133" s="51"/>
    </row>
    <row r="134" spans="1:9" x14ac:dyDescent="0.35">
      <c r="A134" s="33"/>
      <c r="B134" s="33" t="s">
        <v>16</v>
      </c>
      <c r="C134" s="32"/>
      <c r="D134" s="32">
        <f>C133-F134</f>
        <v>28449506749.197552</v>
      </c>
      <c r="E134" s="31">
        <f>IF(H134&gt;0,H134,0)</f>
        <v>0</v>
      </c>
      <c r="F134" s="30">
        <f>IF(H134&lt;0,-H134,0)</f>
        <v>20010466384.425846</v>
      </c>
      <c r="G134" s="32"/>
      <c r="H134" s="63">
        <f>SUMIFS($H$80:$H$96,$B$80:$B$96,$B134)</f>
        <v>-20010466384.425846</v>
      </c>
    </row>
    <row r="135" spans="1:9" x14ac:dyDescent="0.35">
      <c r="A135" s="33"/>
      <c r="B135" s="33" t="s">
        <v>31</v>
      </c>
      <c r="C135" s="32"/>
      <c r="D135" s="32">
        <f>D134+E134-F135</f>
        <v>28449506749.197552</v>
      </c>
      <c r="E135" s="31">
        <f>IF(H135&gt;0,H135,0)</f>
        <v>509434769.40836143</v>
      </c>
      <c r="F135" s="30">
        <f>IF(H135&lt;0,-H135,0)</f>
        <v>0</v>
      </c>
      <c r="G135" s="32"/>
      <c r="H135" s="63">
        <f>SUMIFS($H$80:$H$96,$B$80:$B$96,$B135)</f>
        <v>509434769.40836143</v>
      </c>
    </row>
    <row r="136" spans="1:9" x14ac:dyDescent="0.35">
      <c r="A136" s="33"/>
      <c r="B136" s="33" t="s">
        <v>50</v>
      </c>
      <c r="C136" s="32"/>
      <c r="D136" s="32">
        <f>D135+E135-F136</f>
        <v>15532809829.454941</v>
      </c>
      <c r="E136" s="31">
        <f>IF(H136&gt;0,H136,0)</f>
        <v>0</v>
      </c>
      <c r="F136" s="30">
        <f>IF(H136&lt;0,-H136,0)</f>
        <v>13426131689.15097</v>
      </c>
      <c r="G136" s="32"/>
      <c r="H136" s="63">
        <f>SUMIFS($H$80:$H$96,$B$80:$B$96,$B136)</f>
        <v>-13426131689.15097</v>
      </c>
    </row>
    <row r="137" spans="1:9" x14ac:dyDescent="0.35">
      <c r="A137" s="33"/>
      <c r="B137" s="33" t="s">
        <v>12</v>
      </c>
      <c r="C137" s="32"/>
      <c r="D137" s="32">
        <f>D136+E136-F137</f>
        <v>15532809829.454941</v>
      </c>
      <c r="E137" s="31">
        <f>IF(H137&gt;0,H137,0)</f>
        <v>3432764546.5450501</v>
      </c>
      <c r="F137" s="30">
        <f>IF(H137&lt;0,-H137,0)</f>
        <v>0</v>
      </c>
      <c r="G137" s="32"/>
      <c r="H137" s="64">
        <f>H95</f>
        <v>3432764546.5450501</v>
      </c>
    </row>
    <row r="138" spans="1:9" x14ac:dyDescent="0.35">
      <c r="A138" s="33"/>
      <c r="B138" s="33" t="s">
        <v>1</v>
      </c>
      <c r="C138" s="32"/>
      <c r="D138" s="32">
        <f>D137+E137-F138</f>
        <v>7407279957.9999619</v>
      </c>
      <c r="E138" s="31">
        <f>IF(H138&gt;0,H138,0)</f>
        <v>0</v>
      </c>
      <c r="F138" s="30">
        <f>IF(H138&lt;0,-H138,0)</f>
        <v>11558294418.000031</v>
      </c>
      <c r="G138" s="32"/>
      <c r="H138" s="63">
        <f>H96+H97</f>
        <v>-11558294418.000031</v>
      </c>
      <c r="I138" t="s">
        <v>116</v>
      </c>
    </row>
    <row r="139" spans="1:9" x14ac:dyDescent="0.35">
      <c r="A139" s="49"/>
      <c r="B139" s="49" t="str">
        <f>A98</f>
        <v>TT T11</v>
      </c>
      <c r="C139" s="29"/>
      <c r="D139" s="29"/>
      <c r="E139" s="31"/>
      <c r="F139" s="30"/>
      <c r="G139" s="97">
        <f>D138+E138</f>
        <v>7407279957.9999619</v>
      </c>
    </row>
    <row r="140" spans="1:9" x14ac:dyDescent="0.35">
      <c r="A140" s="21" t="s">
        <v>11</v>
      </c>
      <c r="B140" s="21"/>
      <c r="C140" s="21"/>
      <c r="D140" s="21"/>
      <c r="E140" s="21"/>
      <c r="F140" s="21"/>
      <c r="G140" s="62">
        <f>G139-C59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E0DA-83BE-4BE9-9273-D4C34A829E9A}">
  <sheetPr>
    <tabColor rgb="FFC00000"/>
  </sheetPr>
  <dimension ref="B3:T14"/>
  <sheetViews>
    <sheetView topLeftCell="H1" zoomScale="85" zoomScaleNormal="85" workbookViewId="0">
      <selection activeCell="T6" sqref="T6"/>
    </sheetView>
  </sheetViews>
  <sheetFormatPr defaultRowHeight="14.5" x14ac:dyDescent="0.35"/>
  <cols>
    <col min="2" max="2" width="9.54296875" bestFit="1" customWidth="1"/>
    <col min="3" max="3" width="12.7265625" bestFit="1" customWidth="1"/>
    <col min="4" max="4" width="10.81640625" bestFit="1" customWidth="1"/>
    <col min="6" max="7" width="10.1796875" bestFit="1" customWidth="1"/>
    <col min="9" max="9" width="18.453125" bestFit="1" customWidth="1"/>
    <col min="10" max="10" width="17.453125" bestFit="1" customWidth="1"/>
    <col min="12" max="13" width="10.1796875" bestFit="1" customWidth="1"/>
    <col min="15" max="15" width="18.453125" bestFit="1" customWidth="1"/>
    <col min="16" max="16" width="17.453125" bestFit="1" customWidth="1"/>
    <col min="18" max="18" width="15.7265625" bestFit="1" customWidth="1"/>
    <col min="19" max="19" width="15.26953125" bestFit="1" customWidth="1"/>
  </cols>
  <sheetData>
    <row r="3" spans="2:20" x14ac:dyDescent="0.35">
      <c r="C3" t="s">
        <v>16</v>
      </c>
      <c r="F3" t="s">
        <v>130</v>
      </c>
      <c r="I3" t="s">
        <v>131</v>
      </c>
      <c r="L3" t="s">
        <v>133</v>
      </c>
      <c r="O3" t="s">
        <v>105</v>
      </c>
      <c r="R3" t="s">
        <v>134</v>
      </c>
    </row>
    <row r="4" spans="2:20" x14ac:dyDescent="0.35">
      <c r="C4" s="89" t="s">
        <v>9</v>
      </c>
      <c r="D4" s="89" t="s">
        <v>8</v>
      </c>
      <c r="E4" s="89" t="s">
        <v>47</v>
      </c>
      <c r="F4" s="89" t="s">
        <v>9</v>
      </c>
      <c r="G4" s="89" t="s">
        <v>8</v>
      </c>
      <c r="H4" s="89" t="s">
        <v>47</v>
      </c>
      <c r="I4" s="89" t="s">
        <v>9</v>
      </c>
      <c r="J4" s="89" t="s">
        <v>8</v>
      </c>
      <c r="K4" s="89" t="s">
        <v>47</v>
      </c>
      <c r="L4" s="89" t="s">
        <v>9</v>
      </c>
      <c r="M4" s="89" t="s">
        <v>8</v>
      </c>
      <c r="N4" s="89" t="s">
        <v>47</v>
      </c>
      <c r="O4" s="89" t="s">
        <v>9</v>
      </c>
      <c r="P4" s="89" t="s">
        <v>8</v>
      </c>
      <c r="Q4" s="89" t="s">
        <v>47</v>
      </c>
      <c r="R4" s="89" t="s">
        <v>9</v>
      </c>
      <c r="S4" s="89" t="s">
        <v>8</v>
      </c>
      <c r="T4" s="89" t="s">
        <v>47</v>
      </c>
    </row>
    <row r="5" spans="2:20" x14ac:dyDescent="0.35">
      <c r="B5" s="50" t="s">
        <v>132</v>
      </c>
      <c r="C5" s="76">
        <f>SUM(C6:C10)</f>
        <v>5968970</v>
      </c>
      <c r="D5" s="76">
        <f>SUM(D6:D10)</f>
        <v>2510415</v>
      </c>
      <c r="I5" s="76">
        <f>SUM(I6:I14)</f>
        <v>209261952499.99997</v>
      </c>
      <c r="J5" s="76">
        <f>SUM(J6:J14)</f>
        <v>88347880802</v>
      </c>
      <c r="O5" s="76">
        <f>SUM(O6:O14)</f>
        <v>160801979366.37653</v>
      </c>
      <c r="P5" s="76">
        <f>SUM(P6:P14)</f>
        <v>80940600844.000046</v>
      </c>
      <c r="R5" s="76">
        <f>SUM(R6:R14)</f>
        <v>35974395633.623398</v>
      </c>
      <c r="S5" s="76">
        <f>SUM(S6:S14)</f>
        <v>5166981378.0000076</v>
      </c>
    </row>
    <row r="6" spans="2:20" x14ac:dyDescent="0.35">
      <c r="B6" s="140" t="str">
        <f>'BĐ-LG EXW-v2 (PDM)'!A8</f>
        <v>rPET</v>
      </c>
      <c r="C6" s="1">
        <f>'BĐ-LG EXW-v2 (PDM)'!B8</f>
        <v>4678780</v>
      </c>
      <c r="D6" s="1">
        <f>'BĐ-LG EXW-v2 (PDM)'!C8</f>
        <v>2027640</v>
      </c>
      <c r="F6" s="1">
        <f>'BĐ-LG EXW-v2 (PDM)'!B14</f>
        <v>32352.747404237853</v>
      </c>
      <c r="G6" s="1">
        <f>'BĐ-LG EXW-v2 (PDM)'!C14</f>
        <v>32051.94404185751</v>
      </c>
      <c r="I6" s="1">
        <f>'BĐ-LG EXW-v2 (PDM)'!B20</f>
        <v>151371387499.99997</v>
      </c>
      <c r="J6" s="1">
        <f>'BĐ-LG EXW-v2 (PDM)'!C20</f>
        <v>64989803817.03196</v>
      </c>
      <c r="L6" s="1">
        <f>'BĐ-LG EXW-v2 (PDM)'!B32</f>
        <v>26183.033265674632</v>
      </c>
      <c r="M6" s="1">
        <f>'BĐ-LG EXW-v2 (PDM)'!C32</f>
        <v>28650.180264248109</v>
      </c>
      <c r="O6" s="1">
        <f>'BĐ-LG EXW-v2 (PDM)'!B39</f>
        <v>122504652382.77316</v>
      </c>
      <c r="P6" s="1">
        <f>'BĐ-LG EXW-v2 (PDM)'!C39</f>
        <v>58092251511.000038</v>
      </c>
      <c r="R6" s="18">
        <f>I6-O6</f>
        <v>28866735117.226807</v>
      </c>
      <c r="S6" s="18">
        <f>J6-P6</f>
        <v>6897552306.0319214</v>
      </c>
    </row>
    <row r="7" spans="2:20" x14ac:dyDescent="0.35">
      <c r="B7" s="140" t="str">
        <f>'BĐ-LG EXW-v2 (PDM)'!A9</f>
        <v>rHDPE thổi</v>
      </c>
      <c r="C7" s="1">
        <f>'BĐ-LG EXW-v2 (PDM)'!B9</f>
        <v>927000</v>
      </c>
      <c r="D7" s="1">
        <f>'BĐ-LG EXW-v2 (PDM)'!C9</f>
        <v>268725.00000000006</v>
      </c>
      <c r="F7" s="1">
        <f>'BĐ-LG EXW-v2 (PDM)'!B15</f>
        <v>33424.217907227612</v>
      </c>
      <c r="G7" s="1">
        <f>'BĐ-LG EXW-v2 (PDM)'!C15</f>
        <v>26450.797011815048</v>
      </c>
      <c r="I7" s="1">
        <f>'BĐ-LG EXW-v2 (PDM)'!B21</f>
        <v>30984249999.999996</v>
      </c>
      <c r="J7" s="1">
        <f>'BĐ-LG EXW-v2 (PDM)'!C21</f>
        <v>7107990427</v>
      </c>
      <c r="L7" s="1">
        <f>'BĐ-LG EXW-v2 (PDM)'!B33</f>
        <v>27689.638943283306</v>
      </c>
      <c r="M7" s="1">
        <f>'BĐ-LG EXW-v2 (PDM)'!C33</f>
        <v>26257.810862405797</v>
      </c>
      <c r="O7" s="1">
        <f>'BĐ-LG EXW-v2 (PDM)'!B40</f>
        <v>25668295300.423626</v>
      </c>
      <c r="P7" s="1">
        <f>'BĐ-LG EXW-v2 (PDM)'!C40</f>
        <v>7056130223.999999</v>
      </c>
      <c r="R7" s="18">
        <f t="shared" ref="R7:R13" si="0">I7-O7</f>
        <v>5315954699.5763702</v>
      </c>
      <c r="S7" s="18">
        <f t="shared" ref="S7:S13" si="1">J7-P7</f>
        <v>51860203.000000954</v>
      </c>
    </row>
    <row r="8" spans="2:20" x14ac:dyDescent="0.35">
      <c r="B8" s="140" t="str">
        <f>'BĐ-LG EXW-v2 (PDM)'!A10</f>
        <v>rHDPE ép</v>
      </c>
      <c r="C8" s="1">
        <f>'BĐ-LG EXW-v2 (PDM)'!B10</f>
        <v>155750</v>
      </c>
      <c r="D8" s="1">
        <f>'BĐ-LG EXW-v2 (PDM)'!C10</f>
        <v>186750</v>
      </c>
      <c r="F8" s="1">
        <f>'BĐ-LG EXW-v2 (PDM)'!B16</f>
        <v>20838.282504012837</v>
      </c>
      <c r="G8" s="1">
        <f>'BĐ-LG EXW-v2 (PDM)'!C16</f>
        <v>16653.33369105255</v>
      </c>
      <c r="I8" s="1">
        <f>'BĐ-LG EXW-v2 (PDM)'!B22</f>
        <v>3245562499.9999995</v>
      </c>
      <c r="J8" s="1">
        <f>'BĐ-LG EXW-v2 (PDM)'!C22</f>
        <v>3110010066.8040638</v>
      </c>
      <c r="L8" s="1">
        <f>'BĐ-LG EXW-v2 (PDM)'!B34</f>
        <v>15550.819868149008</v>
      </c>
      <c r="M8" s="1">
        <f>'BĐ-LG EXW-v2 (PDM)'!C34</f>
        <v>25048.537665327978</v>
      </c>
      <c r="O8" s="1">
        <f>'BĐ-LG EXW-v2 (PDM)'!B41</f>
        <v>2422040194.4642081</v>
      </c>
      <c r="P8" s="1">
        <f>'BĐ-LG EXW-v2 (PDM)'!C41</f>
        <v>4677814409</v>
      </c>
      <c r="R8" s="18">
        <f t="shared" si="0"/>
        <v>823522305.5357914</v>
      </c>
      <c r="S8" s="18">
        <f t="shared" si="1"/>
        <v>-1567804342.1959362</v>
      </c>
    </row>
    <row r="9" spans="2:20" x14ac:dyDescent="0.35">
      <c r="B9" s="140" t="str">
        <f>'BĐ-LG EXW-v2 (PDM)'!A11</f>
        <v>rPP</v>
      </c>
      <c r="C9" s="1">
        <f>'BĐ-LG EXW-v2 (PDM)'!B11</f>
        <v>107440</v>
      </c>
      <c r="D9" s="1">
        <f>'BĐ-LG EXW-v2 (PDM)'!C11</f>
        <v>0</v>
      </c>
      <c r="F9" s="1">
        <f>'BĐ-LG EXW-v2 (PDM)'!B17</f>
        <v>22120.485852568869</v>
      </c>
      <c r="G9" s="1">
        <f>'BĐ-LG EXW-v2 (PDM)'!C17</f>
        <v>0</v>
      </c>
      <c r="I9" s="1">
        <f>'BĐ-LG EXW-v2 (PDM)'!B23</f>
        <v>2376624999.999999</v>
      </c>
      <c r="J9" s="1">
        <f>'BĐ-LG EXW-v2 (PDM)'!C23</f>
        <v>0</v>
      </c>
      <c r="L9" s="1">
        <f>'BĐ-LG EXW-v2 (PDM)'!B35</f>
        <v>26359.463592779099</v>
      </c>
      <c r="M9" s="1">
        <f>'BĐ-LG EXW-v2 (PDM)'!C35</f>
        <v>0</v>
      </c>
      <c r="O9" s="1">
        <f>'BĐ-LG EXW-v2 (PDM)'!B42</f>
        <v>2832060768.4081864</v>
      </c>
      <c r="P9" s="1">
        <f>'BĐ-LG EXW-v2 (PDM)'!C42</f>
        <v>0</v>
      </c>
      <c r="R9" s="18">
        <f t="shared" si="0"/>
        <v>-455435768.40818739</v>
      </c>
      <c r="S9" s="18">
        <f t="shared" si="1"/>
        <v>0</v>
      </c>
    </row>
    <row r="10" spans="2:20" x14ac:dyDescent="0.35">
      <c r="B10" s="140" t="str">
        <f>'BĐ-LG EXW-v2 (PDM)'!A12</f>
        <v>Xơ sợi</v>
      </c>
      <c r="C10" s="1">
        <f>'BĐ-LG EXW-v2 (PDM)'!B12</f>
        <v>100000</v>
      </c>
      <c r="D10" s="1">
        <f>'BĐ-LG EXW-v2 (PDM)'!C12</f>
        <v>27300</v>
      </c>
      <c r="F10" s="1">
        <f>'BĐ-LG EXW-v2 (PDM)'!B18</f>
        <v>27499.999999999996</v>
      </c>
      <c r="G10" s="1">
        <f>'BĐ-LG EXW-v2 (PDM)'!C18</f>
        <v>16523.033852161385</v>
      </c>
      <c r="I10" s="1">
        <f>'BĐ-LG EXW-v2 (PDM)'!B24</f>
        <v>2749999999.9999995</v>
      </c>
      <c r="J10" s="1">
        <f>'BĐ-LG EXW-v2 (PDM)'!C24</f>
        <v>451078824.16400582</v>
      </c>
      <c r="L10" s="1">
        <f>'BĐ-LG EXW-v2 (PDM)'!B36</f>
        <v>27655.807203073808</v>
      </c>
      <c r="M10" s="1">
        <f>'BĐ-LG EXW-v2 (PDM)'!C36</f>
        <v>29006.96391941392</v>
      </c>
      <c r="O10" s="1">
        <f>'BĐ-LG EXW-v2 (PDM)'!B43</f>
        <v>2765580720.3073807</v>
      </c>
      <c r="P10" s="1">
        <f>'BĐ-LG EXW-v2 (PDM)'!C43</f>
        <v>791890115</v>
      </c>
      <c r="R10" s="18">
        <f t="shared" si="0"/>
        <v>-15580720.307381153</v>
      </c>
      <c r="S10" s="18">
        <f t="shared" si="1"/>
        <v>-340811290.83599418</v>
      </c>
    </row>
    <row r="11" spans="2:20" x14ac:dyDescent="0.35">
      <c r="B11" t="str">
        <f>'BĐ-LG EXW-v2 (PDM)'!A25</f>
        <v>Tài trợ</v>
      </c>
      <c r="I11" s="1">
        <f>'BĐ-LG EXW-v2 (PDM)'!B25</f>
        <v>3408550000</v>
      </c>
      <c r="J11" s="1">
        <f>'BĐ-LG EXW-v2 (PDM)'!C25</f>
        <v>3395251201</v>
      </c>
      <c r="O11" s="1">
        <f>'BĐ-LG EXW-v2 (PDM)'!B44</f>
        <v>0</v>
      </c>
      <c r="P11" s="1">
        <f>'BĐ-LG EXW-v2 (PDM)'!C44</f>
        <v>0</v>
      </c>
      <c r="R11" s="18">
        <f t="shared" si="0"/>
        <v>3408550000</v>
      </c>
      <c r="S11" s="18">
        <f t="shared" si="1"/>
        <v>3395251201</v>
      </c>
    </row>
    <row r="12" spans="2:20" x14ac:dyDescent="0.35">
      <c r="B12" t="str">
        <f>'BĐ-LG EXW-v2 (PDM)'!A26</f>
        <v>Dây đai, phó sản</v>
      </c>
      <c r="I12" s="1">
        <f>'BĐ-LG EXW-v2 (PDM)'!B26</f>
        <v>2640000000</v>
      </c>
      <c r="J12" s="1">
        <f>'BĐ-LG EXW-v2 (PDM)'!C26</f>
        <v>6989889073</v>
      </c>
      <c r="O12" s="1">
        <f>'BĐ-LG EXW-v2 (PDM)'!B45</f>
        <v>2359350000</v>
      </c>
      <c r="P12" s="1">
        <f>'BĐ-LG EXW-v2 (PDM)'!C45</f>
        <v>6217736669</v>
      </c>
      <c r="R12" s="18">
        <f t="shared" si="0"/>
        <v>280650000</v>
      </c>
      <c r="S12" s="18">
        <f t="shared" si="1"/>
        <v>772152404</v>
      </c>
    </row>
    <row r="13" spans="2:20" x14ac:dyDescent="0.35">
      <c r="B13" t="str">
        <f>'BĐ-LG EXW-v2 (PDM)'!A27</f>
        <v>Khác</v>
      </c>
      <c r="I13" s="1">
        <f>'BĐ-LG EXW-v2 (PDM)'!B27</f>
        <v>0</v>
      </c>
      <c r="J13" s="1">
        <f>'BĐ-LG EXW-v2 (PDM)'!C27</f>
        <v>63558813.000030518</v>
      </c>
      <c r="O13" s="1">
        <f>'BĐ-LG EXW-v2 (PDM)'!B46</f>
        <v>2250000000</v>
      </c>
      <c r="P13" s="1">
        <f>'BĐ-LG EXW-v2 (PDM)'!C46</f>
        <v>4104777916.0000153</v>
      </c>
      <c r="R13" s="18">
        <f t="shared" si="0"/>
        <v>-2250000000</v>
      </c>
      <c r="S13" s="18">
        <f t="shared" si="1"/>
        <v>-4041219102.9999847</v>
      </c>
    </row>
    <row r="14" spans="2:20" x14ac:dyDescent="0.35">
      <c r="B14" t="str">
        <f>'BĐ-LG EXW-v2 (PDM)'!A28</f>
        <v>Cp vận chuyển, hoa hồng, chiết khấu</v>
      </c>
      <c r="I14" s="1">
        <f>'BĐ-LG EXW-v2 (PDM)'!B28</f>
        <v>12485577500</v>
      </c>
      <c r="J14" s="1">
        <f>'BĐ-LG EXW-v2 (PDM)'!C28</f>
        <v>2240298579.9999542</v>
      </c>
      <c r="O14" s="1"/>
      <c r="P1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79A9-0FCB-4C24-93CE-325DE790AAC8}">
  <sheetPr>
    <tabColor rgb="FFC00000"/>
  </sheetPr>
  <dimension ref="B3:AB18"/>
  <sheetViews>
    <sheetView tabSelected="1" zoomScale="85" zoomScaleNormal="85" workbookViewId="0">
      <selection activeCell="I18" sqref="I18"/>
    </sheetView>
  </sheetViews>
  <sheetFormatPr defaultRowHeight="14.5" outlineLevelCol="1" x14ac:dyDescent="0.35"/>
  <cols>
    <col min="2" max="2" width="22.453125" customWidth="1"/>
    <col min="3" max="3" width="10.81640625" bestFit="1" customWidth="1"/>
    <col min="4" max="4" width="7.26953125" bestFit="1" customWidth="1"/>
    <col min="5" max="5" width="10.81640625" bestFit="1" customWidth="1" outlineLevel="1"/>
    <col min="6" max="6" width="7.26953125" bestFit="1" customWidth="1" outlineLevel="1"/>
    <col min="7" max="7" width="2.7265625" bestFit="1" customWidth="1" outlineLevel="1"/>
    <col min="8" max="9" width="8.08984375" bestFit="1" customWidth="1" outlineLevel="1"/>
    <col min="10" max="10" width="8.7265625" bestFit="1" customWidth="1" outlineLevel="1"/>
    <col min="11" max="11" width="16.81640625" bestFit="1" customWidth="1"/>
    <col min="12" max="12" width="7.26953125" bestFit="1" customWidth="1"/>
    <col min="13" max="13" width="15.7265625" bestFit="1" customWidth="1"/>
    <col min="14" max="14" width="7.26953125" bestFit="1" customWidth="1"/>
    <col min="15" max="15" width="2.7265625" bestFit="1" customWidth="1"/>
    <col min="16" max="16" width="9.81640625" bestFit="1" customWidth="1"/>
    <col min="17" max="17" width="8.08984375" bestFit="1" customWidth="1"/>
    <col min="18" max="18" width="8.7265625" bestFit="1" customWidth="1"/>
    <col min="19" max="19" width="16.81640625" bestFit="1" customWidth="1"/>
    <col min="20" max="20" width="7.26953125" bestFit="1" customWidth="1"/>
    <col min="21" max="21" width="15.7265625" bestFit="1" customWidth="1"/>
    <col min="22" max="22" width="7.26953125" bestFit="1" customWidth="1"/>
    <col min="23" max="23" width="2.7265625" bestFit="1" customWidth="1"/>
    <col min="24" max="24" width="15.7265625" bestFit="1" customWidth="1"/>
    <col min="25" max="25" width="7.26953125" bestFit="1" customWidth="1"/>
    <col min="26" max="26" width="15.26953125" bestFit="1" customWidth="1"/>
    <col min="27" max="27" width="7.26953125" bestFit="1" customWidth="1"/>
    <col min="28" max="28" width="2.7265625" bestFit="1" customWidth="1"/>
  </cols>
  <sheetData>
    <row r="3" spans="2:28" x14ac:dyDescent="0.35">
      <c r="B3" t="s">
        <v>137</v>
      </c>
      <c r="C3" s="50" t="s">
        <v>16</v>
      </c>
      <c r="H3" t="s">
        <v>130</v>
      </c>
      <c r="K3" s="50" t="s">
        <v>131</v>
      </c>
      <c r="P3" t="s">
        <v>133</v>
      </c>
      <c r="S3" s="108" t="s">
        <v>105</v>
      </c>
      <c r="X3" s="239" t="s">
        <v>134</v>
      </c>
    </row>
    <row r="4" spans="2:28" x14ac:dyDescent="0.35">
      <c r="C4" s="89" t="s">
        <v>9</v>
      </c>
      <c r="D4" s="89"/>
      <c r="E4" s="89" t="s">
        <v>8</v>
      </c>
      <c r="F4" s="89"/>
      <c r="G4" s="89" t="s">
        <v>47</v>
      </c>
      <c r="H4" s="89" t="s">
        <v>9</v>
      </c>
      <c r="I4" s="89" t="s">
        <v>8</v>
      </c>
      <c r="J4" s="89" t="s">
        <v>47</v>
      </c>
      <c r="K4" s="89" t="s">
        <v>9</v>
      </c>
      <c r="L4" s="89"/>
      <c r="M4" s="89" t="s">
        <v>8</v>
      </c>
      <c r="N4" s="89"/>
      <c r="O4" s="89" t="s">
        <v>47</v>
      </c>
      <c r="P4" s="89" t="s">
        <v>9</v>
      </c>
      <c r="Q4" s="89" t="s">
        <v>8</v>
      </c>
      <c r="R4" s="89" t="s">
        <v>47</v>
      </c>
      <c r="S4" s="89" t="s">
        <v>9</v>
      </c>
      <c r="T4" s="89"/>
      <c r="U4" s="89" t="s">
        <v>8</v>
      </c>
      <c r="V4" s="89"/>
      <c r="W4" s="89" t="s">
        <v>47</v>
      </c>
      <c r="X4" s="89" t="s">
        <v>9</v>
      </c>
      <c r="Y4" s="89"/>
      <c r="Z4" s="89" t="s">
        <v>8</v>
      </c>
      <c r="AA4" s="89"/>
      <c r="AB4" s="89" t="s">
        <v>47</v>
      </c>
    </row>
    <row r="5" spans="2:28" x14ac:dyDescent="0.35">
      <c r="C5" s="89" t="s">
        <v>136</v>
      </c>
      <c r="D5" s="89" t="s">
        <v>135</v>
      </c>
      <c r="E5" s="89" t="s">
        <v>136</v>
      </c>
      <c r="F5" s="89" t="s">
        <v>135</v>
      </c>
      <c r="G5" s="89"/>
      <c r="H5" s="89"/>
      <c r="I5" s="89"/>
      <c r="J5" s="89"/>
      <c r="K5" s="89" t="s">
        <v>136</v>
      </c>
      <c r="L5" s="89" t="s">
        <v>135</v>
      </c>
      <c r="M5" s="89" t="s">
        <v>136</v>
      </c>
      <c r="N5" s="89" t="s">
        <v>135</v>
      </c>
      <c r="O5" s="89"/>
      <c r="P5" s="89"/>
      <c r="Q5" s="89"/>
      <c r="R5" s="89"/>
      <c r="S5" s="89" t="s">
        <v>136</v>
      </c>
      <c r="T5" s="89" t="s">
        <v>135</v>
      </c>
      <c r="U5" s="89" t="s">
        <v>136</v>
      </c>
      <c r="V5" s="89" t="s">
        <v>135</v>
      </c>
      <c r="W5" s="89"/>
      <c r="X5" s="89" t="s">
        <v>136</v>
      </c>
      <c r="Y5" s="89" t="s">
        <v>135</v>
      </c>
      <c r="Z5" s="89" t="s">
        <v>136</v>
      </c>
      <c r="AA5" s="89" t="s">
        <v>135</v>
      </c>
      <c r="AB5" s="89"/>
    </row>
    <row r="6" spans="2:28" x14ac:dyDescent="0.35">
      <c r="B6" s="50" t="s">
        <v>132</v>
      </c>
      <c r="C6" s="76">
        <f>SUM(C7:C11)</f>
        <v>5968970</v>
      </c>
      <c r="D6" s="238">
        <f>C6/$C$6</f>
        <v>1</v>
      </c>
      <c r="E6" s="76">
        <f>SUM(E7:E11)</f>
        <v>2510415</v>
      </c>
      <c r="F6" s="238">
        <f>E6/$E$6</f>
        <v>1</v>
      </c>
      <c r="K6" s="76">
        <f>SUM(K7:K15)</f>
        <v>209261952499.99997</v>
      </c>
      <c r="L6" s="238">
        <f>K6/$K$6</f>
        <v>1</v>
      </c>
      <c r="M6" s="76">
        <f>SUM(M7:M15)</f>
        <v>88347880802</v>
      </c>
      <c r="N6" s="238">
        <f>M6/M$6</f>
        <v>1</v>
      </c>
      <c r="S6" s="76">
        <f>SUM(S7:S15)</f>
        <v>160801979366.37653</v>
      </c>
      <c r="T6" s="238">
        <f>S6/S$6</f>
        <v>1</v>
      </c>
      <c r="U6" s="76">
        <f>SUM(U7:U15)</f>
        <v>80940600844.000046</v>
      </c>
      <c r="V6" s="238">
        <f>U6/U$6</f>
        <v>1</v>
      </c>
      <c r="X6" s="76">
        <f>SUM(X7:X15)</f>
        <v>35974395633.623398</v>
      </c>
      <c r="Y6" s="238">
        <f>X6/X$6</f>
        <v>1</v>
      </c>
      <c r="Z6" s="76">
        <f>SUM(Z7:Z15)</f>
        <v>5166981378.0000076</v>
      </c>
      <c r="AA6" s="238">
        <f>Z6/Z$6</f>
        <v>1</v>
      </c>
    </row>
    <row r="7" spans="2:28" s="243" customFormat="1" x14ac:dyDescent="0.35">
      <c r="B7" s="240" t="str">
        <f>'BĐ-LG EXW-v2 (PDM)'!A8</f>
        <v>rPET</v>
      </c>
      <c r="C7" s="241">
        <f>'BĐ-LG EXW-v2 (PDM)'!B8</f>
        <v>4678780</v>
      </c>
      <c r="D7" s="242">
        <f>C7/$C$6</f>
        <v>0.78385048006607505</v>
      </c>
      <c r="E7" s="241">
        <f>'BĐ-LG EXW-v2 (PDM)'!C8</f>
        <v>2027640</v>
      </c>
      <c r="F7" s="242">
        <f t="shared" ref="F7:F15" si="0">E7/$E$6</f>
        <v>0.80769115863313434</v>
      </c>
      <c r="H7" s="241">
        <f>'BĐ-LG EXW-v2 (PDM)'!B14</f>
        <v>32352.747404237853</v>
      </c>
      <c r="I7" s="241">
        <f>'BĐ-LG EXW-v2 (PDM)'!C14</f>
        <v>32051.94404185751</v>
      </c>
      <c r="J7" s="66">
        <f>I7-H7</f>
        <v>-300.80336238034215</v>
      </c>
      <c r="K7" s="241">
        <f>'BĐ-LG EXW-v2 (PDM)'!B20</f>
        <v>151371387499.99997</v>
      </c>
      <c r="L7" s="242">
        <f t="shared" ref="L7:L15" si="1">K7/$K$6</f>
        <v>0.72335838259943597</v>
      </c>
      <c r="M7" s="241">
        <f>'BĐ-LG EXW-v2 (PDM)'!C20</f>
        <v>64989803817.03196</v>
      </c>
      <c r="N7" s="242">
        <f t="shared" ref="N7:N15" si="2">M7/M$6</f>
        <v>0.73561248133029056</v>
      </c>
      <c r="P7" s="241">
        <f>'BĐ-LG EXW-v2 (PDM)'!B32</f>
        <v>26183.033265674632</v>
      </c>
      <c r="Q7" s="241">
        <f>'BĐ-LG EXW-v2 (PDM)'!C32</f>
        <v>28650.180264248109</v>
      </c>
      <c r="R7" s="66">
        <f>Q7-P7</f>
        <v>2467.1469985734766</v>
      </c>
      <c r="S7" s="241">
        <f>'BĐ-LG EXW-v2 (PDM)'!B39</f>
        <v>122504652382.77316</v>
      </c>
      <c r="T7" s="242">
        <f t="shared" ref="T7:T15" si="3">S7/S$6</f>
        <v>0.76183547531871187</v>
      </c>
      <c r="U7" s="241">
        <f>'BĐ-LG EXW-v2 (PDM)'!C39</f>
        <v>58092251511.000038</v>
      </c>
      <c r="V7" s="242">
        <f t="shared" ref="V7:V15" si="4">U7/U$6</f>
        <v>0.71771460682585597</v>
      </c>
      <c r="X7" s="66">
        <f>K7-S7</f>
        <v>28866735117.226807</v>
      </c>
      <c r="Y7" s="242">
        <f t="shared" ref="Y7:Y15" si="5">X7/X$6</f>
        <v>0.80242446353279584</v>
      </c>
      <c r="Z7" s="66">
        <f>M7-U7</f>
        <v>6897552306.0319214</v>
      </c>
      <c r="AA7" s="242">
        <f t="shared" ref="AA7:AA15" si="6">Z7/Z$6</f>
        <v>1.334928810736641</v>
      </c>
    </row>
    <row r="8" spans="2:28" x14ac:dyDescent="0.35">
      <c r="B8" s="140" t="str">
        <f>'BĐ-LG EXW-v2 (PDM)'!A9</f>
        <v>rHDPE thổi</v>
      </c>
      <c r="C8" s="1">
        <f>'BĐ-LG EXW-v2 (PDM)'!B9</f>
        <v>927000</v>
      </c>
      <c r="D8" s="237">
        <f>C8/$C$6</f>
        <v>0.15530317625989074</v>
      </c>
      <c r="E8" s="1">
        <f>'BĐ-LG EXW-v2 (PDM)'!C9</f>
        <v>268725.00000000006</v>
      </c>
      <c r="F8" s="237">
        <f t="shared" si="0"/>
        <v>0.10704405446908183</v>
      </c>
      <c r="H8" s="1">
        <f>'BĐ-LG EXW-v2 (PDM)'!B15</f>
        <v>33424.217907227612</v>
      </c>
      <c r="I8" s="1">
        <f>'BĐ-LG EXW-v2 (PDM)'!C15</f>
        <v>26450.797011815048</v>
      </c>
      <c r="J8" s="66">
        <f t="shared" ref="J8:J11" si="7">I8-H8</f>
        <v>-6973.4208954125643</v>
      </c>
      <c r="K8" s="1">
        <f>'BĐ-LG EXW-v2 (PDM)'!B21</f>
        <v>30984249999.999996</v>
      </c>
      <c r="L8" s="237">
        <f t="shared" si="1"/>
        <v>0.14806442179210769</v>
      </c>
      <c r="M8" s="1">
        <f>'BĐ-LG EXW-v2 (PDM)'!C21</f>
        <v>7107990427</v>
      </c>
      <c r="N8" s="237">
        <f t="shared" si="2"/>
        <v>8.0454566227004407E-2</v>
      </c>
      <c r="P8" s="1">
        <f>'BĐ-LG EXW-v2 (PDM)'!B33</f>
        <v>27689.638943283306</v>
      </c>
      <c r="Q8" s="1">
        <f>'BĐ-LG EXW-v2 (PDM)'!C33</f>
        <v>26257.810862405797</v>
      </c>
      <c r="R8" s="66">
        <f t="shared" ref="R8:R11" si="8">Q8-P8</f>
        <v>-1431.8280808775089</v>
      </c>
      <c r="S8" s="1">
        <f>'BĐ-LG EXW-v2 (PDM)'!B40</f>
        <v>25668295300.423626</v>
      </c>
      <c r="T8" s="237">
        <f t="shared" si="3"/>
        <v>0.15962673719295542</v>
      </c>
      <c r="U8" s="1">
        <f>'BĐ-LG EXW-v2 (PDM)'!C40</f>
        <v>7056130223.999999</v>
      </c>
      <c r="V8" s="237">
        <f t="shared" si="4"/>
        <v>8.7176647447917421E-2</v>
      </c>
      <c r="X8" s="18">
        <f>K8-S8</f>
        <v>5315954699.5763702</v>
      </c>
      <c r="Y8" s="237">
        <f t="shared" si="5"/>
        <v>0.14777050749416409</v>
      </c>
      <c r="Z8" s="18">
        <f t="shared" ref="Z8:Z14" si="9">M8-U8</f>
        <v>51860203.000000954</v>
      </c>
      <c r="AA8" s="237">
        <f t="shared" si="6"/>
        <v>1.0036847282014896E-2</v>
      </c>
    </row>
    <row r="9" spans="2:28" s="247" customFormat="1" x14ac:dyDescent="0.35">
      <c r="B9" s="244" t="str">
        <f>'BĐ-LG EXW-v2 (PDM)'!A10</f>
        <v>rHDPE ép</v>
      </c>
      <c r="C9" s="245">
        <f>'BĐ-LG EXW-v2 (PDM)'!B10</f>
        <v>155750</v>
      </c>
      <c r="D9" s="246">
        <f>C9/$C$6</f>
        <v>2.609327907494928E-2</v>
      </c>
      <c r="E9" s="245">
        <f>'BĐ-LG EXW-v2 (PDM)'!C10</f>
        <v>186750</v>
      </c>
      <c r="F9" s="246">
        <f t="shared" si="0"/>
        <v>7.4390090881388135E-2</v>
      </c>
      <c r="H9" s="245">
        <f>'BĐ-LG EXW-v2 (PDM)'!B16</f>
        <v>20838.282504012837</v>
      </c>
      <c r="I9" s="245">
        <f>'BĐ-LG EXW-v2 (PDM)'!C16</f>
        <v>16653.33369105255</v>
      </c>
      <c r="J9" s="66">
        <f t="shared" si="7"/>
        <v>-4184.9488129602869</v>
      </c>
      <c r="K9" s="245">
        <f>'BĐ-LG EXW-v2 (PDM)'!B22</f>
        <v>3245562499.9999995</v>
      </c>
      <c r="L9" s="246">
        <f t="shared" si="1"/>
        <v>1.5509568085483672E-2</v>
      </c>
      <c r="M9" s="245">
        <f>'BĐ-LG EXW-v2 (PDM)'!C22</f>
        <v>3110010066.8040638</v>
      </c>
      <c r="N9" s="246">
        <f t="shared" si="2"/>
        <v>3.5201863797661798E-2</v>
      </c>
      <c r="P9" s="245">
        <f>'BĐ-LG EXW-v2 (PDM)'!B34</f>
        <v>15550.819868149008</v>
      </c>
      <c r="Q9" s="245">
        <f>'BĐ-LG EXW-v2 (PDM)'!C34</f>
        <v>25048.537665327978</v>
      </c>
      <c r="R9" s="66">
        <f t="shared" si="8"/>
        <v>9497.7177971789697</v>
      </c>
      <c r="S9" s="245">
        <f>'BĐ-LG EXW-v2 (PDM)'!B41</f>
        <v>2422040194.4642081</v>
      </c>
      <c r="T9" s="246">
        <f t="shared" si="3"/>
        <v>1.5062253611603573E-2</v>
      </c>
      <c r="U9" s="245">
        <f>'BĐ-LG EXW-v2 (PDM)'!C41</f>
        <v>4677814409</v>
      </c>
      <c r="V9" s="246">
        <f t="shared" si="4"/>
        <v>5.7793176233219876E-2</v>
      </c>
      <c r="X9" s="248">
        <f>K9-S9</f>
        <v>823522305.5357914</v>
      </c>
      <c r="Y9" s="246">
        <f t="shared" si="5"/>
        <v>2.2891901059932968E-2</v>
      </c>
      <c r="Z9" s="248">
        <f t="shared" si="9"/>
        <v>-1567804342.1959362</v>
      </c>
      <c r="AA9" s="246">
        <f t="shared" si="6"/>
        <v>-0.30342751937743367</v>
      </c>
    </row>
    <row r="10" spans="2:28" x14ac:dyDescent="0.35">
      <c r="B10" s="140" t="str">
        <f>'BĐ-LG EXW-v2 (PDM)'!A11</f>
        <v>rPP</v>
      </c>
      <c r="C10" s="1">
        <f>'BĐ-LG EXW-v2 (PDM)'!B11</f>
        <v>107440</v>
      </c>
      <c r="D10" s="237">
        <f>C10/$C$6</f>
        <v>1.7999755401685719E-2</v>
      </c>
      <c r="E10" s="1">
        <f>'BĐ-LG EXW-v2 (PDM)'!C11</f>
        <v>0</v>
      </c>
      <c r="F10" s="237">
        <f t="shared" si="0"/>
        <v>0</v>
      </c>
      <c r="H10" s="1">
        <f>'BĐ-LG EXW-v2 (PDM)'!B17</f>
        <v>22120.485852568869</v>
      </c>
      <c r="I10" s="1">
        <f>'BĐ-LG EXW-v2 (PDM)'!C17</f>
        <v>0</v>
      </c>
      <c r="J10" s="66">
        <f t="shared" si="7"/>
        <v>-22120.485852568869</v>
      </c>
      <c r="K10" s="1">
        <f>'BĐ-LG EXW-v2 (PDM)'!B23</f>
        <v>2376624999.999999</v>
      </c>
      <c r="L10" s="237">
        <f t="shared" si="1"/>
        <v>1.1357176837963411E-2</v>
      </c>
      <c r="M10" s="1">
        <f>'BĐ-LG EXW-v2 (PDM)'!C23</f>
        <v>0</v>
      </c>
      <c r="N10" s="237">
        <f t="shared" si="2"/>
        <v>0</v>
      </c>
      <c r="P10" s="1">
        <f>'BĐ-LG EXW-v2 (PDM)'!B35</f>
        <v>26359.463592779099</v>
      </c>
      <c r="Q10" s="1">
        <f>'BĐ-LG EXW-v2 (PDM)'!C35</f>
        <v>0</v>
      </c>
      <c r="R10" s="66">
        <f t="shared" si="8"/>
        <v>-26359.463592779099</v>
      </c>
      <c r="S10" s="1">
        <f>'BĐ-LG EXW-v2 (PDM)'!B42</f>
        <v>2832060768.4081864</v>
      </c>
      <c r="T10" s="237">
        <f t="shared" si="3"/>
        <v>1.7612101415465327E-2</v>
      </c>
      <c r="U10" s="1">
        <f>'BĐ-LG EXW-v2 (PDM)'!C42</f>
        <v>0</v>
      </c>
      <c r="V10" s="237">
        <f t="shared" si="4"/>
        <v>0</v>
      </c>
      <c r="X10" s="18">
        <f>K10-S10</f>
        <v>-455435768.40818739</v>
      </c>
      <c r="Y10" s="237">
        <f t="shared" si="5"/>
        <v>-1.2659997767482027E-2</v>
      </c>
      <c r="Z10" s="18">
        <f t="shared" si="9"/>
        <v>0</v>
      </c>
      <c r="AA10" s="237">
        <f t="shared" si="6"/>
        <v>0</v>
      </c>
    </row>
    <row r="11" spans="2:28" s="252" customFormat="1" x14ac:dyDescent="0.35">
      <c r="B11" s="249" t="str">
        <f>'BĐ-LG EXW-v2 (PDM)'!A12</f>
        <v>Xơ sợi</v>
      </c>
      <c r="C11" s="250">
        <f>'BĐ-LG EXW-v2 (PDM)'!B12</f>
        <v>100000</v>
      </c>
      <c r="D11" s="251">
        <f>C11/$C$6</f>
        <v>1.6753309197399216E-2</v>
      </c>
      <c r="E11" s="250">
        <f>'BĐ-LG EXW-v2 (PDM)'!C12</f>
        <v>27300</v>
      </c>
      <c r="F11" s="251">
        <f t="shared" si="0"/>
        <v>1.0874696016395695E-2</v>
      </c>
      <c r="H11" s="250">
        <f>'BĐ-LG EXW-v2 (PDM)'!B18</f>
        <v>27499.999999999996</v>
      </c>
      <c r="I11" s="250">
        <f>'BĐ-LG EXW-v2 (PDM)'!C18</f>
        <v>16523.033852161385</v>
      </c>
      <c r="J11" s="66">
        <f t="shared" si="7"/>
        <v>-10976.966147838612</v>
      </c>
      <c r="K11" s="250">
        <f>'BĐ-LG EXW-v2 (PDM)'!B24</f>
        <v>2749999999.9999995</v>
      </c>
      <c r="L11" s="251">
        <f t="shared" si="1"/>
        <v>1.3141423785578031E-2</v>
      </c>
      <c r="M11" s="250">
        <f>'BĐ-LG EXW-v2 (PDM)'!C24</f>
        <v>451078824.16400582</v>
      </c>
      <c r="N11" s="251">
        <f t="shared" si="2"/>
        <v>5.1057118752507119E-3</v>
      </c>
      <c r="P11" s="250">
        <f>'BĐ-LG EXW-v2 (PDM)'!B36</f>
        <v>27655.807203073808</v>
      </c>
      <c r="Q11" s="250">
        <f>'BĐ-LG EXW-v2 (PDM)'!C36</f>
        <v>29006.96391941392</v>
      </c>
      <c r="R11" s="66">
        <f t="shared" si="8"/>
        <v>1351.1567163401123</v>
      </c>
      <c r="S11" s="250">
        <f>'BĐ-LG EXW-v2 (PDM)'!B43</f>
        <v>2765580720.3073807</v>
      </c>
      <c r="T11" s="251">
        <f t="shared" si="3"/>
        <v>1.7198673369599453E-2</v>
      </c>
      <c r="U11" s="250">
        <f>'BĐ-LG EXW-v2 (PDM)'!C43</f>
        <v>791890115</v>
      </c>
      <c r="V11" s="251">
        <f t="shared" si="4"/>
        <v>9.7835957077491986E-3</v>
      </c>
      <c r="X11" s="253">
        <f>K11-S11</f>
        <v>-15580720.307381153</v>
      </c>
      <c r="Y11" s="251">
        <f t="shared" si="5"/>
        <v>-4.3310582521138071E-4</v>
      </c>
      <c r="Z11" s="253">
        <f t="shared" si="9"/>
        <v>-340811290.83599418</v>
      </c>
      <c r="AA11" s="251">
        <f t="shared" si="6"/>
        <v>-6.5959457931685561E-2</v>
      </c>
    </row>
    <row r="12" spans="2:28" x14ac:dyDescent="0.35">
      <c r="B12" t="str">
        <f>'BĐ-LG EXW-v2 (PDM)'!A25</f>
        <v>Tài trợ</v>
      </c>
      <c r="D12" s="237">
        <f>C12/$C$6</f>
        <v>0</v>
      </c>
      <c r="F12" s="237">
        <f t="shared" si="0"/>
        <v>0</v>
      </c>
      <c r="K12" s="1">
        <f>'BĐ-LG EXW-v2 (PDM)'!B25</f>
        <v>3408550000</v>
      </c>
      <c r="L12" s="237">
        <f t="shared" si="1"/>
        <v>1.628843637975709E-2</v>
      </c>
      <c r="M12" s="1">
        <f>'BĐ-LG EXW-v2 (PDM)'!C25</f>
        <v>3395251201</v>
      </c>
      <c r="N12" s="237">
        <f t="shared" si="2"/>
        <v>3.8430476998188946E-2</v>
      </c>
      <c r="S12" s="1">
        <f>'BĐ-LG EXW-v2 (PDM)'!B44</f>
        <v>0</v>
      </c>
      <c r="T12" s="237">
        <f t="shared" si="3"/>
        <v>0</v>
      </c>
      <c r="U12" s="1">
        <f>'BĐ-LG EXW-v2 (PDM)'!C44</f>
        <v>0</v>
      </c>
      <c r="V12" s="237">
        <f t="shared" si="4"/>
        <v>0</v>
      </c>
      <c r="X12" s="18">
        <f>K12-S12</f>
        <v>3408550000</v>
      </c>
      <c r="Y12" s="237">
        <f t="shared" si="5"/>
        <v>9.4749333240061587E-2</v>
      </c>
      <c r="Z12" s="18">
        <f t="shared" si="9"/>
        <v>3395251201</v>
      </c>
      <c r="AA12" s="237">
        <f t="shared" si="6"/>
        <v>0.65710536822453303</v>
      </c>
    </row>
    <row r="13" spans="2:28" x14ac:dyDescent="0.35">
      <c r="B13" t="str">
        <f>'BĐ-LG EXW-v2 (PDM)'!A26</f>
        <v>Dây đai, phó sản</v>
      </c>
      <c r="D13" s="237">
        <f>C13/$C$6</f>
        <v>0</v>
      </c>
      <c r="F13" s="237">
        <f t="shared" si="0"/>
        <v>0</v>
      </c>
      <c r="K13" s="1">
        <f>'BĐ-LG EXW-v2 (PDM)'!B26</f>
        <v>2640000000</v>
      </c>
      <c r="L13" s="237">
        <f t="shared" si="1"/>
        <v>1.2615766834154911E-2</v>
      </c>
      <c r="M13" s="1">
        <f>'BĐ-LG EXW-v2 (PDM)'!C26</f>
        <v>6989889073</v>
      </c>
      <c r="N13" s="237">
        <f t="shared" si="2"/>
        <v>7.9117789918077636E-2</v>
      </c>
      <c r="S13" s="1">
        <f>'BĐ-LG EXW-v2 (PDM)'!B45</f>
        <v>2359350000</v>
      </c>
      <c r="T13" s="237">
        <f t="shared" si="3"/>
        <v>1.4672394017143155E-2</v>
      </c>
      <c r="U13" s="1">
        <f>'BĐ-LG EXW-v2 (PDM)'!C45</f>
        <v>6217736669</v>
      </c>
      <c r="V13" s="237">
        <f t="shared" si="4"/>
        <v>7.6818513875177241E-2</v>
      </c>
      <c r="X13" s="18">
        <f>K13-S13</f>
        <v>280650000</v>
      </c>
      <c r="Y13" s="237">
        <f t="shared" si="5"/>
        <v>7.801381928920886E-3</v>
      </c>
      <c r="Z13" s="18">
        <f t="shared" si="9"/>
        <v>772152404</v>
      </c>
      <c r="AA13" s="237">
        <f t="shared" si="6"/>
        <v>0.14943974973234342</v>
      </c>
    </row>
    <row r="14" spans="2:28" x14ac:dyDescent="0.35">
      <c r="B14" t="str">
        <f>'BĐ-LG EXW-v2 (PDM)'!A27</f>
        <v>Khác</v>
      </c>
      <c r="D14" s="237">
        <f>C14/$C$6</f>
        <v>0</v>
      </c>
      <c r="F14" s="237">
        <f t="shared" si="0"/>
        <v>0</v>
      </c>
      <c r="K14" s="1">
        <f>'BĐ-LG EXW-v2 (PDM)'!B27</f>
        <v>0</v>
      </c>
      <c r="L14" s="237">
        <f t="shared" si="1"/>
        <v>0</v>
      </c>
      <c r="M14" s="1">
        <f>'BĐ-LG EXW-v2 (PDM)'!C27</f>
        <v>63558813.000030518</v>
      </c>
      <c r="N14" s="237">
        <f t="shared" si="2"/>
        <v>7.1941525278319623E-4</v>
      </c>
      <c r="S14" s="1">
        <f>'BĐ-LG EXW-v2 (PDM)'!B46</f>
        <v>2250000000</v>
      </c>
      <c r="T14" s="237">
        <f t="shared" si="3"/>
        <v>1.3992365074521415E-2</v>
      </c>
      <c r="U14" s="1">
        <f>'BĐ-LG EXW-v2 (PDM)'!C46</f>
        <v>4104777916.0000153</v>
      </c>
      <c r="V14" s="237">
        <f t="shared" si="4"/>
        <v>5.0713459910080388E-2</v>
      </c>
      <c r="X14" s="18">
        <f>K14-S14</f>
        <v>-2250000000</v>
      </c>
      <c r="Y14" s="237">
        <f t="shared" si="5"/>
        <v>-6.2544483663181882E-2</v>
      </c>
      <c r="Z14" s="18">
        <f t="shared" si="9"/>
        <v>-4041219102.9999847</v>
      </c>
      <c r="AA14" s="237">
        <f t="shared" si="6"/>
        <v>-0.78212379866641335</v>
      </c>
    </row>
    <row r="15" spans="2:28" x14ac:dyDescent="0.35">
      <c r="B15" t="str">
        <f>'BĐ-LG EXW-v2 (PDM)'!A28</f>
        <v>Cp vận chuyển, hoa hồng, chiết khấu</v>
      </c>
      <c r="D15" s="237">
        <f>C15/$C$6</f>
        <v>0</v>
      </c>
      <c r="F15" s="237">
        <f t="shared" si="0"/>
        <v>0</v>
      </c>
      <c r="K15" s="1">
        <f>'BĐ-LG EXW-v2 (PDM)'!B28</f>
        <v>12485577500</v>
      </c>
      <c r="L15" s="237">
        <f t="shared" si="1"/>
        <v>5.9664823685519237E-2</v>
      </c>
      <c r="M15" s="1">
        <f>'BĐ-LG EXW-v2 (PDM)'!C28</f>
        <v>2240298579.9999542</v>
      </c>
      <c r="N15" s="237">
        <f t="shared" si="2"/>
        <v>2.5357694600742917E-2</v>
      </c>
      <c r="S15" s="1"/>
      <c r="T15" s="237">
        <f t="shared" si="3"/>
        <v>0</v>
      </c>
      <c r="U15" s="1"/>
      <c r="V15" s="237">
        <f t="shared" si="4"/>
        <v>0</v>
      </c>
      <c r="Y15" s="237">
        <f t="shared" si="5"/>
        <v>0</v>
      </c>
      <c r="AA15" s="237">
        <f t="shared" si="6"/>
        <v>0</v>
      </c>
    </row>
    <row r="18" spans="2:2" x14ac:dyDescent="0.35">
      <c r="B18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558D-5666-4F53-B2A1-B1C539F72F32}">
  <sheetPr>
    <tabColor rgb="FFC00000"/>
  </sheetPr>
  <dimension ref="A1:AS98"/>
  <sheetViews>
    <sheetView showGridLines="0" topLeftCell="A67" zoomScaleNormal="100" workbookViewId="0">
      <pane xSplit="2" topLeftCell="C1" activePane="topRight" state="frozen"/>
      <selection activeCell="A49" sqref="A49"/>
      <selection pane="topRight" activeCell="A74" sqref="A74"/>
    </sheetView>
  </sheetViews>
  <sheetFormatPr defaultRowHeight="14.5" x14ac:dyDescent="0.35"/>
  <cols>
    <col min="1" max="1" width="11.54296875" bestFit="1" customWidth="1"/>
    <col min="2" max="2" width="18.54296875" bestFit="1" customWidth="1"/>
    <col min="3" max="3" width="18.1796875" customWidth="1"/>
    <col min="4" max="4" width="10.453125" customWidth="1"/>
    <col min="5" max="5" width="14.26953125" bestFit="1" customWidth="1"/>
    <col min="6" max="6" width="18.453125" bestFit="1" customWidth="1"/>
    <col min="7" max="7" width="17.81640625" customWidth="1"/>
    <col min="8" max="9" width="18.54296875" bestFit="1" customWidth="1"/>
    <col min="10" max="10" width="19.1796875" bestFit="1" customWidth="1"/>
    <col min="11" max="11" width="16.453125" bestFit="1" customWidth="1"/>
    <col min="12" max="12" width="14.453125" bestFit="1" customWidth="1"/>
    <col min="13" max="13" width="22.54296875" bestFit="1" customWidth="1"/>
    <col min="14" max="14" width="10.54296875" bestFit="1" customWidth="1"/>
    <col min="15" max="15" width="17.54296875" customWidth="1"/>
    <col min="16" max="16" width="13.81640625" customWidth="1"/>
    <col min="17" max="17" width="12.54296875" bestFit="1" customWidth="1"/>
    <col min="18" max="18" width="10.1796875" customWidth="1"/>
    <col min="19" max="19" width="10.453125" bestFit="1" customWidth="1"/>
    <col min="21" max="21" width="11.453125" customWidth="1"/>
    <col min="23" max="23" width="16.1796875" bestFit="1" customWidth="1"/>
    <col min="24" max="24" width="15.81640625" bestFit="1" customWidth="1"/>
    <col min="25" max="25" width="15.453125" bestFit="1" customWidth="1"/>
    <col min="26" max="26" width="16.54296875" bestFit="1" customWidth="1"/>
    <col min="27" max="27" width="16.453125" bestFit="1" customWidth="1"/>
    <col min="28" max="28" width="16" bestFit="1" customWidth="1"/>
    <col min="29" max="29" width="15.453125" customWidth="1"/>
    <col min="30" max="30" width="15" bestFit="1" customWidth="1"/>
    <col min="31" max="31" width="17" bestFit="1" customWidth="1"/>
    <col min="34" max="35" width="18.1796875" bestFit="1" customWidth="1"/>
    <col min="36" max="37" width="18.1796875" customWidth="1"/>
    <col min="38" max="38" width="16.1796875" bestFit="1" customWidth="1"/>
    <col min="39" max="39" width="15.453125" bestFit="1" customWidth="1"/>
    <col min="40" max="40" width="14.453125" bestFit="1" customWidth="1"/>
    <col min="41" max="41" width="25.453125" bestFit="1" customWidth="1"/>
    <col min="42" max="42" width="17.54296875" bestFit="1" customWidth="1"/>
  </cols>
  <sheetData>
    <row r="1" spans="1:45" ht="15" hidden="1" thickBot="1" x14ac:dyDescent="0.4">
      <c r="A1" s="20" t="s">
        <v>30</v>
      </c>
      <c r="AH1" s="102" t="s">
        <v>66</v>
      </c>
      <c r="AI1" s="102"/>
      <c r="AJ1" s="102"/>
      <c r="AK1" s="102"/>
      <c r="AO1" s="50" t="s">
        <v>65</v>
      </c>
      <c r="AR1" t="s">
        <v>64</v>
      </c>
    </row>
    <row r="2" spans="1:45" ht="15" hidden="1" thickBot="1" x14ac:dyDescent="0.4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/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63</v>
      </c>
      <c r="AD2" s="55" t="s">
        <v>17</v>
      </c>
      <c r="AE2" s="19" t="s">
        <v>51</v>
      </c>
      <c r="AH2" s="54" t="s">
        <v>9</v>
      </c>
      <c r="AI2" s="54" t="s">
        <v>8</v>
      </c>
      <c r="AJ2" s="129" t="s">
        <v>62</v>
      </c>
      <c r="AK2" s="54" t="s">
        <v>61</v>
      </c>
      <c r="AO2" s="50" t="s">
        <v>9</v>
      </c>
      <c r="AP2" s="50" t="s">
        <v>8</v>
      </c>
    </row>
    <row r="3" spans="1:45" ht="15" hidden="1" thickBot="1" x14ac:dyDescent="0.4">
      <c r="A3" s="33" t="str">
        <f>'S7'!A3</f>
        <v>KH T11</v>
      </c>
      <c r="B3" s="33"/>
      <c r="C3" s="103">
        <f>H3</f>
        <v>48459973133.623436</v>
      </c>
      <c r="D3" s="51"/>
      <c r="E3" s="53"/>
      <c r="F3" s="52"/>
      <c r="G3" s="51"/>
      <c r="H3" s="76">
        <v>48459973133.623436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D3" s="25"/>
      <c r="AH3" s="36"/>
      <c r="AI3" s="36"/>
      <c r="AJ3" s="36"/>
      <c r="AK3" s="36"/>
    </row>
    <row r="4" spans="1:45" ht="15" hidden="1" thickBot="1" x14ac:dyDescent="0.4">
      <c r="A4" s="33" t="s">
        <v>7</v>
      </c>
      <c r="B4" s="33" t="s">
        <v>16</v>
      </c>
      <c r="C4" s="32"/>
      <c r="D4" s="32">
        <f>C3+E3-F4</f>
        <v>32103197192.312927</v>
      </c>
      <c r="E4" s="31">
        <f t="shared" ref="E4:E21" si="0">IF(H4&gt;0,H4,0)</f>
        <v>0</v>
      </c>
      <c r="F4" s="30">
        <f t="shared" ref="F4:F21" si="1">IF(H4&lt;0,-H4,0)</f>
        <v>16356775941.310511</v>
      </c>
      <c r="G4" s="32"/>
      <c r="H4" s="39">
        <f t="shared" ref="H4" si="2">M4</f>
        <v>-16356775941.310511</v>
      </c>
      <c r="K4" s="44"/>
      <c r="M4" s="43" cm="1">
        <f t="array" ref="M4:M6">TRANSPOSE(AA4:AC4)</f>
        <v>-16356775941.310511</v>
      </c>
      <c r="O4" s="49" t="s">
        <v>15</v>
      </c>
      <c r="P4" s="48">
        <v>4678.78</v>
      </c>
      <c r="Q4" s="48">
        <v>2027.64</v>
      </c>
      <c r="R4" s="48">
        <f t="shared" ref="R4:R18" si="3">Q4-P4</f>
        <v>-2651.1399999999994</v>
      </c>
      <c r="S4" s="47">
        <f t="shared" ref="S4:S18" si="4">R4/P4</f>
        <v>-0.56663061738316389</v>
      </c>
      <c r="T4" s="6"/>
      <c r="U4" s="35"/>
      <c r="V4" s="35"/>
      <c r="W4" s="35"/>
      <c r="X4" s="35"/>
      <c r="Z4" s="46">
        <f>SUM(AA4:AD4)</f>
        <v>-21969182811.19492</v>
      </c>
      <c r="AA4" s="45">
        <f>R4*(P5*U5-P6*10^3)</f>
        <v>-16356775941.310511</v>
      </c>
      <c r="AB4" s="45">
        <f>R5*Q4*U5</f>
        <v>-3557756286.6687527</v>
      </c>
      <c r="AC4" s="45">
        <f>-R6*Q4*10^3</f>
        <v>-5002485940.1875238</v>
      </c>
      <c r="AD4" s="45">
        <f>Q4*Q5*W5</f>
        <v>2947835356.9718676</v>
      </c>
      <c r="AE4" s="1">
        <v>-21969182811.194908</v>
      </c>
      <c r="AF4" s="18">
        <f>Z4-AE4</f>
        <v>0</v>
      </c>
      <c r="AH4" s="34">
        <f>P4*(P5*U5-P6*10^3)</f>
        <v>28866735117.226852</v>
      </c>
      <c r="AI4" s="34">
        <f>Q4*(Q5*U5-Q6*10^3)</f>
        <v>3949716949.0600605</v>
      </c>
      <c r="AJ4" s="34">
        <f>AI4-AH4</f>
        <v>-24917018168.166794</v>
      </c>
      <c r="AK4" s="112">
        <f>AJ4/AH4</f>
        <v>-0.86317410219685775</v>
      </c>
      <c r="AL4" s="18"/>
      <c r="AM4" s="1">
        <f>Q4*(Q5*V5-Q6*10^3)</f>
        <v>6897552306.0319252</v>
      </c>
      <c r="AN4" s="18">
        <f>AM4-AI4-AD4</f>
        <v>0</v>
      </c>
      <c r="AO4" s="1">
        <f>'S7'!AE4</f>
        <v>151371387500</v>
      </c>
      <c r="AP4" s="1">
        <f>'S7'!AF4</f>
        <v>62041968460.060097</v>
      </c>
      <c r="AR4" s="6">
        <f>AH4/AO4</f>
        <v>0.1907013973643259</v>
      </c>
      <c r="AS4" s="6">
        <f>AI4/AP4</f>
        <v>6.3662018583480556E-2</v>
      </c>
    </row>
    <row r="5" spans="1:45" ht="15" hidden="1" thickBot="1" x14ac:dyDescent="0.4">
      <c r="A5" s="33"/>
      <c r="B5" s="33" t="s">
        <v>14</v>
      </c>
      <c r="C5" s="32"/>
      <c r="D5" s="32">
        <f t="shared" ref="D5:D21" si="5">D4+E4-F5</f>
        <v>28545440905.644173</v>
      </c>
      <c r="E5" s="31">
        <f t="shared" si="0"/>
        <v>0</v>
      </c>
      <c r="F5" s="30">
        <f t="shared" si="1"/>
        <v>3557756286.6687527</v>
      </c>
      <c r="G5" s="32"/>
      <c r="H5" s="39">
        <f>M5</f>
        <v>-3557756286.6687527</v>
      </c>
      <c r="I5" s="93">
        <f>H5*(1-13.11%)</f>
        <v>-3091334437.4864793</v>
      </c>
      <c r="K5" s="44"/>
      <c r="L5" s="18"/>
      <c r="M5" s="43">
        <v>-3557756286.6687527</v>
      </c>
      <c r="O5" s="33" t="s">
        <v>13</v>
      </c>
      <c r="P5" s="42">
        <v>1294.1098961695143</v>
      </c>
      <c r="Q5" s="42">
        <v>1223.9247294403365</v>
      </c>
      <c r="R5" s="42">
        <f t="shared" si="3"/>
        <v>-70.185166729177809</v>
      </c>
      <c r="S5" s="41">
        <f t="shared" si="4"/>
        <v>-5.4234317299420694E-2</v>
      </c>
      <c r="U5" s="40">
        <v>25000</v>
      </c>
      <c r="V5" s="40">
        <v>26187.839228082179</v>
      </c>
      <c r="W5" s="27">
        <f>V5-U5</f>
        <v>1187.839228082179</v>
      </c>
      <c r="X5" s="26">
        <f>W5/U5</f>
        <v>4.7513569123287164E-2</v>
      </c>
      <c r="Z5" s="25"/>
      <c r="AA5" s="25"/>
      <c r="AB5" s="25"/>
      <c r="AC5" s="25"/>
      <c r="AD5" s="25"/>
      <c r="AH5" s="36"/>
      <c r="AI5" s="36"/>
      <c r="AJ5" s="36"/>
      <c r="AK5" s="36"/>
    </row>
    <row r="6" spans="1:45" ht="15" hidden="1" thickBot="1" x14ac:dyDescent="0.4">
      <c r="A6" s="33"/>
      <c r="B6" s="33" t="s">
        <v>60</v>
      </c>
      <c r="C6" s="32"/>
      <c r="D6" s="32">
        <f t="shared" si="5"/>
        <v>23542954965.45665</v>
      </c>
      <c r="E6" s="31">
        <f t="shared" si="0"/>
        <v>0</v>
      </c>
      <c r="F6" s="30">
        <f t="shared" si="1"/>
        <v>5002485940.1875238</v>
      </c>
      <c r="G6" s="32"/>
      <c r="H6" s="39">
        <f t="shared" ref="H6:H18" si="6">M6</f>
        <v>-5002485940.1875238</v>
      </c>
      <c r="I6" s="93">
        <f>H6*(1-13.11%)</f>
        <v>-4346660033.4289398</v>
      </c>
      <c r="K6" s="44"/>
      <c r="L6" s="18"/>
      <c r="M6" s="43">
        <v>-5002485940.1875238</v>
      </c>
      <c r="O6" s="33" t="s">
        <v>59</v>
      </c>
      <c r="P6" s="114">
        <v>26183.033265674632</v>
      </c>
      <c r="Q6" s="114">
        <v>28650.180264248109</v>
      </c>
      <c r="R6" s="114">
        <f t="shared" si="3"/>
        <v>2467.1469985734766</v>
      </c>
      <c r="S6" s="41">
        <f t="shared" si="4"/>
        <v>9.4226935952751154E-2</v>
      </c>
      <c r="U6" s="40"/>
      <c r="V6" s="40"/>
      <c r="W6" s="27"/>
      <c r="X6" s="26"/>
      <c r="Z6" s="25"/>
      <c r="AA6" s="25"/>
      <c r="AB6" s="25"/>
      <c r="AC6" s="25"/>
      <c r="AD6" s="25"/>
      <c r="AH6" s="36"/>
      <c r="AI6" s="36"/>
      <c r="AJ6" s="36"/>
      <c r="AK6" s="36"/>
    </row>
    <row r="7" spans="1:45" ht="15" hidden="1" thickBot="1" x14ac:dyDescent="0.4">
      <c r="A7" s="128" t="s">
        <v>6</v>
      </c>
      <c r="B7" s="128" t="s">
        <v>16</v>
      </c>
      <c r="C7" s="125"/>
      <c r="D7" s="125">
        <f t="shared" si="5"/>
        <v>19768024997.966209</v>
      </c>
      <c r="E7" s="127">
        <f t="shared" si="0"/>
        <v>0</v>
      </c>
      <c r="F7" s="126">
        <f t="shared" si="1"/>
        <v>3774929967.4904394</v>
      </c>
      <c r="G7" s="125"/>
      <c r="H7" s="124">
        <f t="shared" si="6"/>
        <v>-3774929967.4904394</v>
      </c>
      <c r="K7" s="44"/>
      <c r="M7" s="43" cm="1">
        <f t="array" ref="M7:M9">TRANSPOSE(AA7:AC7)</f>
        <v>-3774929967.4904394</v>
      </c>
      <c r="O7" s="49" t="s">
        <v>15</v>
      </c>
      <c r="P7" s="48">
        <v>927</v>
      </c>
      <c r="Q7" s="48">
        <v>268.72500000000002</v>
      </c>
      <c r="R7" s="48">
        <f t="shared" si="3"/>
        <v>-658.27499999999998</v>
      </c>
      <c r="S7" s="47">
        <f t="shared" si="4"/>
        <v>-0.71011326860841417</v>
      </c>
      <c r="U7" s="35"/>
      <c r="V7" s="35"/>
      <c r="W7" s="35"/>
      <c r="X7" s="35"/>
      <c r="Z7" s="46">
        <f>SUM(AA7:AD7)</f>
        <v>-5264094496.5763721</v>
      </c>
      <c r="AA7" s="45">
        <f>R7*(P8*U8-P9*10^3)</f>
        <v>-3774929967.4904394</v>
      </c>
      <c r="AB7" s="45">
        <f>R8*Q7*U8</f>
        <v>-2197261451.2703648</v>
      </c>
      <c r="AC7" s="45">
        <f>-R9*Q7*10^3</f>
        <v>384768001.03380865</v>
      </c>
      <c r="AD7" s="45">
        <f>Q7*Q8*W8</f>
        <v>323328921.15062314</v>
      </c>
      <c r="AE7" s="1">
        <v>-5264094496.576375</v>
      </c>
      <c r="AF7" s="18">
        <f>Z7-AE7</f>
        <v>0</v>
      </c>
      <c r="AH7" s="34">
        <f>P7*(P8*U8-P9*10^3)</f>
        <v>5315954699.5763741</v>
      </c>
      <c r="AI7" s="34">
        <f>Q7*(Q8*U8-Q9*10^3)</f>
        <v>-271468718.150621</v>
      </c>
      <c r="AJ7" s="34">
        <f>AI7-AH7</f>
        <v>-5587423417.7269955</v>
      </c>
      <c r="AK7" s="112">
        <f>AJ7/AH7</f>
        <v>-1.0510667854585469</v>
      </c>
      <c r="AL7" s="18"/>
      <c r="AM7" s="1">
        <f>Q7*(Q8*V8-Q9*10^3)</f>
        <v>51860203.000001557</v>
      </c>
      <c r="AN7" s="18">
        <f>AM7-AI7-AD7</f>
        <v>-5.9604644775390625E-7</v>
      </c>
      <c r="AO7" s="1">
        <f>'S7'!AE6</f>
        <v>30984250000</v>
      </c>
      <c r="AP7" s="1">
        <f>'S7'!AF6</f>
        <v>6784661505.8493767</v>
      </c>
      <c r="AR7" s="6">
        <f>AH7/AO7</f>
        <v>0.17156957807842288</v>
      </c>
      <c r="AS7" s="6">
        <f>AI7/AP7</f>
        <v>-4.0012124100306995E-2</v>
      </c>
    </row>
    <row r="8" spans="1:45" ht="15" hidden="1" thickBot="1" x14ac:dyDescent="0.4">
      <c r="A8" s="33"/>
      <c r="B8" s="33" t="s">
        <v>14</v>
      </c>
      <c r="C8" s="121"/>
      <c r="D8" s="121">
        <f t="shared" si="5"/>
        <v>17570763546.695847</v>
      </c>
      <c r="E8" s="123">
        <f t="shared" si="0"/>
        <v>0</v>
      </c>
      <c r="F8" s="122">
        <f t="shared" si="1"/>
        <v>2197261451.2703648</v>
      </c>
      <c r="G8" s="121"/>
      <c r="H8" s="120">
        <f t="shared" si="6"/>
        <v>-2197261451.2703648</v>
      </c>
      <c r="K8" s="44"/>
      <c r="L8" s="18"/>
      <c r="M8" s="43">
        <v>-2197261451.2703648</v>
      </c>
      <c r="O8" s="33" t="s">
        <v>13</v>
      </c>
      <c r="P8" s="42">
        <v>1336.9687162891046</v>
      </c>
      <c r="Q8" s="42">
        <v>1009.9040291523864</v>
      </c>
      <c r="R8" s="42">
        <f t="shared" si="3"/>
        <v>-327.06468713671813</v>
      </c>
      <c r="S8" s="41">
        <f t="shared" si="4"/>
        <v>-0.24463151841317582</v>
      </c>
      <c r="U8" s="40">
        <v>25000</v>
      </c>
      <c r="V8" s="40">
        <v>26191.396655794346</v>
      </c>
      <c r="W8" s="27">
        <f>V8-U8</f>
        <v>1191.3966557943459</v>
      </c>
      <c r="X8" s="26">
        <f>W8/U8</f>
        <v>4.7655866231773834E-2</v>
      </c>
      <c r="Z8" s="25"/>
      <c r="AA8" s="25"/>
      <c r="AB8" s="25"/>
      <c r="AC8" s="25"/>
      <c r="AD8" s="25"/>
      <c r="AH8" s="36"/>
      <c r="AI8" s="36"/>
      <c r="AJ8" s="36"/>
      <c r="AK8" s="36"/>
    </row>
    <row r="9" spans="1:45" ht="15" hidden="1" thickBot="1" x14ac:dyDescent="0.4">
      <c r="A9" s="119"/>
      <c r="B9" s="119" t="s">
        <v>60</v>
      </c>
      <c r="C9" s="116"/>
      <c r="D9" s="116">
        <f t="shared" si="5"/>
        <v>17570763546.695847</v>
      </c>
      <c r="E9" s="118">
        <f t="shared" si="0"/>
        <v>384768001.03380865</v>
      </c>
      <c r="F9" s="117">
        <f t="shared" si="1"/>
        <v>0</v>
      </c>
      <c r="G9" s="116"/>
      <c r="H9" s="115">
        <f t="shared" si="6"/>
        <v>384768001.03380865</v>
      </c>
      <c r="K9" s="44"/>
      <c r="L9" s="18"/>
      <c r="M9" s="43">
        <v>384768001.03380865</v>
      </c>
      <c r="O9" s="33" t="s">
        <v>59</v>
      </c>
      <c r="P9" s="114">
        <v>27689.638943283306</v>
      </c>
      <c r="Q9" s="114">
        <v>26257.810862405797</v>
      </c>
      <c r="R9" s="114">
        <f t="shared" si="3"/>
        <v>-1431.8280808775089</v>
      </c>
      <c r="S9" s="41">
        <f t="shared" si="4"/>
        <v>-5.1709886279496915E-2</v>
      </c>
      <c r="U9" s="40"/>
      <c r="V9" s="40"/>
      <c r="W9" s="27"/>
      <c r="X9" s="26"/>
      <c r="Z9" s="25"/>
      <c r="AA9" s="25"/>
      <c r="AB9" s="25"/>
      <c r="AC9" s="25"/>
      <c r="AD9" s="25"/>
      <c r="AH9" s="36"/>
      <c r="AI9" s="36"/>
      <c r="AJ9" s="36"/>
      <c r="AK9" s="36"/>
    </row>
    <row r="10" spans="1:45" ht="15" hidden="1" thickBot="1" x14ac:dyDescent="0.4">
      <c r="A10" s="33" t="s">
        <v>5</v>
      </c>
      <c r="B10" s="33" t="s">
        <v>16</v>
      </c>
      <c r="C10" s="32"/>
      <c r="D10" s="32">
        <f t="shared" si="5"/>
        <v>17955531547.729656</v>
      </c>
      <c r="E10" s="31">
        <f t="shared" si="0"/>
        <v>163911341.71177882</v>
      </c>
      <c r="F10" s="30">
        <f t="shared" si="1"/>
        <v>0</v>
      </c>
      <c r="G10" s="32"/>
      <c r="H10" s="39">
        <f t="shared" si="6"/>
        <v>163911341.71177882</v>
      </c>
      <c r="K10" s="44"/>
      <c r="M10" s="43" cm="1">
        <f t="array" ref="M10:M12">TRANSPOSE(AA10:AC10)</f>
        <v>163911341.71177882</v>
      </c>
      <c r="O10" s="49" t="s">
        <v>15</v>
      </c>
      <c r="P10" s="48">
        <v>155.75</v>
      </c>
      <c r="Q10" s="48">
        <v>186.75</v>
      </c>
      <c r="R10" s="48">
        <f t="shared" si="3"/>
        <v>31</v>
      </c>
      <c r="S10" s="47">
        <f t="shared" si="4"/>
        <v>0.19903691813804172</v>
      </c>
      <c r="U10" s="35"/>
      <c r="V10" s="35"/>
      <c r="W10" s="35"/>
      <c r="X10" s="35"/>
      <c r="Z10" s="46">
        <f>SUM(AA10:AD10)</f>
        <v>-2391326647.7317281</v>
      </c>
      <c r="AA10" s="45">
        <f>R10*(P11*U11-P12*10^3)</f>
        <v>163911341.71177882</v>
      </c>
      <c r="AB10" s="45">
        <f>R11*Q10*U11</f>
        <v>-922650802.10231841</v>
      </c>
      <c r="AC10" s="45">
        <f>-R12*Q10*10^3</f>
        <v>-1773698798.6231725</v>
      </c>
      <c r="AD10" s="45">
        <f>Q10*Q11*W11</f>
        <v>141111611.28198406</v>
      </c>
      <c r="AE10" s="1">
        <v>-2391326647.7317286</v>
      </c>
      <c r="AF10" s="18">
        <f>Z10-AE10</f>
        <v>0</v>
      </c>
      <c r="AH10" s="34">
        <f>P10*(P11*U11-P12*10^3)</f>
        <v>823522305.53579199</v>
      </c>
      <c r="AI10" s="34">
        <f>Q10*(Q11*U11-Q12*10^3)</f>
        <v>-1708915953.4779201</v>
      </c>
      <c r="AJ10" s="34">
        <f>AI10-AH10</f>
        <v>-2532438259.0137119</v>
      </c>
      <c r="AK10" s="112">
        <f>AJ10/AH10</f>
        <v>-3.0751301355050509</v>
      </c>
      <c r="AL10" s="18"/>
      <c r="AM10" s="1">
        <f>Q10*(Q11*V11-Q12*10^3)</f>
        <v>-1567804342.195936</v>
      </c>
      <c r="AN10" s="18">
        <f>AM10-AI10-AD10</f>
        <v>0</v>
      </c>
      <c r="AO10" s="1">
        <f>'S7'!AE8</f>
        <v>3245562500</v>
      </c>
      <c r="AP10" s="1">
        <f>'S7'!AF8</f>
        <v>2968898455.5220795</v>
      </c>
      <c r="AR10" s="6">
        <f>AH10/AO10</f>
        <v>0.25373792849029775</v>
      </c>
      <c r="AS10" s="6">
        <f>AI10/AP10</f>
        <v>-0.57560606368984346</v>
      </c>
    </row>
    <row r="11" spans="1:45" ht="15" hidden="1" thickBot="1" x14ac:dyDescent="0.4">
      <c r="A11" s="33"/>
      <c r="B11" s="33" t="s">
        <v>14</v>
      </c>
      <c r="C11" s="32"/>
      <c r="D11" s="32">
        <f t="shared" si="5"/>
        <v>17196792087.339119</v>
      </c>
      <c r="E11" s="31">
        <f t="shared" si="0"/>
        <v>0</v>
      </c>
      <c r="F11" s="30">
        <f t="shared" si="1"/>
        <v>922650802.10231841</v>
      </c>
      <c r="G11" s="32"/>
      <c r="H11" s="39">
        <f t="shared" si="6"/>
        <v>-922650802.10231841</v>
      </c>
      <c r="K11" s="44"/>
      <c r="L11" s="18"/>
      <c r="M11" s="43">
        <v>-922650802.10231841</v>
      </c>
      <c r="O11" s="33" t="s">
        <v>13</v>
      </c>
      <c r="P11" s="42">
        <v>833.53130016051364</v>
      </c>
      <c r="Q11" s="42">
        <v>635.90863839830354</v>
      </c>
      <c r="R11" s="42">
        <f t="shared" si="3"/>
        <v>-197.6226617622101</v>
      </c>
      <c r="S11" s="41">
        <f t="shared" si="4"/>
        <v>-0.23709087076172639</v>
      </c>
      <c r="U11" s="40">
        <v>25000</v>
      </c>
      <c r="V11" s="40">
        <v>26188.248885874826</v>
      </c>
      <c r="W11" s="27">
        <f>V11-U11</f>
        <v>1188.2488858748256</v>
      </c>
      <c r="X11" s="26">
        <f>W11/U11</f>
        <v>4.7529955434993026E-2</v>
      </c>
      <c r="Z11" s="25"/>
      <c r="AA11" s="25"/>
      <c r="AB11" s="25"/>
      <c r="AC11" s="25"/>
      <c r="AD11" s="25"/>
      <c r="AH11" s="36"/>
      <c r="AI11" s="36"/>
      <c r="AJ11" s="36"/>
      <c r="AK11" s="36"/>
    </row>
    <row r="12" spans="1:45" ht="15" hidden="1" thickBot="1" x14ac:dyDescent="0.4">
      <c r="A12" s="33"/>
      <c r="B12" s="33" t="s">
        <v>60</v>
      </c>
      <c r="C12" s="32"/>
      <c r="D12" s="32">
        <f t="shared" si="5"/>
        <v>15423093288.715946</v>
      </c>
      <c r="E12" s="31">
        <f t="shared" si="0"/>
        <v>0</v>
      </c>
      <c r="F12" s="30">
        <f t="shared" si="1"/>
        <v>1773698798.6231725</v>
      </c>
      <c r="G12" s="32"/>
      <c r="H12" s="39">
        <f t="shared" si="6"/>
        <v>-1773698798.6231725</v>
      </c>
      <c r="K12" s="44"/>
      <c r="L12" s="18"/>
      <c r="M12" s="43">
        <v>-1773698798.6231725</v>
      </c>
      <c r="O12" s="33" t="s">
        <v>59</v>
      </c>
      <c r="P12" s="114">
        <v>15550.819868149008</v>
      </c>
      <c r="Q12" s="114">
        <v>25048.537665327978</v>
      </c>
      <c r="R12" s="114">
        <f t="shared" si="3"/>
        <v>9497.7177971789697</v>
      </c>
      <c r="S12" s="41">
        <f t="shared" si="4"/>
        <v>0.61075350867075984</v>
      </c>
      <c r="U12" s="40"/>
      <c r="V12" s="40"/>
      <c r="W12" s="27"/>
      <c r="X12" s="26"/>
      <c r="Z12" s="25"/>
      <c r="AA12" s="25"/>
      <c r="AB12" s="25"/>
      <c r="AC12" s="25"/>
      <c r="AD12" s="25"/>
      <c r="AH12" s="36"/>
      <c r="AI12" s="36"/>
      <c r="AJ12" s="36"/>
      <c r="AK12" s="36"/>
    </row>
    <row r="13" spans="1:45" ht="15" hidden="1" thickBot="1" x14ac:dyDescent="0.4">
      <c r="A13" s="128" t="s">
        <v>4</v>
      </c>
      <c r="B13" s="128" t="s">
        <v>16</v>
      </c>
      <c r="C13" s="125"/>
      <c r="D13" s="125">
        <f t="shared" si="5"/>
        <v>15423093288.715946</v>
      </c>
      <c r="E13" s="127">
        <f t="shared" si="0"/>
        <v>455435768.40818685</v>
      </c>
      <c r="F13" s="126">
        <f t="shared" si="1"/>
        <v>0</v>
      </c>
      <c r="G13" s="125"/>
      <c r="H13" s="124">
        <f t="shared" si="6"/>
        <v>455435768.40818685</v>
      </c>
      <c r="K13" s="44"/>
      <c r="M13" s="43" cm="1">
        <f t="array" ref="M13:M15">TRANSPOSE(AA13:AC13)</f>
        <v>455435768.40818685</v>
      </c>
      <c r="O13" s="49" t="s">
        <v>15</v>
      </c>
      <c r="P13" s="48">
        <v>107.44</v>
      </c>
      <c r="Q13" s="48">
        <v>0</v>
      </c>
      <c r="R13" s="48">
        <f t="shared" si="3"/>
        <v>-107.44</v>
      </c>
      <c r="S13" s="47">
        <f t="shared" si="4"/>
        <v>-1</v>
      </c>
      <c r="T13" s="50"/>
      <c r="U13" s="35"/>
      <c r="V13" s="35"/>
      <c r="W13" s="35"/>
      <c r="X13" s="35"/>
      <c r="Z13" s="46">
        <f>SUM(AA13:AD13)</f>
        <v>455435768.40818685</v>
      </c>
      <c r="AA13" s="45">
        <f>R13*(P14*U14-P15*10^3)</f>
        <v>455435768.40818685</v>
      </c>
      <c r="AB13" s="45">
        <f>R14*Q13*U14</f>
        <v>0</v>
      </c>
      <c r="AC13" s="45">
        <f>-R15*Q13*10^3</f>
        <v>0</v>
      </c>
      <c r="AD13" s="45">
        <f>Q13*Q14*W14</f>
        <v>0</v>
      </c>
      <c r="AE13" s="1">
        <v>455435768.40818632</v>
      </c>
      <c r="AF13" s="18">
        <f>Z13-AE13</f>
        <v>5.3644180297851563E-7</v>
      </c>
      <c r="AH13" s="34">
        <f>P13*(P14*U14-P15*10^3)</f>
        <v>-455435768.40818685</v>
      </c>
      <c r="AI13" s="34">
        <f>Q13*(Q14*U14-Q15*10^3)</f>
        <v>0</v>
      </c>
      <c r="AJ13" s="34">
        <f>AI13-AH13</f>
        <v>455435768.40818685</v>
      </c>
      <c r="AK13" s="112">
        <f>AJ13/AH13</f>
        <v>-1</v>
      </c>
      <c r="AL13" s="18"/>
      <c r="AM13" s="1">
        <f>Q13*(Q14*V14-Q15*10^3)</f>
        <v>0</v>
      </c>
      <c r="AN13" s="18">
        <f>AM13-AI13-AD13</f>
        <v>0</v>
      </c>
      <c r="AO13" s="1">
        <f>'S7'!AE10</f>
        <v>2376624999.9999995</v>
      </c>
      <c r="AP13" s="1">
        <f>'S7'!AF10</f>
        <v>0</v>
      </c>
      <c r="AR13" s="6">
        <f>AH13/AO13</f>
        <v>-0.19163131264216565</v>
      </c>
      <c r="AS13" s="6" t="e">
        <f>AI13/AP13</f>
        <v>#DIV/0!</v>
      </c>
    </row>
    <row r="14" spans="1:45" ht="15" hidden="1" thickBot="1" x14ac:dyDescent="0.4">
      <c r="A14" s="33"/>
      <c r="B14" s="33" t="s">
        <v>14</v>
      </c>
      <c r="C14" s="121"/>
      <c r="D14" s="121">
        <f t="shared" si="5"/>
        <v>15878529057.124132</v>
      </c>
      <c r="E14" s="123">
        <f t="shared" si="0"/>
        <v>0</v>
      </c>
      <c r="F14" s="122">
        <f t="shared" si="1"/>
        <v>0</v>
      </c>
      <c r="G14" s="121"/>
      <c r="H14" s="120">
        <f t="shared" si="6"/>
        <v>0</v>
      </c>
      <c r="K14" s="44"/>
      <c r="L14" s="18"/>
      <c r="M14" s="43">
        <v>0</v>
      </c>
      <c r="O14" s="33" t="s">
        <v>13</v>
      </c>
      <c r="P14" s="42">
        <v>884.81943410275494</v>
      </c>
      <c r="Q14" s="42">
        <v>0</v>
      </c>
      <c r="R14" s="42">
        <f t="shared" si="3"/>
        <v>-884.81943410275494</v>
      </c>
      <c r="S14" s="41">
        <f t="shared" si="4"/>
        <v>-1</v>
      </c>
      <c r="U14" s="40">
        <v>25000</v>
      </c>
      <c r="V14" s="40">
        <v>0</v>
      </c>
      <c r="W14" s="27">
        <f>V14-U14</f>
        <v>-25000</v>
      </c>
      <c r="X14" s="26">
        <f>W14/U14</f>
        <v>-1</v>
      </c>
      <c r="Z14" s="25"/>
      <c r="AA14" s="25"/>
      <c r="AB14" s="25"/>
      <c r="AC14" s="25"/>
      <c r="AD14" s="25"/>
      <c r="AH14" s="36"/>
      <c r="AI14" s="36"/>
      <c r="AJ14" s="36"/>
      <c r="AK14" s="36"/>
    </row>
    <row r="15" spans="1:45" ht="15" hidden="1" thickBot="1" x14ac:dyDescent="0.4">
      <c r="A15" s="119"/>
      <c r="B15" s="119" t="s">
        <v>60</v>
      </c>
      <c r="C15" s="116"/>
      <c r="D15" s="116">
        <f t="shared" si="5"/>
        <v>15878529057.124132</v>
      </c>
      <c r="E15" s="118">
        <f t="shared" si="0"/>
        <v>0</v>
      </c>
      <c r="F15" s="117">
        <f t="shared" si="1"/>
        <v>0</v>
      </c>
      <c r="G15" s="116"/>
      <c r="H15" s="115">
        <f t="shared" si="6"/>
        <v>0</v>
      </c>
      <c r="K15" s="44"/>
      <c r="L15" s="18"/>
      <c r="M15" s="43">
        <v>0</v>
      </c>
      <c r="O15" s="33" t="s">
        <v>59</v>
      </c>
      <c r="P15" s="114">
        <v>26359.463592779099</v>
      </c>
      <c r="Q15" s="114">
        <v>0</v>
      </c>
      <c r="R15" s="114">
        <f t="shared" si="3"/>
        <v>-26359.463592779099</v>
      </c>
      <c r="S15" s="41">
        <f t="shared" si="4"/>
        <v>-1</v>
      </c>
      <c r="U15" s="40"/>
      <c r="V15" s="40"/>
      <c r="W15" s="27"/>
      <c r="X15" s="26"/>
      <c r="Z15" s="25"/>
      <c r="AA15" s="25"/>
      <c r="AB15" s="25"/>
      <c r="AC15" s="25"/>
      <c r="AD15" s="25"/>
      <c r="AH15" s="36"/>
      <c r="AI15" s="36"/>
      <c r="AJ15" s="36"/>
      <c r="AK15" s="36"/>
    </row>
    <row r="16" spans="1:45" ht="15" hidden="1" thickBot="1" x14ac:dyDescent="0.4">
      <c r="A16" s="128" t="s">
        <v>3</v>
      </c>
      <c r="B16" s="128" t="s">
        <v>16</v>
      </c>
      <c r="C16" s="125"/>
      <c r="D16" s="125">
        <f t="shared" si="5"/>
        <v>15878529057.124132</v>
      </c>
      <c r="E16" s="127">
        <f t="shared" si="0"/>
        <v>11327183.663465774</v>
      </c>
      <c r="F16" s="126">
        <f t="shared" si="1"/>
        <v>0</v>
      </c>
      <c r="G16" s="125"/>
      <c r="H16" s="124">
        <f t="shared" si="6"/>
        <v>11327183.663465774</v>
      </c>
      <c r="K16" s="44"/>
      <c r="M16" s="43" cm="1">
        <f t="array" ref="M16:M18">TRANSPOSE(AA16:AC16)</f>
        <v>11327183.663465774</v>
      </c>
      <c r="O16" s="49" t="s">
        <v>15</v>
      </c>
      <c r="P16" s="48">
        <v>100</v>
      </c>
      <c r="Q16" s="48">
        <v>27.3</v>
      </c>
      <c r="R16" s="48">
        <f t="shared" si="3"/>
        <v>-72.7</v>
      </c>
      <c r="S16" s="47">
        <f t="shared" si="4"/>
        <v>-0.72699999999999998</v>
      </c>
      <c r="U16" s="35"/>
      <c r="V16" s="35"/>
      <c r="W16" s="35"/>
      <c r="X16" s="35"/>
      <c r="Z16" s="46">
        <f>SUM(AA16:AD16)</f>
        <v>-325230570.52861345</v>
      </c>
      <c r="AA16" s="45">
        <f>R16*(P17*U17-P18*10^3)</f>
        <v>11327183.663465774</v>
      </c>
      <c r="AB16" s="45">
        <f>R17*Q16*U17</f>
        <v>-320159832.976565</v>
      </c>
      <c r="AC16" s="45">
        <f>-R18*Q16*10^3</f>
        <v>-36886578.356085069</v>
      </c>
      <c r="AD16" s="45">
        <f>Q16*Q17*W17</f>
        <v>20488657.140570827</v>
      </c>
      <c r="AE16" s="1">
        <v>-325230570.52861351</v>
      </c>
      <c r="AF16" s="18">
        <f>Z16-AE16</f>
        <v>0</v>
      </c>
      <c r="AH16" s="34">
        <f>P16*(P17*U17-P18*10^3)</f>
        <v>-15580720.307380706</v>
      </c>
      <c r="AI16" s="34">
        <f>Q16*(Q17*U17-Q18*10^3)</f>
        <v>-361299947.97656506</v>
      </c>
      <c r="AJ16" s="34">
        <f>AI16-AH16</f>
        <v>-345719227.66918433</v>
      </c>
      <c r="AK16" s="112">
        <f>AJ16/AH16</f>
        <v>22.188911735063655</v>
      </c>
      <c r="AL16" s="18"/>
      <c r="AM16" s="1">
        <f>Q16*(Q17*V17-Q18*10^3)</f>
        <v>-340811290.83599424</v>
      </c>
      <c r="AN16" s="18">
        <f>AM16-AI16-AD16</f>
        <v>0</v>
      </c>
      <c r="AO16" s="1">
        <f>'S7'!AE12</f>
        <v>2750000000</v>
      </c>
      <c r="AP16" s="1">
        <f>'S7'!AF12</f>
        <v>430590167.02343506</v>
      </c>
      <c r="AR16" s="6">
        <f>AH16/AO16</f>
        <v>-5.6657164754111656E-3</v>
      </c>
      <c r="AS16" s="6">
        <f>AI16/AP16</f>
        <v>-0.83908081430224846</v>
      </c>
    </row>
    <row r="17" spans="1:45" ht="15" hidden="1" thickBot="1" x14ac:dyDescent="0.4">
      <c r="A17" s="33"/>
      <c r="B17" s="33" t="s">
        <v>14</v>
      </c>
      <c r="C17" s="121"/>
      <c r="D17" s="121">
        <f t="shared" si="5"/>
        <v>15569696407.811033</v>
      </c>
      <c r="E17" s="123">
        <f t="shared" si="0"/>
        <v>0</v>
      </c>
      <c r="F17" s="122">
        <f t="shared" si="1"/>
        <v>320159832.976565</v>
      </c>
      <c r="G17" s="121"/>
      <c r="H17" s="120">
        <f t="shared" si="6"/>
        <v>-320159832.976565</v>
      </c>
      <c r="K17" s="44"/>
      <c r="L17" s="18"/>
      <c r="M17" s="43">
        <v>-320159832.976565</v>
      </c>
      <c r="O17" s="33" t="s">
        <v>13</v>
      </c>
      <c r="P17" s="42">
        <v>1100</v>
      </c>
      <c r="Q17" s="42">
        <v>630.9013436240806</v>
      </c>
      <c r="R17" s="42">
        <f t="shared" si="3"/>
        <v>-469.0986563759194</v>
      </c>
      <c r="S17" s="41">
        <f t="shared" si="4"/>
        <v>-0.42645332397810853</v>
      </c>
      <c r="U17" s="40">
        <v>25000</v>
      </c>
      <c r="V17" s="40">
        <v>26189.568336070231</v>
      </c>
      <c r="W17" s="27">
        <f>V17-U17</f>
        <v>1189.5683360702315</v>
      </c>
      <c r="X17" s="26">
        <f>W17/U17</f>
        <v>4.7582733442809257E-2</v>
      </c>
      <c r="Z17" s="25"/>
      <c r="AA17" s="25"/>
      <c r="AB17" s="25"/>
      <c r="AC17" s="25"/>
      <c r="AD17" s="25"/>
      <c r="AH17" s="36"/>
      <c r="AI17" s="36"/>
      <c r="AJ17" s="36"/>
      <c r="AK17" s="36"/>
    </row>
    <row r="18" spans="1:45" ht="15" hidden="1" thickBot="1" x14ac:dyDescent="0.4">
      <c r="A18" s="119"/>
      <c r="B18" s="119" t="s">
        <v>60</v>
      </c>
      <c r="C18" s="116"/>
      <c r="D18" s="116">
        <f t="shared" si="5"/>
        <v>15532809829.454948</v>
      </c>
      <c r="E18" s="118">
        <f t="shared" si="0"/>
        <v>0</v>
      </c>
      <c r="F18" s="117">
        <f t="shared" si="1"/>
        <v>36886578.356085069</v>
      </c>
      <c r="G18" s="116"/>
      <c r="H18" s="115">
        <f t="shared" si="6"/>
        <v>-36886578.356085069</v>
      </c>
      <c r="K18" s="44"/>
      <c r="L18" s="18"/>
      <c r="M18" s="43">
        <v>-36886578.356085069</v>
      </c>
      <c r="O18" s="33" t="s">
        <v>59</v>
      </c>
      <c r="P18" s="114">
        <v>27655.807203073808</v>
      </c>
      <c r="Q18" s="114">
        <v>29006.96391941392</v>
      </c>
      <c r="R18" s="114">
        <f t="shared" si="3"/>
        <v>1351.1567163401123</v>
      </c>
      <c r="S18" s="41">
        <f t="shared" si="4"/>
        <v>4.8856166316850004E-2</v>
      </c>
      <c r="U18" s="40"/>
      <c r="V18" s="40"/>
      <c r="W18" s="27"/>
      <c r="X18" s="26"/>
      <c r="Z18" s="25"/>
      <c r="AA18" s="25"/>
      <c r="AB18" s="25"/>
      <c r="AC18" s="25"/>
      <c r="AD18" s="25"/>
      <c r="AH18" s="36"/>
      <c r="AI18" s="36"/>
      <c r="AJ18" s="36"/>
      <c r="AK18" s="36"/>
    </row>
    <row r="19" spans="1:45" ht="15" hidden="1" thickBot="1" x14ac:dyDescent="0.4">
      <c r="A19" s="33" t="s">
        <v>12</v>
      </c>
      <c r="B19" s="33"/>
      <c r="C19" s="32"/>
      <c r="D19" s="32">
        <f t="shared" si="5"/>
        <v>15532809829.454948</v>
      </c>
      <c r="E19" s="31">
        <f t="shared" si="0"/>
        <v>3432764546.5450454</v>
      </c>
      <c r="F19" s="30">
        <f t="shared" si="1"/>
        <v>0</v>
      </c>
      <c r="G19" s="32"/>
      <c r="H19" s="39">
        <f>M19</f>
        <v>3432764546.5450454</v>
      </c>
      <c r="K19" s="38"/>
      <c r="M19" s="37">
        <f>AD4+AD7+AD10+AD13+AD16</f>
        <v>3432764546.5450454</v>
      </c>
      <c r="U19" s="35"/>
      <c r="V19" s="35"/>
      <c r="W19" s="35"/>
      <c r="X19" s="35"/>
      <c r="Z19" s="25"/>
      <c r="AA19" s="25"/>
      <c r="AB19" s="25"/>
      <c r="AC19" s="25"/>
      <c r="AD19" s="25"/>
      <c r="AH19" s="36"/>
      <c r="AI19" s="36"/>
      <c r="AJ19" s="36"/>
      <c r="AK19" s="36"/>
    </row>
    <row r="20" spans="1:45" ht="15" hidden="1" thickBot="1" x14ac:dyDescent="0.4">
      <c r="A20" s="33" t="s">
        <v>1</v>
      </c>
      <c r="B20" s="33"/>
      <c r="C20" s="32"/>
      <c r="D20" s="32">
        <f t="shared" si="5"/>
        <v>17652558878.000004</v>
      </c>
      <c r="E20" s="31">
        <f t="shared" si="0"/>
        <v>0</v>
      </c>
      <c r="F20" s="30">
        <f t="shared" si="1"/>
        <v>1313015497.9999886</v>
      </c>
      <c r="G20" s="32"/>
      <c r="H20" s="98">
        <f>H22-SUM(H3:H19,H21)</f>
        <v>-1313015497.9999886</v>
      </c>
      <c r="I20" s="113"/>
      <c r="U20" s="35"/>
      <c r="V20" s="35"/>
      <c r="W20" s="35"/>
      <c r="X20" s="35"/>
      <c r="Z20" s="25"/>
      <c r="AA20" s="25"/>
      <c r="AB20" s="25"/>
      <c r="AC20" s="25"/>
      <c r="AD20" s="25"/>
      <c r="AH20" s="34">
        <f>AH22-SUM(AH3:AH19)</f>
        <v>13924777499.999985</v>
      </c>
      <c r="AI20" s="34">
        <f>AI22-SUM(AI3:AI19)</f>
        <v>2366483081.999958</v>
      </c>
      <c r="AJ20" s="34">
        <f>AI20-AH20</f>
        <v>-11558294418.000027</v>
      </c>
      <c r="AK20" s="112">
        <f>AJ20/AH20</f>
        <v>-0.83005235940035949</v>
      </c>
      <c r="AO20" s="1">
        <f>'S7'!AE15</f>
        <v>18534127500</v>
      </c>
      <c r="AP20" s="1">
        <f>'S7'!AF15</f>
        <v>12688997666.999969</v>
      </c>
    </row>
    <row r="21" spans="1:45" ht="15" hidden="1" thickBot="1" x14ac:dyDescent="0.4">
      <c r="A21" s="33" t="s">
        <v>112</v>
      </c>
      <c r="B21" s="33"/>
      <c r="C21" s="32"/>
      <c r="D21" s="32">
        <f t="shared" si="5"/>
        <v>7407279957.999958</v>
      </c>
      <c r="E21" s="31">
        <f t="shared" si="0"/>
        <v>0</v>
      </c>
      <c r="F21" s="30">
        <f t="shared" si="1"/>
        <v>10245278920.000046</v>
      </c>
      <c r="G21" s="32"/>
      <c r="H21" s="98">
        <f>G27-C27</f>
        <v>-10245278920.000046</v>
      </c>
      <c r="I21" s="113"/>
      <c r="U21" s="35"/>
      <c r="V21" s="35"/>
      <c r="W21" s="35"/>
      <c r="X21" s="35"/>
      <c r="Z21" s="25"/>
      <c r="AA21" s="25"/>
      <c r="AB21" s="25"/>
      <c r="AC21" s="25"/>
      <c r="AD21" s="25"/>
      <c r="AH21" s="34"/>
      <c r="AI21" s="34"/>
      <c r="AJ21" s="34"/>
      <c r="AK21" s="112"/>
      <c r="AO21" s="1"/>
      <c r="AP21" s="1"/>
    </row>
    <row r="22" spans="1:45" ht="15" hidden="1" thickBot="1" x14ac:dyDescent="0.4">
      <c r="A22" s="33" t="str">
        <f>'S7'!A17</f>
        <v>TT T11</v>
      </c>
      <c r="B22" s="33"/>
      <c r="C22" s="32"/>
      <c r="D22" s="32"/>
      <c r="E22" s="31"/>
      <c r="F22" s="30"/>
      <c r="G22" s="97">
        <f>D21+E21</f>
        <v>7407279957.999958</v>
      </c>
      <c r="H22" s="76">
        <v>7407279957.999958</v>
      </c>
      <c r="I22" s="1">
        <f>H22-H3</f>
        <v>-41052693175.623474</v>
      </c>
      <c r="J22" s="6">
        <f>H22/H3-1</f>
        <v>-0.84714642871189505</v>
      </c>
      <c r="K22" s="6"/>
      <c r="U22" s="28">
        <v>25000</v>
      </c>
      <c r="V22" s="28">
        <v>26188.206413254738</v>
      </c>
      <c r="W22" s="27">
        <f>V22-U22</f>
        <v>1188.2064132547384</v>
      </c>
      <c r="X22" s="26">
        <f>W22/U22</f>
        <v>4.7528256530189536E-2</v>
      </c>
      <c r="Z22" s="25"/>
      <c r="AA22" s="25"/>
      <c r="AB22" s="25"/>
      <c r="AC22" s="25"/>
      <c r="AD22" s="25"/>
      <c r="AH22" s="23">
        <f>C3</f>
        <v>48459973133.623436</v>
      </c>
      <c r="AI22" s="23">
        <f>G22-H19</f>
        <v>3974515411.4549127</v>
      </c>
      <c r="AJ22" s="23">
        <f>AI22-AH22</f>
        <v>-44485457722.168526</v>
      </c>
      <c r="AK22" s="111">
        <f>AJ22/AH22</f>
        <v>-0.91798354075650046</v>
      </c>
      <c r="AO22" s="76">
        <f>SUM(AO3:AO20)</f>
        <v>209261952500</v>
      </c>
      <c r="AP22" s="76">
        <f>SUM(AP3:AP20)</f>
        <v>84915116255.454956</v>
      </c>
      <c r="AR22" s="6"/>
      <c r="AS22" s="6"/>
    </row>
    <row r="23" spans="1:45" s="21" customFormat="1" ht="15" hidden="1" thickBot="1" x14ac:dyDescent="0.4">
      <c r="A23" s="21" t="s">
        <v>11</v>
      </c>
      <c r="F23" s="110">
        <f>G22-C3</f>
        <v>-41052693175.623474</v>
      </c>
      <c r="G23" s="109">
        <f>G22-H22</f>
        <v>0</v>
      </c>
      <c r="O23"/>
      <c r="P23"/>
      <c r="Q23"/>
      <c r="R23"/>
      <c r="S23"/>
      <c r="AI23" s="108"/>
      <c r="AJ23"/>
      <c r="AK23"/>
      <c r="AO23" s="74">
        <f>AO22-'S7'!AE17</f>
        <v>0</v>
      </c>
      <c r="AP23" s="74">
        <f>AP22-'S7'!AF17</f>
        <v>0</v>
      </c>
    </row>
    <row r="24" spans="1:45" ht="15" hidden="1" thickBot="1" x14ac:dyDescent="0.4">
      <c r="F24" s="107">
        <f>F23/C3</f>
        <v>-0.84714642871189505</v>
      </c>
      <c r="G24" s="94"/>
      <c r="K24" s="106"/>
      <c r="AI24" s="94">
        <f>G24</f>
        <v>0</v>
      </c>
    </row>
    <row r="25" spans="1:45" ht="15" hidden="1" thickBot="1" x14ac:dyDescent="0.4">
      <c r="K25" s="106"/>
      <c r="AI25" s="94"/>
    </row>
    <row r="26" spans="1:45" ht="15" hidden="1" thickBot="1" x14ac:dyDescent="0.4">
      <c r="C26" t="s">
        <v>9</v>
      </c>
      <c r="G26" t="s">
        <v>8</v>
      </c>
      <c r="K26" s="106"/>
      <c r="AI26" s="94"/>
    </row>
    <row r="27" spans="1:45" ht="15" hidden="1" thickBot="1" x14ac:dyDescent="0.4">
      <c r="A27" s="65" t="s">
        <v>112</v>
      </c>
      <c r="B27" s="65"/>
      <c r="C27" s="228">
        <f>'S7'!C20</f>
        <v>12485577500</v>
      </c>
      <c r="D27" s="210"/>
      <c r="E27" s="210"/>
      <c r="F27" s="210"/>
      <c r="G27" s="228">
        <f>'S7'!G20</f>
        <v>2240298579.9999542</v>
      </c>
      <c r="K27" s="106"/>
      <c r="AI27" s="94"/>
    </row>
    <row r="28" spans="1:45" s="217" customFormat="1" ht="15" hidden="1" thickBot="1" x14ac:dyDescent="0.4">
      <c r="A28" s="230" t="s">
        <v>129</v>
      </c>
      <c r="B28" s="230"/>
      <c r="C28" s="231">
        <v>0</v>
      </c>
      <c r="D28" s="231"/>
      <c r="E28" s="231"/>
      <c r="F28" s="231"/>
      <c r="G28" s="231">
        <v>240969883.00000003</v>
      </c>
      <c r="K28" s="232"/>
      <c r="AI28" s="233"/>
    </row>
    <row r="29" spans="1:45" ht="15" hidden="1" thickBot="1" x14ac:dyDescent="0.4">
      <c r="A29" s="65" t="s">
        <v>83</v>
      </c>
      <c r="B29" s="65"/>
      <c r="C29" s="214">
        <f>C3-C27</f>
        <v>35974395633.623436</v>
      </c>
      <c r="D29" s="210"/>
      <c r="E29" s="210"/>
      <c r="F29" s="210"/>
      <c r="G29" s="214">
        <f>G22-G27</f>
        <v>5166981378.0000038</v>
      </c>
      <c r="H29" s="1">
        <f>G29-C29</f>
        <v>-30807414255.623432</v>
      </c>
      <c r="K29" s="106"/>
      <c r="AI29" s="94"/>
    </row>
    <row r="30" spans="1:45" ht="15" hidden="1" thickBot="1" x14ac:dyDescent="0.4">
      <c r="K30" s="106"/>
      <c r="AI30" s="94"/>
    </row>
    <row r="31" spans="1:45" ht="15" hidden="1" thickBot="1" x14ac:dyDescent="0.4">
      <c r="A31" s="70" t="s">
        <v>36</v>
      </c>
      <c r="B31" s="70"/>
      <c r="C31" s="215">
        <f>'S6'!B25</f>
        <v>3408550000</v>
      </c>
      <c r="D31" s="215"/>
      <c r="E31" s="215"/>
      <c r="F31" s="215"/>
      <c r="G31" s="215">
        <f>'S6'!C25</f>
        <v>3395251201</v>
      </c>
      <c r="K31" s="106"/>
      <c r="AI31" s="94"/>
    </row>
    <row r="32" spans="1:45" ht="15" hidden="1" thickBot="1" x14ac:dyDescent="0.4">
      <c r="A32" s="70" t="s">
        <v>117</v>
      </c>
      <c r="B32" s="70"/>
      <c r="C32" s="216">
        <f>C29-C31</f>
        <v>32565845633.623436</v>
      </c>
      <c r="D32" s="216"/>
      <c r="E32" s="216"/>
      <c r="F32" s="216"/>
      <c r="G32" s="216">
        <f>G29-G31</f>
        <v>1771730177.0000038</v>
      </c>
      <c r="H32" s="93">
        <f>G32-G23</f>
        <v>1771730177.0000038</v>
      </c>
      <c r="K32" s="106"/>
      <c r="AI32" s="94"/>
    </row>
    <row r="33" spans="1:35" ht="15" hidden="1" thickBot="1" x14ac:dyDescent="0.4">
      <c r="A33" s="70" t="s">
        <v>118</v>
      </c>
      <c r="B33" s="70"/>
      <c r="C33" s="216">
        <f>'S6'!B29-'S6'!B28-C31</f>
        <v>193367824999.99997</v>
      </c>
      <c r="D33" s="216"/>
      <c r="E33" s="216"/>
      <c r="F33" s="216"/>
      <c r="G33" s="216">
        <f>'S6'!C29-'S6'!C28-'S6'!C25</f>
        <v>82712331021.000046</v>
      </c>
      <c r="K33" s="106"/>
      <c r="AI33" s="94"/>
    </row>
    <row r="34" spans="1:35" ht="15" hidden="1" thickBot="1" x14ac:dyDescent="0.4">
      <c r="A34" s="217" t="s">
        <v>64</v>
      </c>
      <c r="B34" s="217"/>
      <c r="C34" s="218">
        <f>IFERROR(C32/C33,0)</f>
        <v>0.16841398321371945</v>
      </c>
      <c r="D34" s="217"/>
      <c r="E34" s="217"/>
      <c r="F34" s="217"/>
      <c r="G34" s="218">
        <f>IFERROR(G32/G33,0)</f>
        <v>2.1420387445617688E-2</v>
      </c>
      <c r="K34" s="106"/>
      <c r="AI34" s="94"/>
    </row>
    <row r="35" spans="1:35" ht="15" hidden="1" thickBot="1" x14ac:dyDescent="0.4">
      <c r="K35" s="106"/>
      <c r="AI35" s="94"/>
    </row>
    <row r="36" spans="1:35" ht="15" hidden="1" thickBot="1" x14ac:dyDescent="0.4">
      <c r="K36" s="106"/>
      <c r="AI36" s="94"/>
    </row>
    <row r="37" spans="1:35" ht="15" hidden="1" thickBot="1" x14ac:dyDescent="0.4">
      <c r="E37" s="1"/>
      <c r="F37" s="18"/>
      <c r="AI37" s="94"/>
    </row>
    <row r="38" spans="1:35" ht="15" hidden="1" thickBot="1" x14ac:dyDescent="0.4">
      <c r="AI38" s="94"/>
    </row>
    <row r="39" spans="1:35" ht="15" hidden="1" thickBot="1" x14ac:dyDescent="0.4">
      <c r="H39" s="18">
        <f>SUM(H5:H6,H8:H9,H11:H12,H14:H15,H17:H18)</f>
        <v>-13426131689.150972</v>
      </c>
      <c r="P39" s="1"/>
      <c r="Q39" s="18"/>
    </row>
    <row r="40" spans="1:35" ht="15" hidden="1" thickBot="1" x14ac:dyDescent="0.4">
      <c r="B40" s="1"/>
      <c r="G40" s="33" t="s">
        <v>58</v>
      </c>
      <c r="H40" s="196">
        <f>H4+H7+H10+H13+H16</f>
        <v>-19501031615.017513</v>
      </c>
      <c r="P40" s="1"/>
      <c r="Q40" s="1"/>
      <c r="R40" s="1"/>
    </row>
    <row r="41" spans="1:35" ht="15" hidden="1" thickBot="1" x14ac:dyDescent="0.4">
      <c r="B41" s="1"/>
      <c r="G41" s="33" t="s">
        <v>57</v>
      </c>
      <c r="H41" s="114">
        <f>H40*(1-13.11%)</f>
        <v>-16944446370.288717</v>
      </c>
      <c r="J41" s="1"/>
      <c r="P41" s="105"/>
      <c r="Q41" s="105"/>
      <c r="R41" s="105"/>
    </row>
    <row r="42" spans="1:35" ht="15" hidden="1" thickBot="1" x14ac:dyDescent="0.4">
      <c r="B42" s="18"/>
      <c r="J42" s="1"/>
      <c r="S42" s="17"/>
    </row>
    <row r="43" spans="1:35" ht="15" hidden="1" thickBot="1" x14ac:dyDescent="0.4">
      <c r="G43" s="33" t="s">
        <v>103</v>
      </c>
      <c r="H43" s="196">
        <f>H5+H6+H8+H9+H11+H12+H14+H15+H17+H18</f>
        <v>-13426131689.150972</v>
      </c>
      <c r="S43" s="17"/>
    </row>
    <row r="44" spans="1:35" ht="15" hidden="1" thickBot="1" x14ac:dyDescent="0.4">
      <c r="G44" s="33" t="s">
        <v>104</v>
      </c>
      <c r="H44" s="114">
        <f>H43*(1-13.11%)</f>
        <v>-11665965824.703279</v>
      </c>
      <c r="R44" s="1"/>
      <c r="S44" s="17"/>
    </row>
    <row r="45" spans="1:35" ht="15" hidden="1" thickBot="1" x14ac:dyDescent="0.4">
      <c r="R45" s="1"/>
      <c r="S45" s="17"/>
    </row>
    <row r="46" spans="1:35" ht="15" hidden="1" thickBot="1" x14ac:dyDescent="0.4">
      <c r="G46" t="s">
        <v>56</v>
      </c>
      <c r="H46" s="18">
        <f>SUM(H5:H6)</f>
        <v>-8560242226.8562765</v>
      </c>
      <c r="R46" s="1"/>
      <c r="S46" s="17"/>
    </row>
    <row r="47" spans="1:35" ht="15" hidden="1" thickBot="1" x14ac:dyDescent="0.4">
      <c r="G47" t="s">
        <v>55</v>
      </c>
      <c r="H47" s="1">
        <f>H46*(1-13.11%)</f>
        <v>-7437994470.9154186</v>
      </c>
      <c r="R47" s="1"/>
    </row>
    <row r="48" spans="1:35" ht="15" hidden="1" thickBot="1" x14ac:dyDescent="0.4">
      <c r="R48" s="1"/>
    </row>
    <row r="49" spans="7:28" ht="15" hidden="1" thickBot="1" x14ac:dyDescent="0.4">
      <c r="G49" t="s">
        <v>3</v>
      </c>
      <c r="H49" s="18">
        <f>SUM(H17:H18)</f>
        <v>-357046411.33265007</v>
      </c>
    </row>
    <row r="50" spans="7:28" ht="15" hidden="1" thickBot="1" x14ac:dyDescent="0.4">
      <c r="H50" s="1">
        <f>H49*(1-13.11%)</f>
        <v>-310237626.80693966</v>
      </c>
    </row>
    <row r="51" spans="7:28" ht="15" hidden="1" thickBot="1" x14ac:dyDescent="0.4"/>
    <row r="52" spans="7:28" ht="15" hidden="1" thickBot="1" x14ac:dyDescent="0.4">
      <c r="G52" t="s">
        <v>36</v>
      </c>
      <c r="H52" s="1">
        <v>-3459806000</v>
      </c>
    </row>
    <row r="53" spans="7:28" ht="15" hidden="1" thickBot="1" x14ac:dyDescent="0.4">
      <c r="H53" s="1">
        <f>H52*(1-13.11%)</f>
        <v>-3006225433.4000001</v>
      </c>
    </row>
    <row r="54" spans="7:28" ht="15" hidden="1" thickBot="1" x14ac:dyDescent="0.4"/>
    <row r="55" spans="7:28" ht="15" hidden="1" thickBot="1" x14ac:dyDescent="0.4">
      <c r="R55" s="1"/>
    </row>
    <row r="56" spans="7:28" ht="15" hidden="1" thickBot="1" x14ac:dyDescent="0.4"/>
    <row r="57" spans="7:28" ht="15" hidden="1" thickBot="1" x14ac:dyDescent="0.4"/>
    <row r="58" spans="7:28" ht="15" hidden="1" thickBot="1" x14ac:dyDescent="0.4"/>
    <row r="59" spans="7:28" ht="15" hidden="1" thickBot="1" x14ac:dyDescent="0.4">
      <c r="P59" s="1"/>
      <c r="Q59" s="1"/>
    </row>
    <row r="60" spans="7:28" ht="15" hidden="1" thickBot="1" x14ac:dyDescent="0.4">
      <c r="P60" s="1"/>
      <c r="Q60" s="1"/>
    </row>
    <row r="61" spans="7:28" ht="15" hidden="1" thickBot="1" x14ac:dyDescent="0.4">
      <c r="P61" s="18"/>
      <c r="Q61" s="18"/>
      <c r="R61" s="18"/>
    </row>
    <row r="62" spans="7:28" ht="15" hidden="1" thickBot="1" x14ac:dyDescent="0.4">
      <c r="P62" s="6"/>
      <c r="Q62" s="6"/>
    </row>
    <row r="63" spans="7:28" ht="15" hidden="1" thickBot="1" x14ac:dyDescent="0.4">
      <c r="P63" s="1">
        <v>4349.54</v>
      </c>
      <c r="Q63" s="1">
        <v>4344.5929999999998</v>
      </c>
    </row>
    <row r="64" spans="7:28" ht="15" hidden="1" thickBot="1" x14ac:dyDescent="0.4">
      <c r="AB64" s="1"/>
    </row>
    <row r="65" spans="1:31" ht="15" hidden="1" thickBot="1" x14ac:dyDescent="0.4">
      <c r="AB65" s="1"/>
      <c r="AC65" s="1"/>
    </row>
    <row r="66" spans="1:31" ht="15" hidden="1" thickBot="1" x14ac:dyDescent="0.4">
      <c r="Q66" s="105"/>
      <c r="AC66" s="1"/>
    </row>
    <row r="67" spans="1:31" x14ac:dyDescent="0.35">
      <c r="A67" s="20" t="s">
        <v>30</v>
      </c>
      <c r="I67" s="200" t="s">
        <v>107</v>
      </c>
      <c r="O67" s="50" t="s">
        <v>54</v>
      </c>
      <c r="P67" s="1"/>
      <c r="Q67" s="1"/>
      <c r="R67" s="18"/>
      <c r="AB67" t="s">
        <v>53</v>
      </c>
    </row>
    <row r="68" spans="1:31" x14ac:dyDescent="0.35">
      <c r="A68" s="33"/>
      <c r="B68" s="33"/>
      <c r="C68" s="61" t="s">
        <v>28</v>
      </c>
      <c r="D68" s="61" t="s">
        <v>27</v>
      </c>
      <c r="E68" s="61" t="s">
        <v>26</v>
      </c>
      <c r="F68" s="61" t="s">
        <v>25</v>
      </c>
      <c r="G68" s="61" t="s">
        <v>24</v>
      </c>
      <c r="H68" s="19" t="s">
        <v>23</v>
      </c>
      <c r="I68" s="201" t="s">
        <v>106</v>
      </c>
      <c r="J68" s="204" t="s">
        <v>108</v>
      </c>
      <c r="K68" s="204" t="s">
        <v>109</v>
      </c>
      <c r="M68" s="59" t="s">
        <v>21</v>
      </c>
      <c r="O68" s="36"/>
      <c r="P68" s="104" t="s">
        <v>9</v>
      </c>
      <c r="Q68" s="104" t="s">
        <v>8</v>
      </c>
      <c r="R68" s="36"/>
      <c r="S68" s="36"/>
      <c r="U68" s="57" t="s">
        <v>9</v>
      </c>
      <c r="V68" s="57" t="s">
        <v>8</v>
      </c>
      <c r="W68" s="35"/>
      <c r="X68" s="35"/>
      <c r="Z68" s="56" t="s">
        <v>20</v>
      </c>
      <c r="AA68" s="55" t="s">
        <v>19</v>
      </c>
      <c r="AB68" s="55" t="s">
        <v>52</v>
      </c>
      <c r="AC68" s="55" t="s">
        <v>17</v>
      </c>
      <c r="AD68" s="19" t="s">
        <v>51</v>
      </c>
    </row>
    <row r="69" spans="1:31" x14ac:dyDescent="0.35">
      <c r="A69" s="33" t="str">
        <f>A3</f>
        <v>KH T11</v>
      </c>
      <c r="B69" s="33"/>
      <c r="C69" s="103">
        <f>H69</f>
        <v>48459973133.623436</v>
      </c>
      <c r="D69" s="51"/>
      <c r="E69" s="53"/>
      <c r="F69" s="52"/>
      <c r="G69" s="51"/>
      <c r="H69" s="1">
        <f>H3</f>
        <v>48459973133.623436</v>
      </c>
      <c r="I69" s="202"/>
      <c r="J69" s="205"/>
      <c r="K69" s="205"/>
      <c r="M69" s="43"/>
      <c r="O69" s="36"/>
      <c r="P69" s="36"/>
      <c r="Q69" s="36"/>
      <c r="R69" s="36"/>
      <c r="S69" s="36"/>
      <c r="U69" s="35"/>
      <c r="V69" s="35"/>
      <c r="W69" s="35"/>
      <c r="X69" s="35"/>
      <c r="Z69" s="25"/>
      <c r="AA69" s="25"/>
      <c r="AB69" s="25"/>
      <c r="AC69" s="25"/>
    </row>
    <row r="70" spans="1:31" x14ac:dyDescent="0.35">
      <c r="A70" s="33" t="s">
        <v>7</v>
      </c>
      <c r="B70" s="33" t="s">
        <v>16</v>
      </c>
      <c r="C70" s="32"/>
      <c r="D70" s="32">
        <f>C69-F70</f>
        <v>32103197192.312939</v>
      </c>
      <c r="E70" s="31">
        <f>IF(H70&gt;0,H70,0)</f>
        <v>0</v>
      </c>
      <c r="F70" s="30">
        <f>IF(H70&lt;0,-H70,0)</f>
        <v>16356775941.310497</v>
      </c>
      <c r="G70" s="32"/>
      <c r="H70" s="39">
        <f t="shared" ref="H70:H80" si="7">M70</f>
        <v>-16356775941.310497</v>
      </c>
      <c r="I70" s="202">
        <f>SUM(H$69:H70)</f>
        <v>32103197192.312939</v>
      </c>
      <c r="J70" s="206">
        <f>IF(H70&gt;0,H70,0)</f>
        <v>0</v>
      </c>
      <c r="K70" s="207">
        <f>IF(H70&lt;0,-H70,0)</f>
        <v>16356775941.310497</v>
      </c>
      <c r="M70" s="43" cm="1">
        <f t="array" ref="M70:M71">TRANSPOSE(AA70:AB70)</f>
        <v>-16356775941.310497</v>
      </c>
      <c r="O70" s="102" t="s">
        <v>15</v>
      </c>
      <c r="P70" s="23">
        <v>4678.78</v>
      </c>
      <c r="Q70" s="23">
        <v>2027.64</v>
      </c>
      <c r="R70" s="23">
        <f t="shared" ref="R70:R79" si="8">Q70-P70</f>
        <v>-2651.1399999999994</v>
      </c>
      <c r="S70" s="101">
        <f t="shared" ref="S70:S79" si="9">R70/P70</f>
        <v>-0.56663061738316389</v>
      </c>
      <c r="T70" s="6"/>
      <c r="U70" s="35"/>
      <c r="V70" s="35"/>
      <c r="W70" s="35"/>
      <c r="X70" s="35"/>
      <c r="Z70" s="46">
        <f>SUM(AA70:AC70)</f>
        <v>-21969182811.194908</v>
      </c>
      <c r="AA70" s="45">
        <f>R70*P71*U71</f>
        <v>-16356775941.310497</v>
      </c>
      <c r="AB70" s="45">
        <f>AB4+AC4</f>
        <v>-8560242226.8562765</v>
      </c>
      <c r="AC70" s="45">
        <f>AD4</f>
        <v>2947835356.9718676</v>
      </c>
      <c r="AD70" s="1">
        <v>-21969182811.194908</v>
      </c>
      <c r="AE70" s="18">
        <f>Z70-AD70</f>
        <v>0</v>
      </c>
    </row>
    <row r="71" spans="1:31" x14ac:dyDescent="0.35">
      <c r="A71" s="33"/>
      <c r="B71" s="33" t="s">
        <v>50</v>
      </c>
      <c r="C71" s="32"/>
      <c r="D71" s="32">
        <f>D70-F71+E70</f>
        <v>23542954965.456661</v>
      </c>
      <c r="E71" s="31">
        <f t="shared" ref="E71:E82" si="10">IF(H71&gt;0,H71,0)</f>
        <v>0</v>
      </c>
      <c r="F71" s="30">
        <f t="shared" ref="F71:F82" si="11">IF(H71&lt;0,-H71,0)</f>
        <v>8560242226.8562765</v>
      </c>
      <c r="G71" s="32"/>
      <c r="H71" s="39">
        <f t="shared" si="7"/>
        <v>-8560242226.8562765</v>
      </c>
      <c r="I71" s="202">
        <f>SUM(H$69:H71)</f>
        <v>23542954965.456661</v>
      </c>
      <c r="J71" s="206">
        <f t="shared" ref="J71:J82" si="12">IF(H71&gt;0,H71,0)</f>
        <v>0</v>
      </c>
      <c r="K71" s="207">
        <f t="shared" ref="K71:K82" si="13">IF(H71&lt;0,-H71,0)</f>
        <v>8560242226.8562765</v>
      </c>
      <c r="L71" s="18"/>
      <c r="M71" s="43">
        <v>-8560242226.8562765</v>
      </c>
      <c r="O71" s="36" t="s">
        <v>13</v>
      </c>
      <c r="P71" s="100">
        <f>(P5-P6/U5*10^3)</f>
        <v>246.78856554252889</v>
      </c>
      <c r="Q71" s="100">
        <f>(Q5-Q6/U5*10^3)</f>
        <v>77.917518870412096</v>
      </c>
      <c r="R71" s="100">
        <f t="shared" si="8"/>
        <v>-168.87104667211679</v>
      </c>
      <c r="S71" s="99">
        <f t="shared" si="9"/>
        <v>-0.68427419358298991</v>
      </c>
      <c r="U71" s="40">
        <v>25000</v>
      </c>
      <c r="V71" s="40">
        <v>26187.839228082179</v>
      </c>
      <c r="W71" s="27">
        <f>V71-U71</f>
        <v>1187.839228082179</v>
      </c>
      <c r="X71" s="26">
        <f>W71/U71</f>
        <v>4.7513569123287164E-2</v>
      </c>
      <c r="Z71" s="25"/>
      <c r="AA71" s="25"/>
      <c r="AB71" s="25"/>
      <c r="AC71" s="25"/>
    </row>
    <row r="72" spans="1:31" x14ac:dyDescent="0.35">
      <c r="A72" s="33" t="s">
        <v>6</v>
      </c>
      <c r="B72" s="33" t="s">
        <v>16</v>
      </c>
      <c r="C72" s="32"/>
      <c r="D72" s="32">
        <f t="shared" ref="D72:D82" si="14">D71-F72+E71</f>
        <v>19768024997.966225</v>
      </c>
      <c r="E72" s="31">
        <f t="shared" si="10"/>
        <v>0</v>
      </c>
      <c r="F72" s="30">
        <f t="shared" si="11"/>
        <v>3774929967.490438</v>
      </c>
      <c r="G72" s="32"/>
      <c r="H72" s="39">
        <f t="shared" si="7"/>
        <v>-3774929967.490438</v>
      </c>
      <c r="I72" s="202">
        <f>SUM(H$69:H72)</f>
        <v>19768024997.966225</v>
      </c>
      <c r="J72" s="206">
        <f t="shared" si="12"/>
        <v>0</v>
      </c>
      <c r="K72" s="207">
        <f t="shared" si="13"/>
        <v>3774929967.490438</v>
      </c>
      <c r="M72" s="43" cm="1">
        <f t="array" ref="M72:M73">TRANSPOSE(AA72:AB72)</f>
        <v>-3774929967.490438</v>
      </c>
      <c r="O72" s="102" t="s">
        <v>15</v>
      </c>
      <c r="P72" s="23">
        <v>927</v>
      </c>
      <c r="Q72" s="23">
        <v>268.72500000000002</v>
      </c>
      <c r="R72" s="23">
        <f t="shared" si="8"/>
        <v>-658.27499999999998</v>
      </c>
      <c r="S72" s="101">
        <f t="shared" si="9"/>
        <v>-0.71011326860841417</v>
      </c>
      <c r="U72" s="35"/>
      <c r="V72" s="35"/>
      <c r="W72" s="35"/>
      <c r="X72" s="35"/>
      <c r="Z72" s="46">
        <f>SUM(AA72:AC72)</f>
        <v>-5264094496.5763702</v>
      </c>
      <c r="AA72" s="45">
        <f>R72*P73*U73</f>
        <v>-3774929967.490438</v>
      </c>
      <c r="AB72" s="45">
        <f>AB7+AC7</f>
        <v>-1812493450.2365561</v>
      </c>
      <c r="AC72" s="45">
        <f>AD7</f>
        <v>323328921.15062314</v>
      </c>
      <c r="AD72" s="1">
        <v>-5264094496.576375</v>
      </c>
      <c r="AE72" s="18">
        <f>Z72-AD72</f>
        <v>0</v>
      </c>
    </row>
    <row r="73" spans="1:31" x14ac:dyDescent="0.35">
      <c r="A73" s="33"/>
      <c r="B73" s="33" t="s">
        <v>50</v>
      </c>
      <c r="C73" s="32"/>
      <c r="D73" s="32">
        <f t="shared" si="14"/>
        <v>17955531547.729668</v>
      </c>
      <c r="E73" s="31">
        <f t="shared" si="10"/>
        <v>0</v>
      </c>
      <c r="F73" s="30">
        <f t="shared" si="11"/>
        <v>1812493450.2365561</v>
      </c>
      <c r="G73" s="32"/>
      <c r="H73" s="39">
        <f t="shared" si="7"/>
        <v>-1812493450.2365561</v>
      </c>
      <c r="I73" s="202">
        <f>SUM(H$69:H73)</f>
        <v>17955531547.729668</v>
      </c>
      <c r="J73" s="206">
        <f t="shared" si="12"/>
        <v>0</v>
      </c>
      <c r="K73" s="207">
        <f t="shared" si="13"/>
        <v>1812493450.2365561</v>
      </c>
      <c r="L73" s="18"/>
      <c r="M73" s="43">
        <v>-1812493450.2365561</v>
      </c>
      <c r="O73" s="36" t="s">
        <v>13</v>
      </c>
      <c r="P73" s="100">
        <f>(P8-P9/U8*10^3)</f>
        <v>229.38315855777228</v>
      </c>
      <c r="Q73" s="100">
        <f>(Q8-Q9/U8*10^3)</f>
        <v>-40.408405343845402</v>
      </c>
      <c r="R73" s="100">
        <f t="shared" si="8"/>
        <v>-269.79156390161768</v>
      </c>
      <c r="S73" s="99">
        <f t="shared" si="9"/>
        <v>-1.1761611689276141</v>
      </c>
      <c r="U73" s="40">
        <v>25000</v>
      </c>
      <c r="V73" s="40">
        <v>26191.396655794346</v>
      </c>
      <c r="W73" s="27">
        <f>V73-U73</f>
        <v>1191.3966557943459</v>
      </c>
      <c r="X73" s="26">
        <f>W73/U73</f>
        <v>4.7655866231773834E-2</v>
      </c>
      <c r="Z73" s="25"/>
      <c r="AA73" s="25"/>
      <c r="AB73" s="25"/>
      <c r="AC73" s="25"/>
    </row>
    <row r="74" spans="1:31" x14ac:dyDescent="0.35">
      <c r="A74" s="33" t="s">
        <v>5</v>
      </c>
      <c r="B74" s="33" t="s">
        <v>16</v>
      </c>
      <c r="C74" s="32"/>
      <c r="D74" s="32">
        <f t="shared" si="14"/>
        <v>17955531547.729668</v>
      </c>
      <c r="E74" s="31">
        <f t="shared" si="10"/>
        <v>163911341.71177879</v>
      </c>
      <c r="F74" s="30">
        <f t="shared" si="11"/>
        <v>0</v>
      </c>
      <c r="G74" s="32"/>
      <c r="H74" s="39">
        <f t="shared" si="7"/>
        <v>163911341.71177879</v>
      </c>
      <c r="I74" s="202">
        <f>SUM(H$69:H74)</f>
        <v>18119442889.441448</v>
      </c>
      <c r="J74" s="206">
        <f t="shared" si="12"/>
        <v>163911341.71177879</v>
      </c>
      <c r="K74" s="207">
        <f t="shared" si="13"/>
        <v>0</v>
      </c>
      <c r="M74" s="43" cm="1">
        <f t="array" ref="M74:M75">TRANSPOSE(AA74:AB74)</f>
        <v>163911341.71177879</v>
      </c>
      <c r="O74" s="102" t="s">
        <v>15</v>
      </c>
      <c r="P74" s="23">
        <v>155.75</v>
      </c>
      <c r="Q74" s="23">
        <v>186.75</v>
      </c>
      <c r="R74" s="23">
        <f t="shared" si="8"/>
        <v>31</v>
      </c>
      <c r="S74" s="101">
        <f t="shared" si="9"/>
        <v>0.19903691813804172</v>
      </c>
      <c r="U74" s="35"/>
      <c r="V74" s="35"/>
      <c r="W74" s="35"/>
      <c r="X74" s="35"/>
      <c r="Z74" s="46">
        <f>SUM(AA74:AC74)</f>
        <v>-2391326647.7317286</v>
      </c>
      <c r="AA74" s="45">
        <f>R74*P75*U75</f>
        <v>163911341.71177879</v>
      </c>
      <c r="AB74" s="45">
        <f>AB10+AC10</f>
        <v>-2696349600.725491</v>
      </c>
      <c r="AC74" s="45">
        <f>AD10</f>
        <v>141111611.28198406</v>
      </c>
      <c r="AD74" s="1">
        <v>-2391326647.7317286</v>
      </c>
      <c r="AE74" s="18">
        <f>Z74-AD74</f>
        <v>0</v>
      </c>
    </row>
    <row r="75" spans="1:31" x14ac:dyDescent="0.35">
      <c r="A75" s="33"/>
      <c r="B75" s="33" t="s">
        <v>50</v>
      </c>
      <c r="C75" s="32"/>
      <c r="D75" s="32">
        <f t="shared" si="14"/>
        <v>15423093288.715956</v>
      </c>
      <c r="E75" s="31">
        <f t="shared" si="10"/>
        <v>0</v>
      </c>
      <c r="F75" s="30">
        <f t="shared" si="11"/>
        <v>2696349600.725491</v>
      </c>
      <c r="G75" s="32"/>
      <c r="H75" s="39">
        <f t="shared" si="7"/>
        <v>-2696349600.725491</v>
      </c>
      <c r="I75" s="202">
        <f>SUM(H$69:H75)</f>
        <v>15423093288.715958</v>
      </c>
      <c r="J75" s="206">
        <f t="shared" si="12"/>
        <v>0</v>
      </c>
      <c r="K75" s="207">
        <f t="shared" si="13"/>
        <v>2696349600.725491</v>
      </c>
      <c r="L75" s="18"/>
      <c r="M75" s="43">
        <v>-2696349600.725491</v>
      </c>
      <c r="O75" s="36" t="s">
        <v>13</v>
      </c>
      <c r="P75" s="100">
        <f>(P11-P12/U11*10^3)</f>
        <v>211.49850543455329</v>
      </c>
      <c r="Q75" s="100">
        <f>(Q11-Q12/U11*10^3)</f>
        <v>-366.03286821481572</v>
      </c>
      <c r="R75" s="100">
        <f t="shared" si="8"/>
        <v>-577.53137364936902</v>
      </c>
      <c r="S75" s="99">
        <f t="shared" si="9"/>
        <v>-2.7306640889151907</v>
      </c>
      <c r="U75" s="40">
        <v>25000</v>
      </c>
      <c r="V75" s="40">
        <v>26188.248885874826</v>
      </c>
      <c r="W75" s="27">
        <f>V75-U75</f>
        <v>1188.2488858748256</v>
      </c>
      <c r="X75" s="26">
        <f>W75/U75</f>
        <v>4.7529955434993026E-2</v>
      </c>
      <c r="Z75" s="25"/>
      <c r="AA75" s="25"/>
      <c r="AB75" s="25"/>
      <c r="AC75" s="25"/>
    </row>
    <row r="76" spans="1:31" x14ac:dyDescent="0.35">
      <c r="A76" s="33" t="s">
        <v>4</v>
      </c>
      <c r="B76" s="33" t="s">
        <v>16</v>
      </c>
      <c r="C76" s="32"/>
      <c r="D76" s="32">
        <f t="shared" si="14"/>
        <v>15423093288.715956</v>
      </c>
      <c r="E76" s="31">
        <f t="shared" si="10"/>
        <v>455435768.40818661</v>
      </c>
      <c r="F76" s="30">
        <f t="shared" si="11"/>
        <v>0</v>
      </c>
      <c r="G76" s="32"/>
      <c r="H76" s="39">
        <f t="shared" si="7"/>
        <v>455435768.40818661</v>
      </c>
      <c r="I76" s="202">
        <f>SUM(H$69:H76)</f>
        <v>15878529057.124144</v>
      </c>
      <c r="J76" s="206">
        <f t="shared" si="12"/>
        <v>455435768.40818661</v>
      </c>
      <c r="K76" s="207">
        <f t="shared" si="13"/>
        <v>0</v>
      </c>
      <c r="M76" s="43" cm="1">
        <f t="array" ref="M76:M77">TRANSPOSE(AA76:AB76)</f>
        <v>455435768.40818661</v>
      </c>
      <c r="O76" s="102" t="s">
        <v>15</v>
      </c>
      <c r="P76" s="23">
        <v>107.44</v>
      </c>
      <c r="Q76" s="23">
        <v>0</v>
      </c>
      <c r="R76" s="23">
        <f t="shared" si="8"/>
        <v>-107.44</v>
      </c>
      <c r="S76" s="101">
        <f t="shared" si="9"/>
        <v>-1</v>
      </c>
      <c r="T76" s="50"/>
      <c r="U76" s="35"/>
      <c r="V76" s="35"/>
      <c r="W76" s="35"/>
      <c r="X76" s="35"/>
      <c r="Z76" s="46">
        <f>SUM(AA76:AC76)</f>
        <v>455435768.40818661</v>
      </c>
      <c r="AA76" s="45">
        <f>R76*P77*U77</f>
        <v>455435768.40818661</v>
      </c>
      <c r="AB76" s="45">
        <f>AB13+AC13</f>
        <v>0</v>
      </c>
      <c r="AC76" s="45">
        <f>AD13</f>
        <v>0</v>
      </c>
      <c r="AD76" s="1">
        <v>455435768.40818632</v>
      </c>
      <c r="AE76" s="18">
        <f>Z76-AD76</f>
        <v>0</v>
      </c>
    </row>
    <row r="77" spans="1:31" x14ac:dyDescent="0.35">
      <c r="A77" s="33"/>
      <c r="B77" s="33" t="s">
        <v>50</v>
      </c>
      <c r="C77" s="32"/>
      <c r="D77" s="32">
        <f t="shared" si="14"/>
        <v>15878529057.124142</v>
      </c>
      <c r="E77" s="31">
        <f t="shared" si="10"/>
        <v>0</v>
      </c>
      <c r="F77" s="30">
        <f t="shared" si="11"/>
        <v>0</v>
      </c>
      <c r="G77" s="32"/>
      <c r="H77" s="39">
        <f t="shared" si="7"/>
        <v>0</v>
      </c>
      <c r="I77" s="202">
        <f>SUM(H$69:H77)</f>
        <v>15878529057.124144</v>
      </c>
      <c r="J77" s="206">
        <f t="shared" si="12"/>
        <v>0</v>
      </c>
      <c r="K77" s="207">
        <f t="shared" si="13"/>
        <v>0</v>
      </c>
      <c r="L77" s="18"/>
      <c r="M77" s="43">
        <v>0</v>
      </c>
      <c r="O77" s="36" t="s">
        <v>13</v>
      </c>
      <c r="P77" s="100">
        <f>(P14-P15/U14*10^3)</f>
        <v>-169.55910960840902</v>
      </c>
      <c r="Q77" s="100">
        <f>(Q14-Q15/U14*10^3)</f>
        <v>0</v>
      </c>
      <c r="R77" s="100">
        <f t="shared" si="8"/>
        <v>169.55910960840902</v>
      </c>
      <c r="S77" s="99">
        <f t="shared" si="9"/>
        <v>-1</v>
      </c>
      <c r="U77" s="40">
        <v>25000</v>
      </c>
      <c r="V77" s="40">
        <v>0</v>
      </c>
      <c r="W77" s="27">
        <f>V77-U77</f>
        <v>-25000</v>
      </c>
      <c r="X77" s="26">
        <f>W77/U77</f>
        <v>-1</v>
      </c>
      <c r="Z77" s="25"/>
      <c r="AA77" s="25"/>
      <c r="AB77" s="25"/>
      <c r="AC77" s="25"/>
    </row>
    <row r="78" spans="1:31" x14ac:dyDescent="0.35">
      <c r="A78" s="33" t="s">
        <v>3</v>
      </c>
      <c r="B78" s="33" t="s">
        <v>16</v>
      </c>
      <c r="C78" s="32"/>
      <c r="D78" s="32">
        <f t="shared" si="14"/>
        <v>15878529057.124142</v>
      </c>
      <c r="E78" s="31">
        <f t="shared" si="10"/>
        <v>11327183.663465697</v>
      </c>
      <c r="F78" s="30">
        <f t="shared" si="11"/>
        <v>0</v>
      </c>
      <c r="G78" s="32"/>
      <c r="H78" s="39">
        <f t="shared" si="7"/>
        <v>11327183.663465697</v>
      </c>
      <c r="I78" s="202">
        <f>SUM(H$69:H78)</f>
        <v>15889856240.787609</v>
      </c>
      <c r="J78" s="206">
        <f t="shared" si="12"/>
        <v>11327183.663465697</v>
      </c>
      <c r="K78" s="207">
        <f t="shared" si="13"/>
        <v>0</v>
      </c>
      <c r="M78" s="43" cm="1">
        <f t="array" ref="M78:M79">TRANSPOSE(AA78:AB78)</f>
        <v>11327183.663465697</v>
      </c>
      <c r="O78" s="102" t="s">
        <v>15</v>
      </c>
      <c r="P78" s="23">
        <v>100</v>
      </c>
      <c r="Q78" s="23">
        <v>27.3</v>
      </c>
      <c r="R78" s="23">
        <f t="shared" si="8"/>
        <v>-72.7</v>
      </c>
      <c r="S78" s="101">
        <f t="shared" si="9"/>
        <v>-0.72699999999999998</v>
      </c>
      <c r="U78" s="35"/>
      <c r="V78" s="35"/>
      <c r="W78" s="35"/>
      <c r="X78" s="35"/>
      <c r="Z78" s="46">
        <f>SUM(AA78:AC78)</f>
        <v>-325230570.52861357</v>
      </c>
      <c r="AA78" s="45">
        <f>R78*P79*U79</f>
        <v>11327183.663465697</v>
      </c>
      <c r="AB78" s="45">
        <f>AB16+AC16</f>
        <v>-357046411.33265007</v>
      </c>
      <c r="AC78" s="45">
        <f>AD16</f>
        <v>20488657.140570827</v>
      </c>
      <c r="AD78" s="1">
        <v>-325230570.52861351</v>
      </c>
      <c r="AE78" s="18">
        <f>Z78-AD78</f>
        <v>0</v>
      </c>
    </row>
    <row r="79" spans="1:31" x14ac:dyDescent="0.35">
      <c r="A79" s="33"/>
      <c r="B79" s="33" t="s">
        <v>50</v>
      </c>
      <c r="C79" s="32"/>
      <c r="D79" s="32">
        <f t="shared" si="14"/>
        <v>15532809829.454958</v>
      </c>
      <c r="E79" s="31">
        <f t="shared" si="10"/>
        <v>0</v>
      </c>
      <c r="F79" s="30">
        <f t="shared" si="11"/>
        <v>357046411.33265007</v>
      </c>
      <c r="G79" s="32"/>
      <c r="H79" s="39">
        <f t="shared" si="7"/>
        <v>-357046411.33265007</v>
      </c>
      <c r="I79" s="202">
        <f>SUM(H$69:H79)</f>
        <v>15532809829.45496</v>
      </c>
      <c r="J79" s="206">
        <f t="shared" si="12"/>
        <v>0</v>
      </c>
      <c r="K79" s="207">
        <f t="shared" si="13"/>
        <v>357046411.33265007</v>
      </c>
      <c r="L79" s="18"/>
      <c r="M79" s="43">
        <v>-357046411.33265007</v>
      </c>
      <c r="O79" s="36" t="s">
        <v>13</v>
      </c>
      <c r="P79" s="100">
        <f>(P17-P18/U17*10^3)</f>
        <v>-6.2322881229522409</v>
      </c>
      <c r="Q79" s="100">
        <f>(Q17-Q18/V17*10^3)</f>
        <v>-476.67567128468988</v>
      </c>
      <c r="R79" s="100">
        <f t="shared" si="8"/>
        <v>-470.44338316173764</v>
      </c>
      <c r="S79" s="99">
        <f t="shared" si="9"/>
        <v>75.484857869325879</v>
      </c>
      <c r="U79" s="40">
        <v>25000</v>
      </c>
      <c r="V79" s="40">
        <v>26189.568336070231</v>
      </c>
      <c r="W79" s="27">
        <f>V79-U79</f>
        <v>1189.5683360702315</v>
      </c>
      <c r="X79" s="26">
        <f>W79/U79</f>
        <v>4.7582733442809257E-2</v>
      </c>
      <c r="Z79" s="25"/>
      <c r="AA79" s="25"/>
      <c r="AB79" s="25"/>
      <c r="AC79" s="25"/>
    </row>
    <row r="80" spans="1:31" x14ac:dyDescent="0.35">
      <c r="A80" s="33" t="s">
        <v>12</v>
      </c>
      <c r="B80" s="33"/>
      <c r="C80" s="32"/>
      <c r="D80" s="32">
        <f t="shared" si="14"/>
        <v>15532809829.454958</v>
      </c>
      <c r="E80" s="31">
        <f t="shared" si="10"/>
        <v>3432764546.5450454</v>
      </c>
      <c r="F80" s="30">
        <f t="shared" si="11"/>
        <v>0</v>
      </c>
      <c r="G80" s="32"/>
      <c r="H80" s="39">
        <f t="shared" si="7"/>
        <v>3432764546.5450454</v>
      </c>
      <c r="I80" s="202">
        <f>SUM(H$69:H80)</f>
        <v>18965574376.000004</v>
      </c>
      <c r="J80" s="206">
        <f t="shared" si="12"/>
        <v>3432764546.5450454</v>
      </c>
      <c r="K80" s="207">
        <f t="shared" si="13"/>
        <v>0</v>
      </c>
      <c r="M80" s="37">
        <f>AC70+AC72+AC74+AC76+AC78</f>
        <v>3432764546.5450454</v>
      </c>
      <c r="U80" s="35"/>
      <c r="V80" s="35"/>
      <c r="W80" s="35"/>
      <c r="X80" s="35"/>
      <c r="Z80" s="25"/>
      <c r="AA80" s="25"/>
      <c r="AB80" s="25"/>
      <c r="AC80" s="25"/>
    </row>
    <row r="81" spans="1:29" x14ac:dyDescent="0.35">
      <c r="A81" s="33" t="s">
        <v>1</v>
      </c>
      <c r="B81" s="33"/>
      <c r="C81" s="32"/>
      <c r="D81" s="32">
        <f t="shared" si="14"/>
        <v>17652558878.000004</v>
      </c>
      <c r="E81" s="31">
        <f t="shared" si="10"/>
        <v>0</v>
      </c>
      <c r="F81" s="30">
        <f t="shared" si="11"/>
        <v>1313015498</v>
      </c>
      <c r="G81" s="32"/>
      <c r="H81" s="98">
        <f>H83-SUM(H69:H80,H82)</f>
        <v>-1313015498</v>
      </c>
      <c r="I81" s="202">
        <f>SUM(H$69:H81)</f>
        <v>17652558878.000004</v>
      </c>
      <c r="J81" s="206">
        <f t="shared" si="12"/>
        <v>0</v>
      </c>
      <c r="K81" s="207">
        <f t="shared" si="13"/>
        <v>1313015498</v>
      </c>
      <c r="O81" s="173" t="s">
        <v>97</v>
      </c>
      <c r="P81" s="174"/>
      <c r="Q81" s="174"/>
      <c r="R81" s="174"/>
      <c r="S81" s="174"/>
      <c r="U81" s="35"/>
      <c r="V81" s="35"/>
      <c r="W81" s="35"/>
      <c r="X81" s="35"/>
      <c r="Z81" s="25"/>
      <c r="AA81" s="25"/>
      <c r="AB81" s="25"/>
      <c r="AC81" s="25"/>
    </row>
    <row r="82" spans="1:29" x14ac:dyDescent="0.35">
      <c r="A82" s="33" t="s">
        <v>120</v>
      </c>
      <c r="B82" s="33" t="s">
        <v>119</v>
      </c>
      <c r="C82" s="32"/>
      <c r="D82" s="32">
        <f t="shared" si="14"/>
        <v>7407279957.999958</v>
      </c>
      <c r="E82" s="31">
        <f t="shared" si="10"/>
        <v>0</v>
      </c>
      <c r="F82" s="30">
        <f t="shared" si="11"/>
        <v>10245278920.000046</v>
      </c>
      <c r="G82" s="32"/>
      <c r="H82" s="98">
        <f>H21</f>
        <v>-10245278920.000046</v>
      </c>
      <c r="I82" s="202">
        <f>SUM(H$69:H82)</f>
        <v>7407279957.999958</v>
      </c>
      <c r="J82" s="206">
        <f t="shared" si="12"/>
        <v>0</v>
      </c>
      <c r="K82" s="207">
        <f t="shared" si="13"/>
        <v>10245278920.000046</v>
      </c>
      <c r="O82" s="173"/>
      <c r="P82" s="174"/>
      <c r="Q82" s="174"/>
      <c r="R82" s="174"/>
      <c r="S82" s="174"/>
      <c r="U82" s="35"/>
      <c r="V82" s="35"/>
      <c r="W82" s="35"/>
      <c r="X82" s="35"/>
      <c r="Z82" s="25"/>
      <c r="AA82" s="25"/>
      <c r="AB82" s="25"/>
      <c r="AC82" s="25"/>
    </row>
    <row r="83" spans="1:29" ht="15" thickBot="1" x14ac:dyDescent="0.4">
      <c r="A83" s="33" t="str">
        <f>A22</f>
        <v>TT T11</v>
      </c>
      <c r="B83" s="33"/>
      <c r="C83" s="32"/>
      <c r="D83" s="32"/>
      <c r="E83" s="31"/>
      <c r="F83" s="30"/>
      <c r="G83" s="97">
        <f>D82</f>
        <v>7407279957.999958</v>
      </c>
      <c r="H83" s="1">
        <f>H22</f>
        <v>7407279957.999958</v>
      </c>
      <c r="I83" s="203"/>
      <c r="J83" s="205"/>
      <c r="K83" s="208"/>
      <c r="O83" s="174" t="s">
        <v>7</v>
      </c>
      <c r="P83" s="175">
        <f>P70/10^3</f>
        <v>4.6787799999999997</v>
      </c>
      <c r="Q83" s="175">
        <f>Q70/10^3</f>
        <v>2.0276399999999999</v>
      </c>
      <c r="R83" s="177">
        <f t="shared" ref="R83:R87" si="15">Q83-P83</f>
        <v>-2.6511399999999998</v>
      </c>
      <c r="S83" s="176">
        <f t="shared" ref="S83:S87" si="16">R83/P83</f>
        <v>-0.566630617383164</v>
      </c>
      <c r="U83" s="28">
        <v>25000</v>
      </c>
      <c r="V83" s="28">
        <v>26188.206413254738</v>
      </c>
      <c r="W83" s="27">
        <f>V83-U83</f>
        <v>1188.2064132547384</v>
      </c>
      <c r="X83" s="26">
        <f>W83/U83</f>
        <v>4.7528256530189536E-2</v>
      </c>
      <c r="Z83" s="25"/>
      <c r="AA83" s="25"/>
      <c r="AB83" s="25"/>
      <c r="AC83" s="25"/>
    </row>
    <row r="84" spans="1:29" s="21" customFormat="1" x14ac:dyDescent="0.35">
      <c r="A84" s="21" t="s">
        <v>11</v>
      </c>
      <c r="F84" s="110">
        <f>G83-C69</f>
        <v>-41052693175.623474</v>
      </c>
      <c r="G84" s="96">
        <f>G83-H83</f>
        <v>0</v>
      </c>
      <c r="H84" s="6">
        <f>H83/H69-1</f>
        <v>-0.84714642871189505</v>
      </c>
      <c r="O84" s="174" t="s">
        <v>6</v>
      </c>
      <c r="P84" s="175">
        <f>P72/10^3</f>
        <v>0.92700000000000005</v>
      </c>
      <c r="Q84" s="175">
        <f>Q72/10^3</f>
        <v>0.26872500000000005</v>
      </c>
      <c r="R84" s="177">
        <f t="shared" si="15"/>
        <v>-0.65827499999999994</v>
      </c>
      <c r="S84" s="176">
        <f t="shared" si="16"/>
        <v>-0.71011326860841417</v>
      </c>
    </row>
    <row r="85" spans="1:29" x14ac:dyDescent="0.35">
      <c r="F85" s="107">
        <f>F84/C69</f>
        <v>-0.84714642871189505</v>
      </c>
      <c r="G85" s="94">
        <f>G24</f>
        <v>0</v>
      </c>
      <c r="O85" s="174" t="s">
        <v>5</v>
      </c>
      <c r="P85" s="175">
        <f>P74/10^3</f>
        <v>0.15575</v>
      </c>
      <c r="Q85" s="175">
        <f>Q74/10^3</f>
        <v>0.18675</v>
      </c>
      <c r="R85" s="177">
        <f t="shared" si="15"/>
        <v>3.1E-2</v>
      </c>
      <c r="S85" s="176">
        <f t="shared" si="16"/>
        <v>0.19903691813804172</v>
      </c>
    </row>
    <row r="86" spans="1:29" x14ac:dyDescent="0.35">
      <c r="O86" s="174" t="s">
        <v>4</v>
      </c>
      <c r="P86" s="175">
        <f>P76/10^3</f>
        <v>0.10743999999999999</v>
      </c>
      <c r="Q86" s="175">
        <f>Q76/10^3</f>
        <v>0</v>
      </c>
      <c r="R86" s="177">
        <f t="shared" si="15"/>
        <v>-0.10743999999999999</v>
      </c>
      <c r="S86" s="176">
        <f t="shared" si="16"/>
        <v>-1</v>
      </c>
    </row>
    <row r="87" spans="1:29" x14ac:dyDescent="0.35">
      <c r="O87" s="174" t="s">
        <v>3</v>
      </c>
      <c r="P87" s="175">
        <f>P78/10^3</f>
        <v>0.1</v>
      </c>
      <c r="Q87" s="175">
        <f>Q78/10^3</f>
        <v>2.7300000000000001E-2</v>
      </c>
      <c r="R87" s="177">
        <f t="shared" si="15"/>
        <v>-7.2700000000000001E-2</v>
      </c>
      <c r="S87" s="176">
        <f t="shared" si="16"/>
        <v>-0.72699999999999998</v>
      </c>
    </row>
    <row r="88" spans="1:29" x14ac:dyDescent="0.35">
      <c r="M88" s="1"/>
    </row>
    <row r="89" spans="1:29" x14ac:dyDescent="0.35">
      <c r="M89" s="1"/>
    </row>
    <row r="90" spans="1:29" x14ac:dyDescent="0.35">
      <c r="M90" s="1"/>
    </row>
    <row r="91" spans="1:29" x14ac:dyDescent="0.35">
      <c r="M91" s="1"/>
    </row>
    <row r="92" spans="1:29" x14ac:dyDescent="0.35">
      <c r="A92" s="68"/>
      <c r="B92" s="60"/>
      <c r="C92" s="60"/>
      <c r="D92" s="68"/>
      <c r="E92" s="68"/>
      <c r="M92" s="1"/>
    </row>
    <row r="93" spans="1:29" x14ac:dyDescent="0.35">
      <c r="A93" s="65"/>
      <c r="B93" s="44"/>
      <c r="C93" s="44"/>
      <c r="D93" s="157"/>
      <c r="E93" s="158"/>
      <c r="M93" s="18"/>
    </row>
    <row r="94" spans="1:29" x14ac:dyDescent="0.35">
      <c r="A94" s="65"/>
      <c r="B94" s="44"/>
      <c r="C94" s="44"/>
      <c r="D94" s="157"/>
      <c r="E94" s="158"/>
      <c r="M94" s="93"/>
    </row>
    <row r="96" spans="1:29" x14ac:dyDescent="0.35">
      <c r="A96" s="68"/>
      <c r="B96" s="60"/>
      <c r="C96" s="60"/>
      <c r="D96" s="68"/>
      <c r="E96" s="68"/>
    </row>
    <row r="97" spans="1:5" x14ac:dyDescent="0.35">
      <c r="A97" s="65"/>
      <c r="B97" s="44"/>
      <c r="C97" s="44"/>
      <c r="D97" s="157"/>
      <c r="E97" s="158"/>
    </row>
    <row r="98" spans="1:5" x14ac:dyDescent="0.35">
      <c r="A98" s="65"/>
      <c r="B98" s="44"/>
      <c r="C98" s="44"/>
      <c r="D98" s="157"/>
      <c r="E98" s="158"/>
    </row>
  </sheetData>
  <conditionalFormatting sqref="I69:I83">
    <cfRule type="expression" dxfId="0" priority="1">
      <formula>I69&lt;0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7E36-0476-4C4B-9A90-B98FBAD94D72}">
  <sheetPr codeName="Sheet7"/>
  <dimension ref="A2:G10"/>
  <sheetViews>
    <sheetView showGridLines="0" zoomScale="115" zoomScaleNormal="115" workbookViewId="0">
      <selection activeCell="B6" sqref="B6"/>
    </sheetView>
  </sheetViews>
  <sheetFormatPr defaultRowHeight="14.5" x14ac:dyDescent="0.35"/>
  <cols>
    <col min="1" max="1" width="4.1796875" bestFit="1" customWidth="1"/>
    <col min="2" max="2" width="42.1796875" customWidth="1"/>
    <col min="3" max="3" width="17.7265625" customWidth="1"/>
    <col min="4" max="4" width="17.7265625" bestFit="1" customWidth="1"/>
    <col min="5" max="5" width="80.26953125" bestFit="1" customWidth="1"/>
    <col min="6" max="6" width="67.81640625" customWidth="1"/>
    <col min="7" max="7" width="9.7265625" bestFit="1" customWidth="1"/>
  </cols>
  <sheetData>
    <row r="2" spans="1:7" x14ac:dyDescent="0.35">
      <c r="C2" s="159" t="s">
        <v>92</v>
      </c>
      <c r="D2" s="160">
        <v>0.13109999999999999</v>
      </c>
    </row>
    <row r="3" spans="1:7" x14ac:dyDescent="0.35">
      <c r="A3" s="163" t="s">
        <v>93</v>
      </c>
      <c r="B3" s="161" t="s">
        <v>96</v>
      </c>
      <c r="C3" s="162" t="s">
        <v>90</v>
      </c>
      <c r="D3" s="162" t="s">
        <v>84</v>
      </c>
      <c r="E3" s="163" t="s">
        <v>91</v>
      </c>
    </row>
    <row r="4" spans="1:7" x14ac:dyDescent="0.35">
      <c r="A4" s="167">
        <f>IF(B4&lt;&gt;"",SUBTOTAL(3,B$4:B4),"")</f>
        <v>1</v>
      </c>
      <c r="B4" s="168" t="s">
        <v>89</v>
      </c>
      <c r="C4" s="169">
        <f>'S8'!H4+'S8'!H7+'S8'!H10+'S8'!H13+'S8'!H16</f>
        <v>-19501031615.017513</v>
      </c>
      <c r="D4" s="198">
        <f t="shared" ref="D4:D9" si="0">C4*(1-$D$2)</f>
        <v>-16944446370.288717</v>
      </c>
      <c r="E4" s="168" t="s">
        <v>123</v>
      </c>
    </row>
    <row r="5" spans="1:7" x14ac:dyDescent="0.35">
      <c r="A5" s="170">
        <f>IF(B5&lt;&gt;"",SUBTOTAL(3,B$4:B5),"")</f>
        <v>2</v>
      </c>
      <c r="B5" s="171" t="s">
        <v>94</v>
      </c>
      <c r="C5" s="172">
        <f>'S8'!$H$5</f>
        <v>-3557756286.6687527</v>
      </c>
      <c r="D5" s="199">
        <f t="shared" si="0"/>
        <v>-3091334437.4864793</v>
      </c>
      <c r="E5" s="171" t="s">
        <v>124</v>
      </c>
      <c r="G5" s="1"/>
    </row>
    <row r="6" spans="1:7" ht="43.5" x14ac:dyDescent="0.35">
      <c r="A6" s="170">
        <f>IF(B6&lt;&gt;"",SUBTOTAL(3,B$4:B6),"")</f>
        <v>3</v>
      </c>
      <c r="B6" s="171" t="s">
        <v>95</v>
      </c>
      <c r="C6" s="172">
        <f>'S8'!$H$6</f>
        <v>-5002485940.1875238</v>
      </c>
      <c r="D6" s="199">
        <f t="shared" si="0"/>
        <v>-4346660033.4289398</v>
      </c>
      <c r="E6" s="223" t="s">
        <v>126</v>
      </c>
      <c r="F6" s="194" t="s">
        <v>125</v>
      </c>
    </row>
    <row r="7" spans="1:7" x14ac:dyDescent="0.35">
      <c r="A7" s="170">
        <f>IF(B7&lt;&gt;"",SUBTOTAL(3,B$4:B7),"")</f>
        <v>4</v>
      </c>
      <c r="B7" s="171" t="s">
        <v>110</v>
      </c>
      <c r="C7" s="172">
        <f>'S8'!H11+'S8'!H12</f>
        <v>-2696349600.725491</v>
      </c>
      <c r="D7" s="199">
        <f t="shared" si="0"/>
        <v>-2342858168.0703793</v>
      </c>
      <c r="E7" s="171" t="s">
        <v>111</v>
      </c>
    </row>
    <row r="8" spans="1:7" x14ac:dyDescent="0.35">
      <c r="A8" s="170">
        <f>IF(B8&lt;&gt;"",SUBTOTAL(3,B$4:B8),"")</f>
        <v>5</v>
      </c>
      <c r="B8" s="171" t="s">
        <v>127</v>
      </c>
      <c r="C8" s="172">
        <v>-1453024773</v>
      </c>
      <c r="D8" s="199">
        <f t="shared" si="0"/>
        <v>-1262533225.2597001</v>
      </c>
      <c r="E8" s="171"/>
      <c r="G8" s="1"/>
    </row>
    <row r="9" spans="1:7" ht="15" thickBot="1" x14ac:dyDescent="0.4">
      <c r="A9" s="224">
        <f>IF(B9&lt;&gt;"",SUBTOTAL(3,B$4:B9),"")</f>
        <v>6</v>
      </c>
      <c r="B9" s="225" t="s">
        <v>128</v>
      </c>
      <c r="C9" s="226">
        <v>-536599922</v>
      </c>
      <c r="D9" s="227">
        <f t="shared" si="0"/>
        <v>-466251672.22579998</v>
      </c>
      <c r="E9" s="225"/>
      <c r="G9" s="1"/>
    </row>
    <row r="10" spans="1:7" ht="15" thickBot="1" x14ac:dyDescent="0.4">
      <c r="A10" s="164">
        <f>IF(B10&lt;&gt;"",SUBTOTAL(3,B$4:B10),"")</f>
        <v>7</v>
      </c>
      <c r="B10" s="165" t="s">
        <v>0</v>
      </c>
      <c r="C10" s="166">
        <f>SUM(C4:C9)</f>
        <v>-32747248137.599277</v>
      </c>
      <c r="D10" s="166">
        <f>SUM(D4:D9)</f>
        <v>-28454083906.760014</v>
      </c>
      <c r="E10" s="1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Mth</vt:lpstr>
      <vt:lpstr>S6</vt:lpstr>
      <vt:lpstr>S7</vt:lpstr>
      <vt:lpstr>S8</vt:lpstr>
      <vt:lpstr>BĐ-LG EXW-v2</vt:lpstr>
      <vt:lpstr>S10</vt:lpstr>
      <vt:lpstr>BĐ-LG EXW-v2 (PDM)</vt:lpstr>
      <vt:lpstr>Sheet3</vt:lpstr>
      <vt:lpstr>Sheet3 (2)</vt:lpstr>
      <vt:lpstr>S11</vt:lpstr>
      <vt:lpstr>Giải trình</vt:lpstr>
      <vt:lpstr>mth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2025-09-08T09:19:54Z</dcterms:created>
  <dcterms:modified xsi:type="dcterms:W3CDTF">2025-12-24T09:29:09Z</dcterms:modified>
</cp:coreProperties>
</file>