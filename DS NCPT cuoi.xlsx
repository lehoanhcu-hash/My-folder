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phamngocphuongphuong_duytanrecycling_com/Documents/2. Data/2. Report 2023/22. Công nghệ cao/4. Hoso DuAn/"/>
    </mc:Choice>
  </mc:AlternateContent>
  <xr:revisionPtr revIDLastSave="12" documentId="11_C58F2859E600228A12031E9E20DCFA36B71F9E2D" xr6:coauthVersionLast="47" xr6:coauthVersionMax="47" xr10:uidLastSave="{9D9D974C-7DD4-4730-B0A4-70452F801386}"/>
  <bookViews>
    <workbookView xWindow="-110" yWindow="-110" windowWidth="19420" windowHeight="10300" activeTab="1" xr2:uid="{00000000-000D-0000-FFFF-FFFF00000000}"/>
  </bookViews>
  <sheets>
    <sheet name="Pivot" sheetId="2" r:id="rId1"/>
    <sheet name="Detail" sheetId="1" r:id="rId2"/>
  </sheets>
  <externalReferences>
    <externalReference r:id="rId3"/>
  </externalReferences>
  <definedNames>
    <definedName name="_xlnm._FilterDatabase" localSheetId="1" hidden="1">Detail!$A$1:$H$34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34" i="1" l="1"/>
  <c r="F33" i="1"/>
  <c r="F32" i="1"/>
  <c r="F31" i="1"/>
  <c r="F30" i="1"/>
  <c r="F29" i="1"/>
  <c r="F28" i="1"/>
  <c r="F27" i="1"/>
  <c r="F26" i="1"/>
  <c r="F17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<sst xmlns="http://schemas.openxmlformats.org/spreadsheetml/2006/main" count="181" uniqueCount="74">
  <si>
    <t>STT</t>
  </si>
  <si>
    <t>Họ và tên</t>
  </si>
  <si>
    <t>Bằng</t>
  </si>
  <si>
    <t>Tốt nghiệp trường đại học</t>
  </si>
  <si>
    <t>Chuyên ngành</t>
  </si>
  <si>
    <t>Số tháng</t>
  </si>
  <si>
    <t>Chọn</t>
  </si>
  <si>
    <t>Đái Trung Quân</t>
  </si>
  <si>
    <t>Kỹ sư</t>
  </si>
  <si>
    <t>Trường ĐH Bách khoa TP.HCM</t>
  </si>
  <si>
    <t>Cơ điện tử</t>
  </si>
  <si>
    <t>Trần Minh Hoàng</t>
  </si>
  <si>
    <t>Hoá Polymer</t>
  </si>
  <si>
    <t>Đặng Lê Châu Đoan</t>
  </si>
  <si>
    <t>Trường ĐH Khoa học tự nhiên TP. HCM</t>
  </si>
  <si>
    <t>Khoa học vật liệu</t>
  </si>
  <si>
    <t>Sầm Minh Tuấn</t>
  </si>
  <si>
    <t>Vật liệu Polymer</t>
  </si>
  <si>
    <t>Cao Thùy Linh</t>
  </si>
  <si>
    <t>Kỹ thuật hóa học</t>
  </si>
  <si>
    <t>Phạm Thị Kim Hồng</t>
  </si>
  <si>
    <t>Thạc sĩ</t>
  </si>
  <si>
    <t>Trường Đại học GACHON (Hàn Quốc)</t>
  </si>
  <si>
    <t>Công nghệ hóa học</t>
  </si>
  <si>
    <t>Nguyễn Ngọc Sơn</t>
  </si>
  <si>
    <t>Trường Đại học Cần Thơ</t>
  </si>
  <si>
    <t>Công nghệ kỹ thuật hóa học</t>
  </si>
  <si>
    <t>Võ Thị Bích Phượng</t>
  </si>
  <si>
    <t>Trường ĐH Kỹ thuật công nghệ TP.HCM</t>
  </si>
  <si>
    <t>Hóa học</t>
  </si>
  <si>
    <t>Nguyễn Thị Huỳnh Như</t>
  </si>
  <si>
    <t>Khoa học Vật liệu</t>
  </si>
  <si>
    <t>Đặng Thị Anh Thư</t>
  </si>
  <si>
    <t>Phan Hồ Thủy</t>
  </si>
  <si>
    <t>Trường Đại học Tôn Đức Thắng</t>
  </si>
  <si>
    <t>Công nghệ hoá học</t>
  </si>
  <si>
    <t>Nguyễn Trung Tài</t>
  </si>
  <si>
    <t>Trường ĐH công nghiệp thực phẩm TP. HCM</t>
  </si>
  <si>
    <t>Công nghệ Vật liệu</t>
  </si>
  <si>
    <t>Lê Văn Ty</t>
  </si>
  <si>
    <t>Trường Đại học Khoa học - Đại học Huế</t>
  </si>
  <si>
    <t>Võ Tiến Dũng</t>
  </si>
  <si>
    <t>Trường ĐH Sư phạm Kỹ thuật TP. HCM</t>
  </si>
  <si>
    <t>Điện - Điện tử</t>
  </si>
  <si>
    <t>Đổ Quốc Sang</t>
  </si>
  <si>
    <t>Công nghệ chế tạo máy</t>
  </si>
  <si>
    <t>Ngô Quốc Huy</t>
  </si>
  <si>
    <t>Nguyễn Thị Quỳnh Như</t>
  </si>
  <si>
    <t>Công nghệ Thực phẩm</t>
  </si>
  <si>
    <t>Không chọn</t>
  </si>
  <si>
    <t>Lê Thị Châu Phụng</t>
  </si>
  <si>
    <t>Lê Minh Thanh</t>
  </si>
  <si>
    <t>Khoa học môi trường</t>
  </si>
  <si>
    <t>Trần Văn Hớn</t>
  </si>
  <si>
    <t>Công nghệ Kỹ thuật cơ khí</t>
  </si>
  <si>
    <t>Huỳnh Hữu Lộc</t>
  </si>
  <si>
    <t>Nguyễn Tấn Phư</t>
  </si>
  <si>
    <t>Chế tạo máy</t>
  </si>
  <si>
    <t>Nguyễn Văn Châu Tuấn</t>
  </si>
  <si>
    <t>Ngô Tuấn Nghĩa</t>
  </si>
  <si>
    <t>Huỳnh Quốc Hậu</t>
  </si>
  <si>
    <t>Kỹ thuật Chế tạo</t>
  </si>
  <si>
    <t>Grand Total</t>
  </si>
  <si>
    <t>Count of Họ và tên</t>
  </si>
  <si>
    <t>Huỳnh Thạch</t>
  </si>
  <si>
    <t xml:space="preserve">chọn thêm </t>
  </si>
  <si>
    <t>chỉ tính 5 tháng lương, 5 tháng này là dành cho hoạt động nghiên cứu và phát triển</t>
  </si>
  <si>
    <t>tính lương 12 tháng</t>
  </si>
  <si>
    <t>tính lương 11 tháng</t>
  </si>
  <si>
    <t>tính lương 9 tháng</t>
  </si>
  <si>
    <t>tính lương 2 tháng</t>
  </si>
  <si>
    <t>tính lương 1 tháng</t>
  </si>
  <si>
    <t>tính lương 10 tháng</t>
  </si>
  <si>
    <t>tính lương 4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</si>
</sst>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3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3"/>
      <color rgb="FF0000CC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color rgb="FF0000C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1" xfId="0" pivotButton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5" fillId="0" borderId="1" xfId="1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2" fillId="3" borderId="1" xfId="1" applyFont="1" applyFill="1" applyBorder="1" applyAlignment="1">
      <alignment horizontal="left" vertical="center"/>
    </xf>
    <xf numFmtId="0" fontId="4" fillId="3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phamngocphuongphuong_duytanrecycling_com/Documents/Chi%20ti&#7871;t%20chi%20ph&#237;%20CN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ổng hợp (2)"/>
      <sheetName val="Tổng hợp"/>
      <sheetName val="Sheet2"/>
      <sheetName val="Lương"/>
      <sheetName val="Khấu hao"/>
      <sheetName val="data chi phí NCPT"/>
      <sheetName val="Pivot chi phí chi tiế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Họ Tên</v>
          </cell>
          <cell r="C1" t="str">
            <v>Chuyên ngành</v>
          </cell>
          <cell r="D1" t="str">
            <v>Lương</v>
          </cell>
          <cell r="E1" t="str">
            <v>Ngày vào cty</v>
          </cell>
          <cell r="F1" t="str">
            <v>st</v>
          </cell>
          <cell r="G1" t="str">
            <v>st</v>
          </cell>
          <cell r="H1" t="str">
            <v>Số tháng làm việc tính đến 31/12/2022</v>
          </cell>
        </row>
        <row r="2">
          <cell r="B2" t="str">
            <v>Đái Trung Quân</v>
          </cell>
          <cell r="C2" t="str">
            <v>Cơ điện tử</v>
          </cell>
          <cell r="D2">
            <v>1206869418</v>
          </cell>
          <cell r="E2" t="str">
            <v>26/09/2021</v>
          </cell>
          <cell r="F2">
            <v>12</v>
          </cell>
          <cell r="G2">
            <v>12</v>
          </cell>
          <cell r="H2">
            <v>15.366666666666667</v>
          </cell>
        </row>
        <row r="3">
          <cell r="B3" t="str">
            <v>Võ Thị Bích Phượng</v>
          </cell>
          <cell r="C3" t="str">
            <v>Hóa Học</v>
          </cell>
          <cell r="D3">
            <v>342000520</v>
          </cell>
          <cell r="E3" t="str">
            <v>18/04/2022</v>
          </cell>
          <cell r="F3">
            <v>9</v>
          </cell>
          <cell r="G3">
            <v>9</v>
          </cell>
          <cell r="H3">
            <v>8.5666666666666664</v>
          </cell>
        </row>
        <row r="4">
          <cell r="B4" t="str">
            <v>Trần Minh Hoàng</v>
          </cell>
          <cell r="C4" t="str">
            <v>Hoá Polymer</v>
          </cell>
          <cell r="D4">
            <v>346495500</v>
          </cell>
          <cell r="E4" t="str">
            <v>26/08/2020</v>
          </cell>
          <cell r="F4">
            <v>12</v>
          </cell>
          <cell r="G4">
            <v>12</v>
          </cell>
          <cell r="H4">
            <v>28.566666666666666</v>
          </cell>
        </row>
        <row r="5">
          <cell r="B5" t="str">
            <v>Đặng Lê Châu Đoan</v>
          </cell>
          <cell r="C5" t="str">
            <v>Khoa Học Vật Liệu</v>
          </cell>
          <cell r="D5">
            <v>325842690</v>
          </cell>
          <cell r="E5" t="str">
            <v>26/08/2020</v>
          </cell>
          <cell r="F5">
            <v>12</v>
          </cell>
          <cell r="G5">
            <v>12</v>
          </cell>
          <cell r="H5">
            <v>28.566666666666666</v>
          </cell>
        </row>
        <row r="6">
          <cell r="B6" t="str">
            <v>Sầm Minh Tuấn</v>
          </cell>
          <cell r="C6" t="str">
            <v>Vật liệu Polymer</v>
          </cell>
          <cell r="D6">
            <v>299674539</v>
          </cell>
          <cell r="E6" t="str">
            <v>26/08/2020</v>
          </cell>
          <cell r="F6">
            <v>12</v>
          </cell>
          <cell r="G6">
            <v>12</v>
          </cell>
          <cell r="H6">
            <v>28.566666666666666</v>
          </cell>
        </row>
        <row r="7">
          <cell r="B7" t="str">
            <v>Cao Thùy Linh</v>
          </cell>
          <cell r="C7" t="str">
            <v>Kỹ thuật hóa học</v>
          </cell>
          <cell r="D7">
            <v>160887039</v>
          </cell>
          <cell r="E7" t="str">
            <v>22/02/2021</v>
          </cell>
          <cell r="F7">
            <v>12</v>
          </cell>
          <cell r="G7">
            <v>12</v>
          </cell>
          <cell r="H7">
            <v>22.566666666666666</v>
          </cell>
        </row>
        <row r="8">
          <cell r="B8" t="str">
            <v>Phạm Thị Kim Hồng</v>
          </cell>
          <cell r="C8" t="str">
            <v>Công nghệ hóa học</v>
          </cell>
          <cell r="D8">
            <v>154319230</v>
          </cell>
          <cell r="E8" t="str">
            <v>26/11/2021</v>
          </cell>
          <cell r="F8">
            <v>12</v>
          </cell>
          <cell r="G8">
            <v>12</v>
          </cell>
          <cell r="H8">
            <v>13.333333333333334</v>
          </cell>
        </row>
        <row r="9">
          <cell r="B9" t="str">
            <v>Nguyễn Ngọc Sơn</v>
          </cell>
          <cell r="C9" t="str">
            <v>Công nghệ kỹ thuật hóa học</v>
          </cell>
          <cell r="D9">
            <v>122325843</v>
          </cell>
          <cell r="E9" t="str">
            <v>21/02/2022</v>
          </cell>
          <cell r="F9">
            <v>10</v>
          </cell>
          <cell r="G9">
            <v>10</v>
          </cell>
          <cell r="H9">
            <v>10.433333333333334</v>
          </cell>
        </row>
        <row r="10">
          <cell r="B10" t="str">
            <v>Nguyễn Thị Quỳnh Như</v>
          </cell>
          <cell r="C10" t="str">
            <v>Công nghệ Thực phẩm</v>
          </cell>
          <cell r="D10">
            <v>84542308</v>
          </cell>
          <cell r="E10" t="str">
            <v>28/03/2022</v>
          </cell>
          <cell r="F10">
            <v>9</v>
          </cell>
          <cell r="G10">
            <v>9</v>
          </cell>
          <cell r="H10">
            <v>9.2666666666666675</v>
          </cell>
        </row>
        <row r="11">
          <cell r="B11" t="str">
            <v>Đặng Thị Anh Thư</v>
          </cell>
          <cell r="C11" t="str">
            <v>Kỹ thuật hóa học</v>
          </cell>
          <cell r="D11">
            <v>15025640</v>
          </cell>
          <cell r="E11" t="str">
            <v>01/11/2022</v>
          </cell>
          <cell r="F11">
            <v>2</v>
          </cell>
          <cell r="G11">
            <v>2</v>
          </cell>
          <cell r="H11">
            <v>2</v>
          </cell>
        </row>
        <row r="12">
          <cell r="B12" t="str">
            <v>Lê Thị Châu Phụng</v>
          </cell>
          <cell r="C12" t="str">
            <v>Công nghệ kỹ thuật hóa học</v>
          </cell>
          <cell r="D12">
            <v>22868894</v>
          </cell>
          <cell r="E12" t="str">
            <v>01/11/2022</v>
          </cell>
          <cell r="F12">
            <v>2</v>
          </cell>
          <cell r="G12">
            <v>2</v>
          </cell>
          <cell r="H12">
            <v>2</v>
          </cell>
        </row>
        <row r="13">
          <cell r="B13" t="str">
            <v>Phan Hồ Thủy</v>
          </cell>
          <cell r="C13" t="str">
            <v>Công nghệ Hoá học</v>
          </cell>
          <cell r="D13">
            <v>18846154</v>
          </cell>
          <cell r="E13" t="str">
            <v>18/11/2022</v>
          </cell>
          <cell r="F13">
            <v>1</v>
          </cell>
          <cell r="G13">
            <v>1</v>
          </cell>
          <cell r="H13">
            <v>1.4333333333333333</v>
          </cell>
        </row>
        <row r="14">
          <cell r="B14" t="str">
            <v>Nguyễn Trung Tài</v>
          </cell>
          <cell r="C14" t="str">
            <v>Công Nghệ Vật Liệu</v>
          </cell>
          <cell r="D14">
            <v>2598846</v>
          </cell>
          <cell r="E14" t="str">
            <v>16/12/2022</v>
          </cell>
          <cell r="F14">
            <v>1</v>
          </cell>
          <cell r="G14">
            <v>1</v>
          </cell>
          <cell r="H14">
            <v>0.5</v>
          </cell>
        </row>
        <row r="15">
          <cell r="B15" t="str">
            <v>Lê Văn Ty</v>
          </cell>
          <cell r="C15" t="str">
            <v>Hóa Học</v>
          </cell>
          <cell r="D15">
            <v>473207921</v>
          </cell>
          <cell r="E15" t="str">
            <v>26/04/2020</v>
          </cell>
          <cell r="F15">
            <v>12</v>
          </cell>
          <cell r="G15">
            <v>12</v>
          </cell>
          <cell r="H15">
            <v>32.633333333333333</v>
          </cell>
        </row>
        <row r="16">
          <cell r="B16" t="str">
            <v>Võ Tiến Dũng</v>
          </cell>
          <cell r="C16" t="str">
            <v>Điện - Điện tử</v>
          </cell>
          <cell r="D16">
            <v>250336546</v>
          </cell>
          <cell r="E16" t="str">
            <v>26/10/2021</v>
          </cell>
          <cell r="F16">
            <v>12</v>
          </cell>
          <cell r="G16">
            <v>12</v>
          </cell>
          <cell r="H16">
            <v>14.366666666666667</v>
          </cell>
        </row>
        <row r="17">
          <cell r="B17" t="str">
            <v>Đổ Quốc Sang</v>
          </cell>
          <cell r="C17" t="str">
            <v>Công nghệ chế tạo máy</v>
          </cell>
          <cell r="D17">
            <v>211640919</v>
          </cell>
          <cell r="E17" t="str">
            <v>15/12/2021</v>
          </cell>
          <cell r="F17">
            <v>12</v>
          </cell>
          <cell r="G17">
            <v>12</v>
          </cell>
          <cell r="H17">
            <v>12.7</v>
          </cell>
        </row>
        <row r="18">
          <cell r="B18" t="str">
            <v>Ngô Quốc Huy</v>
          </cell>
          <cell r="C18" t="str">
            <v>Cơ điện tử</v>
          </cell>
          <cell r="D18">
            <v>231511566</v>
          </cell>
          <cell r="E18" t="str">
            <v>11/02/2022</v>
          </cell>
          <cell r="F18">
            <v>11</v>
          </cell>
          <cell r="G18">
            <v>11</v>
          </cell>
          <cell r="H18">
            <v>10.766666666666667</v>
          </cell>
        </row>
        <row r="19">
          <cell r="B19" t="str">
            <v>Lê Minh Thanh</v>
          </cell>
          <cell r="C19" t="str">
            <v>Khoa học môi trường</v>
          </cell>
          <cell r="D19">
            <v>218273703</v>
          </cell>
          <cell r="E19" t="str">
            <v>15/02/2022</v>
          </cell>
          <cell r="F19">
            <v>11</v>
          </cell>
          <cell r="G19">
            <v>11</v>
          </cell>
          <cell r="H19">
            <v>10.633333333333333</v>
          </cell>
        </row>
        <row r="20">
          <cell r="B20" t="str">
            <v>Trần Văn Hớn</v>
          </cell>
          <cell r="C20" t="str">
            <v>Công nghệ Kỹ thuật cơ khí</v>
          </cell>
          <cell r="D20">
            <v>134446919</v>
          </cell>
          <cell r="E20" t="str">
            <v>10/03/2022</v>
          </cell>
          <cell r="F20">
            <v>10</v>
          </cell>
          <cell r="G20">
            <v>10</v>
          </cell>
          <cell r="H20">
            <v>9.8666666666666671</v>
          </cell>
        </row>
        <row r="21">
          <cell r="B21" t="str">
            <v>Huỳnh Hữu Lộc</v>
          </cell>
          <cell r="C21" t="str">
            <v>Khoa học môi trường</v>
          </cell>
          <cell r="D21">
            <v>91190800</v>
          </cell>
          <cell r="E21" t="str">
            <v>04/05/2022</v>
          </cell>
          <cell r="F21">
            <v>8</v>
          </cell>
          <cell r="G21">
            <v>8</v>
          </cell>
          <cell r="H21">
            <v>8.0333333333333332</v>
          </cell>
        </row>
        <row r="22">
          <cell r="B22" t="str">
            <v>Nguyễn Tấn Phư</v>
          </cell>
          <cell r="C22" t="str">
            <v>Chế tạo máy</v>
          </cell>
          <cell r="D22">
            <v>85057326</v>
          </cell>
          <cell r="E22" t="str">
            <v>20/06/2022</v>
          </cell>
          <cell r="F22">
            <v>6</v>
          </cell>
          <cell r="G22">
            <v>6</v>
          </cell>
          <cell r="H22">
            <v>6.4666666666666668</v>
          </cell>
        </row>
        <row r="23">
          <cell r="B23" t="str">
            <v>Nguyễn Văn Châu Tuấn</v>
          </cell>
          <cell r="C23" t="str">
            <v>Khoa học môi trường</v>
          </cell>
          <cell r="D23">
            <v>6998460</v>
          </cell>
          <cell r="E23" t="str">
            <v>28/11/2022</v>
          </cell>
          <cell r="F23">
            <v>1</v>
          </cell>
          <cell r="G23">
            <v>1</v>
          </cell>
          <cell r="H23">
            <v>1.1000000000000001</v>
          </cell>
        </row>
        <row r="24">
          <cell r="B24" t="str">
            <v>Ngô Tuấn Nghĩa</v>
          </cell>
          <cell r="C24" t="str">
            <v>Hoá Polymer</v>
          </cell>
          <cell r="D24">
            <v>90553846</v>
          </cell>
          <cell r="E24" t="str">
            <v>12/09/2022</v>
          </cell>
          <cell r="F24">
            <v>4</v>
          </cell>
          <cell r="G24">
            <v>4</v>
          </cell>
          <cell r="H24">
            <v>3.6666666666666665</v>
          </cell>
        </row>
        <row r="25">
          <cell r="B25" t="str">
            <v>Huỳnh Quốc Hậu</v>
          </cell>
          <cell r="C25" t="str">
            <v>Kỹ thuật Chế tạo</v>
          </cell>
          <cell r="D25">
            <v>59615384</v>
          </cell>
          <cell r="E25" t="str">
            <v>03/10/2022</v>
          </cell>
          <cell r="F25">
            <v>3</v>
          </cell>
          <cell r="G25">
            <v>3</v>
          </cell>
          <cell r="H25">
            <v>2.9666666666666668</v>
          </cell>
        </row>
        <row r="26">
          <cell r="B26" t="str">
            <v>Nguyễn Thị Huỳnh Như</v>
          </cell>
          <cell r="C26" t="str">
            <v>Khoa Học Vật Liệu</v>
          </cell>
          <cell r="D26">
            <v>69733334</v>
          </cell>
          <cell r="E26" t="str">
            <v>26/04/2022</v>
          </cell>
          <cell r="F26">
            <v>8</v>
          </cell>
          <cell r="G26">
            <v>8</v>
          </cell>
          <cell r="H26">
            <v>8.3000000000000007</v>
          </cell>
        </row>
        <row r="27">
          <cell r="D27">
            <v>5024863345</v>
          </cell>
        </row>
      </sheetData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ương, Phạm Ngọc Phương" refreshedDate="45160.59890138889" createdVersion="8" refreshedVersion="8" minRefreshableVersion="3" recordCount="25" xr:uid="{00000000-000A-0000-FFFF-FFFF00000000}">
  <cacheSource type="worksheet">
    <worksheetSource ref="A1:G34" sheet="Detail"/>
  </cacheSource>
  <cacheFields count="7">
    <cacheField name="STT" numFmtId="0">
      <sharedItems containsSemiMixedTypes="0" containsString="0" containsNumber="1" containsInteger="1" minValue="1" maxValue="25"/>
    </cacheField>
    <cacheField name="Họ và tên" numFmtId="0">
      <sharedItems/>
    </cacheField>
    <cacheField name="Bằng" numFmtId="0">
      <sharedItems containsBlank="1"/>
    </cacheField>
    <cacheField name="Tốt nghiệp trường đại học" numFmtId="0">
      <sharedItems containsBlank="1" count="10">
        <s v="Trường ĐH Bách khoa TP.HCM"/>
        <s v="Trường ĐH Khoa học tự nhiên TP. HCM"/>
        <s v="Trường Đại học GACHON (Hàn Quốc)"/>
        <s v="Trường Đại học Cần Thơ"/>
        <s v="Trường ĐH Kỹ thuật công nghệ TP.HCM"/>
        <s v="Trường Đại học Tôn Đức Thắng"/>
        <s v="Trường ĐH công nghiệp thực phẩm TP. HCM"/>
        <s v="Trường Đại học Khoa học - Đại học Huế"/>
        <s v="Trường ĐH Sư phạm Kỹ thuật TP. HCM"/>
        <m/>
      </sharedItems>
    </cacheField>
    <cacheField name="Chuyên ngành" numFmtId="0">
      <sharedItems count="17">
        <s v="Cơ điện tử"/>
        <s v="Hoá Polymer"/>
        <s v="Khoa học vật liệu"/>
        <s v="Vật liệu Polymer"/>
        <s v="Kỹ thuật hóa học"/>
        <s v="Công nghệ hóa học"/>
        <s v="Công nghệ kỹ thuật hóa học"/>
        <s v="Hóa học"/>
        <s v="Công nghệ hoá học"/>
        <s v="Công nghệ Vật liệu"/>
        <s v="Điện - Điện tử"/>
        <s v="Công nghệ chế tạo máy"/>
        <s v="Công nghệ Thực phẩm"/>
        <s v="Khoa học môi trường"/>
        <s v="Công nghệ Kỹ thuật cơ khí"/>
        <s v="Chế tạo máy"/>
        <s v="Kỹ thuật Chế tạo"/>
      </sharedItems>
    </cacheField>
    <cacheField name="Số tháng" numFmtId="0">
      <sharedItems containsSemiMixedTypes="0" containsString="0" containsNumber="1" containsInteger="1" minValue="1" maxValue="33" count="16">
        <n v="12"/>
        <n v="11"/>
        <n v="9"/>
        <n v="2"/>
        <n v="1"/>
        <n v="10"/>
        <n v="7"/>
        <n v="4"/>
        <n v="3"/>
        <n v="13" u="1"/>
        <n v="14" u="1"/>
        <n v="15" u="1"/>
        <n v="16" u="1"/>
        <n v="33" u="1"/>
        <n v="23" u="1"/>
        <n v="29" u="1"/>
      </sharedItems>
    </cacheField>
    <cacheField name="Chọn" numFmtId="0">
      <sharedItems count="2">
        <s v="Chọn"/>
        <s v="Không chọ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Đái Trung Quân"/>
    <s v="Kỹ sư"/>
    <x v="0"/>
    <x v="0"/>
    <x v="0"/>
    <x v="0"/>
  </r>
  <r>
    <n v="2"/>
    <s v="Trần Minh Hoàng"/>
    <s v="Kỹ sư"/>
    <x v="0"/>
    <x v="1"/>
    <x v="0"/>
    <x v="0"/>
  </r>
  <r>
    <n v="3"/>
    <s v="Đặng Lê Châu Đoan"/>
    <s v="Kỹ sư"/>
    <x v="1"/>
    <x v="2"/>
    <x v="0"/>
    <x v="0"/>
  </r>
  <r>
    <n v="4"/>
    <s v="Sầm Minh Tuấn"/>
    <s v="Kỹ sư"/>
    <x v="0"/>
    <x v="3"/>
    <x v="0"/>
    <x v="0"/>
  </r>
  <r>
    <n v="5"/>
    <s v="Cao Thùy Linh"/>
    <s v="Kỹ sư"/>
    <x v="0"/>
    <x v="4"/>
    <x v="0"/>
    <x v="0"/>
  </r>
  <r>
    <n v="6"/>
    <s v="Phạm Thị Kim Hồng"/>
    <s v="Thạc sĩ"/>
    <x v="2"/>
    <x v="5"/>
    <x v="0"/>
    <x v="0"/>
  </r>
  <r>
    <n v="7"/>
    <s v="Nguyễn Ngọc Sơn"/>
    <s v="Kỹ sư"/>
    <x v="3"/>
    <x v="6"/>
    <x v="1"/>
    <x v="0"/>
  </r>
  <r>
    <n v="8"/>
    <s v="Võ Thị Bích Phượng"/>
    <s v="Kỹ sư"/>
    <x v="4"/>
    <x v="7"/>
    <x v="2"/>
    <x v="0"/>
  </r>
  <r>
    <n v="9"/>
    <s v="Nguyễn Thị Huỳnh Như"/>
    <s v="Kỹ sư"/>
    <x v="1"/>
    <x v="2"/>
    <x v="2"/>
    <x v="0"/>
  </r>
  <r>
    <n v="10"/>
    <s v="Đặng Thị Anh Thư"/>
    <s v="Kỹ sư"/>
    <x v="0"/>
    <x v="4"/>
    <x v="3"/>
    <x v="0"/>
  </r>
  <r>
    <n v="11"/>
    <s v="Phan Hồ Thủy"/>
    <s v="Kỹ sư"/>
    <x v="5"/>
    <x v="8"/>
    <x v="3"/>
    <x v="0"/>
  </r>
  <r>
    <n v="12"/>
    <s v="Nguyễn Trung Tài"/>
    <s v="Kỹ sư"/>
    <x v="6"/>
    <x v="9"/>
    <x v="4"/>
    <x v="0"/>
  </r>
  <r>
    <n v="13"/>
    <s v="Lê Văn Ty"/>
    <s v="Thạc sĩ"/>
    <x v="7"/>
    <x v="7"/>
    <x v="0"/>
    <x v="0"/>
  </r>
  <r>
    <n v="14"/>
    <s v="Võ Tiến Dũng"/>
    <s v="Kỹ sư"/>
    <x v="8"/>
    <x v="10"/>
    <x v="0"/>
    <x v="0"/>
  </r>
  <r>
    <n v="15"/>
    <s v="Đổ Quốc Sang"/>
    <s v="Kỹ sư"/>
    <x v="8"/>
    <x v="11"/>
    <x v="0"/>
    <x v="0"/>
  </r>
  <r>
    <n v="16"/>
    <s v="Ngô Quốc Huy"/>
    <s v="Kỹ sư"/>
    <x v="8"/>
    <x v="0"/>
    <x v="1"/>
    <x v="0"/>
  </r>
  <r>
    <n v="17"/>
    <s v="Nguyễn Thị Quỳnh Như"/>
    <m/>
    <x v="9"/>
    <x v="12"/>
    <x v="5"/>
    <x v="1"/>
  </r>
  <r>
    <n v="18"/>
    <s v="Lê Thị Châu Phụng"/>
    <m/>
    <x v="9"/>
    <x v="6"/>
    <x v="3"/>
    <x v="1"/>
  </r>
  <r>
    <n v="19"/>
    <s v="Lê Minh Thanh"/>
    <m/>
    <x v="9"/>
    <x v="13"/>
    <x v="1"/>
    <x v="1"/>
  </r>
  <r>
    <n v="20"/>
    <s v="Trần Văn Hớn"/>
    <m/>
    <x v="9"/>
    <x v="14"/>
    <x v="5"/>
    <x v="1"/>
  </r>
  <r>
    <n v="21"/>
    <s v="Huỳnh Hữu Lộc"/>
    <m/>
    <x v="9"/>
    <x v="13"/>
    <x v="2"/>
    <x v="1"/>
  </r>
  <r>
    <n v="22"/>
    <s v="Nguyễn Tấn Phư"/>
    <m/>
    <x v="9"/>
    <x v="15"/>
    <x v="6"/>
    <x v="1"/>
  </r>
  <r>
    <n v="23"/>
    <s v="Nguyễn Văn Châu Tuấn"/>
    <m/>
    <x v="9"/>
    <x v="13"/>
    <x v="3"/>
    <x v="1"/>
  </r>
  <r>
    <n v="24"/>
    <s v="Ngô Tuấn Nghĩa"/>
    <m/>
    <x v="9"/>
    <x v="1"/>
    <x v="7"/>
    <x v="1"/>
  </r>
  <r>
    <n v="25"/>
    <s v="Huỳnh Quốc Hậu"/>
    <m/>
    <x v="9"/>
    <x v="16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9" firstHeaderRow="1" firstDataRow="1" firstDataCol="3"/>
  <pivotFields count="7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10">
        <item x="3"/>
        <item x="2"/>
        <item x="7"/>
        <item x="5"/>
        <item x="0"/>
        <item x="6"/>
        <item x="1"/>
        <item x="4"/>
        <item x="8"/>
        <item x="9"/>
      </items>
    </pivotField>
    <pivotField axis="axisRow" compact="0" outline="0" showAll="0" defaultSubtotal="0">
      <items count="17">
        <item x="15"/>
        <item x="0"/>
        <item x="11"/>
        <item x="8"/>
        <item x="5"/>
        <item x="14"/>
        <item x="6"/>
        <item x="12"/>
        <item x="9"/>
        <item x="10"/>
        <item x="7"/>
        <item x="1"/>
        <item x="13"/>
        <item x="2"/>
        <item x="16"/>
        <item x="4"/>
        <item x="3"/>
      </items>
    </pivotField>
    <pivotField axis="axisRow" compact="0" outline="0" showAll="0" defaultSubtotal="0">
      <items count="16">
        <item x="4"/>
        <item x="3"/>
        <item x="8"/>
        <item x="7"/>
        <item x="6"/>
        <item x="2"/>
        <item x="5"/>
        <item x="1"/>
        <item m="1" x="9"/>
        <item m="1" x="10"/>
        <item m="1" x="11"/>
        <item m="1" x="12"/>
        <item m="1" x="14"/>
        <item m="1" x="15"/>
        <item m="1" x="13"/>
        <item x="0"/>
      </items>
    </pivotField>
    <pivotField axis="axisRow" compact="0" outline="0" showAll="0" defaultSubtotal="0">
      <items count="2">
        <item x="0"/>
        <item x="1"/>
      </items>
    </pivotField>
  </pivotFields>
  <rowFields count="3">
    <field x="6"/>
    <field x="5"/>
    <field x="4"/>
  </rowFields>
  <rowItems count="26">
    <i>
      <x/>
      <x/>
      <x v="8"/>
    </i>
    <i r="1">
      <x v="1"/>
      <x v="3"/>
    </i>
    <i r="2">
      <x v="15"/>
    </i>
    <i r="1">
      <x v="5"/>
      <x v="10"/>
    </i>
    <i r="2">
      <x v="13"/>
    </i>
    <i r="1">
      <x v="7"/>
      <x v="1"/>
    </i>
    <i r="2">
      <x v="6"/>
    </i>
    <i r="1">
      <x v="15"/>
      <x v="1"/>
    </i>
    <i r="2">
      <x v="2"/>
    </i>
    <i r="2">
      <x v="4"/>
    </i>
    <i r="2">
      <x v="9"/>
    </i>
    <i r="2">
      <x v="10"/>
    </i>
    <i r="2">
      <x v="11"/>
    </i>
    <i r="2">
      <x v="13"/>
    </i>
    <i r="2">
      <x v="15"/>
    </i>
    <i r="2">
      <x v="16"/>
    </i>
    <i>
      <x v="1"/>
      <x v="1"/>
      <x v="6"/>
    </i>
    <i r="2">
      <x v="12"/>
    </i>
    <i r="1">
      <x v="2"/>
      <x v="14"/>
    </i>
    <i r="1">
      <x v="3"/>
      <x v="11"/>
    </i>
    <i r="1">
      <x v="4"/>
      <x/>
    </i>
    <i r="1">
      <x v="5"/>
      <x v="12"/>
    </i>
    <i r="1">
      <x v="6"/>
      <x v="5"/>
    </i>
    <i r="2">
      <x v="7"/>
    </i>
    <i r="1">
      <x v="7"/>
      <x v="12"/>
    </i>
    <i t="grand">
      <x/>
    </i>
  </rowItems>
  <colItems count="1">
    <i/>
  </colItems>
  <dataFields count="1">
    <dataField name="Count of Họ và tên" fld="1" subtotal="count" baseField="0" baseItem="0"/>
  </dataFields>
  <formats count="44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6" type="button" dataOnly="0" labelOnly="1" outline="0" axis="axisRow" fieldPosition="0"/>
    </format>
    <format dxfId="40">
      <pivotArea field="5" type="button" dataOnly="0" labelOnly="1" outline="0" axis="axisRow" fieldPosition="1"/>
    </format>
    <format dxfId="39">
      <pivotArea field="4" type="button" dataOnly="0" labelOnly="1" outline="0" axis="axisRow" fieldPosition="2"/>
    </format>
    <format dxfId="38">
      <pivotArea dataOnly="0" labelOnly="1" outline="0" fieldPosition="0">
        <references count="1">
          <reference field="6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2">
          <reference field="5" count="11">
            <x v="0"/>
            <x v="1"/>
            <x v="5"/>
            <x v="7"/>
            <x v="8"/>
            <x v="9"/>
            <x v="10"/>
            <x v="11"/>
            <x v="12"/>
            <x v="13"/>
            <x v="14"/>
          </reference>
          <reference field="6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5" count="7">
            <x v="1"/>
            <x v="2"/>
            <x v="3"/>
            <x v="4"/>
            <x v="5"/>
            <x v="6"/>
            <x v="7"/>
          </reference>
          <reference field="6" count="1" selected="0">
            <x v="1"/>
          </reference>
        </references>
      </pivotArea>
    </format>
    <format dxfId="34">
      <pivotArea dataOnly="0" labelOnly="1" outline="0" fieldPosition="0">
        <references count="3">
          <reference field="4" count="1">
            <x v="8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3">
      <pivotArea dataOnly="0" labelOnly="1" outline="0" fieldPosition="0">
        <references count="3">
          <reference field="4" count="2">
            <x v="3"/>
            <x v="15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2">
      <pivotArea dataOnly="0" labelOnly="1" outline="0" fieldPosition="0">
        <references count="3">
          <reference field="4" count="2">
            <x v="10"/>
            <x v="13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31">
      <pivotArea dataOnly="0" labelOnly="1" outline="0" fieldPosition="0">
        <references count="3">
          <reference field="4" count="2">
            <x v="1"/>
            <x v="6"/>
          </reference>
          <reference field="5" count="1" selected="0">
            <x v="7"/>
          </reference>
          <reference field="6" count="1" selected="0">
            <x v="0"/>
          </reference>
        </references>
      </pivotArea>
    </format>
    <format dxfId="30">
      <pivotArea dataOnly="0" labelOnly="1" outline="0" fieldPosition="0">
        <references count="3">
          <reference field="4" count="1">
            <x v="2"/>
          </reference>
          <reference field="5" count="1" selected="0">
            <x v="8"/>
          </reference>
          <reference field="6" count="1" selected="0">
            <x v="0"/>
          </reference>
        </references>
      </pivotArea>
    </format>
    <format dxfId="29">
      <pivotArea dataOnly="0" labelOnly="1" outline="0" fieldPosition="0">
        <references count="3">
          <reference field="4" count="1">
            <x v="4"/>
          </reference>
          <reference field="5" count="1" selected="0">
            <x v="9"/>
          </reference>
          <reference field="6" count="1" selected="0">
            <x v="0"/>
          </reference>
        </references>
      </pivotArea>
    </format>
    <format dxfId="28">
      <pivotArea dataOnly="0" labelOnly="1" outline="0" fieldPosition="0">
        <references count="3">
          <reference field="4" count="1">
            <x v="9"/>
          </reference>
          <reference field="5" count="1" selected="0">
            <x v="10"/>
          </reference>
          <reference field="6" count="1" selected="0">
            <x v="0"/>
          </reference>
        </references>
      </pivotArea>
    </format>
    <format dxfId="27">
      <pivotArea dataOnly="0" labelOnly="1" outline="0" fieldPosition="0">
        <references count="3">
          <reference field="4" count="1">
            <x v="1"/>
          </reference>
          <reference field="5" count="1" selected="0">
            <x v="11"/>
          </reference>
          <reference field="6" count="1" selected="0">
            <x v="0"/>
          </reference>
        </references>
      </pivotArea>
    </format>
    <format dxfId="26">
      <pivotArea dataOnly="0" labelOnly="1" outline="0" fieldPosition="0">
        <references count="3">
          <reference field="4" count="1">
            <x v="15"/>
          </reference>
          <reference field="5" count="1" selected="0">
            <x v="12"/>
          </reference>
          <reference field="6" count="1" selected="0">
            <x v="0"/>
          </reference>
        </references>
      </pivotArea>
    </format>
    <format dxfId="25">
      <pivotArea dataOnly="0" labelOnly="1" outline="0" fieldPosition="0">
        <references count="3">
          <reference field="4" count="3">
            <x v="11"/>
            <x v="13"/>
            <x v="16"/>
          </reference>
          <reference field="5" count="1" selected="0">
            <x v="13"/>
          </reference>
          <reference field="6" count="1" selected="0">
            <x v="0"/>
          </reference>
        </references>
      </pivotArea>
    </format>
    <format dxfId="24">
      <pivotArea dataOnly="0" labelOnly="1" outline="0" fieldPosition="0">
        <references count="3">
          <reference field="4" count="1">
            <x v="10"/>
          </reference>
          <reference field="5" count="1" selected="0">
            <x v="14"/>
          </reference>
          <reference field="6" count="1" selected="0">
            <x v="0"/>
          </reference>
        </references>
      </pivotArea>
    </format>
    <format dxfId="23">
      <pivotArea dataOnly="0" labelOnly="1" outline="0" fieldPosition="0">
        <references count="3">
          <reference field="4" count="2">
            <x v="6"/>
            <x v="12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22">
      <pivotArea dataOnly="0" labelOnly="1" outline="0" fieldPosition="0">
        <references count="3">
          <reference field="4" count="1">
            <x v="14"/>
          </reference>
          <reference field="5" count="1" selected="0">
            <x v="2"/>
          </reference>
          <reference field="6" count="1" selected="0">
            <x v="1"/>
          </reference>
        </references>
      </pivotArea>
    </format>
    <format dxfId="21">
      <pivotArea dataOnly="0" labelOnly="1" outline="0" fieldPosition="0">
        <references count="3">
          <reference field="4" count="1">
            <x v="11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20">
      <pivotArea dataOnly="0" labelOnly="1" outline="0" fieldPosition="0">
        <references count="3">
          <reference field="4" count="1">
            <x v="0"/>
          </reference>
          <reference field="5" count="1" selected="0">
            <x v="4"/>
          </reference>
          <reference field="6" count="1" selected="0">
            <x v="1"/>
          </reference>
        </references>
      </pivotArea>
    </format>
    <format dxfId="19">
      <pivotArea dataOnly="0" labelOnly="1" outline="0" fieldPosition="0">
        <references count="3">
          <reference field="4" count="1">
            <x v="12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18">
      <pivotArea dataOnly="0" labelOnly="1" outline="0" fieldPosition="0">
        <references count="3">
          <reference field="4" count="2">
            <x v="5"/>
            <x v="7"/>
          </reference>
          <reference field="5" count="1" selected="0">
            <x v="6"/>
          </reference>
          <reference field="6" count="1" selected="0">
            <x v="1"/>
          </reference>
        </references>
      </pivotArea>
    </format>
    <format dxfId="17">
      <pivotArea dataOnly="0" labelOnly="1" outline="0" fieldPosition="0">
        <references count="3">
          <reference field="4" count="1">
            <x v="12"/>
          </reference>
          <reference field="5" count="1" selected="0">
            <x v="7"/>
          </reference>
          <reference field="6" count="1" selected="0">
            <x v="1"/>
          </reference>
        </references>
      </pivotArea>
    </format>
    <format dxfId="16">
      <pivotArea dataOnly="0" labelOnly="1" outline="0" axis="axisValues" fieldPosition="0"/>
    </format>
    <format dxfId="15">
      <pivotArea outline="0" fieldPosition="0">
        <references count="3">
          <reference field="4" count="3" selected="0">
            <x v="3"/>
            <x v="8"/>
            <x v="15"/>
          </reference>
          <reference field="5" count="2" selected="0">
            <x v="0"/>
            <x v="1"/>
          </reference>
          <reference field="6" count="1" selected="0">
            <x v="0"/>
          </reference>
        </references>
      </pivotArea>
    </format>
    <format dxfId="14">
      <pivotArea dataOnly="0" labelOnly="1" outline="0" fieldPosition="0">
        <references count="2">
          <reference field="5" count="2">
            <x v="0"/>
            <x v="1"/>
          </reference>
          <reference field="6" count="1" selected="0">
            <x v="0"/>
          </reference>
        </references>
      </pivotArea>
    </format>
    <format dxfId="13">
      <pivotArea dataOnly="0" labelOnly="1" outline="0" fieldPosition="0">
        <references count="3">
          <reference field="4" count="1">
            <x v="8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12">
      <pivotArea dataOnly="0" labelOnly="1" outline="0" fieldPosition="0">
        <references count="3">
          <reference field="4" count="2">
            <x v="3"/>
            <x v="15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11">
      <pivotArea outline="0" fieldPosition="0">
        <references count="3">
          <reference field="4" count="3" selected="0">
            <x v="5"/>
            <x v="7"/>
            <x v="12"/>
          </reference>
          <reference field="5" count="3" selected="0">
            <x v="5"/>
            <x v="6"/>
            <x v="7"/>
          </reference>
          <reference field="6" count="1" selected="0">
            <x v="1"/>
          </reference>
        </references>
      </pivotArea>
    </format>
    <format dxfId="10">
      <pivotArea dataOnly="0" labelOnly="1" outline="0" fieldPosition="0">
        <references count="2">
          <reference field="5" count="3">
            <x v="5"/>
            <x v="6"/>
            <x v="7"/>
          </reference>
          <reference field="6" count="1" selected="0">
            <x v="1"/>
          </reference>
        </references>
      </pivotArea>
    </format>
    <format dxfId="9">
      <pivotArea dataOnly="0" labelOnly="1" outline="0" fieldPosition="0">
        <references count="3">
          <reference field="4" count="1">
            <x v="12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8">
      <pivotArea dataOnly="0" labelOnly="1" outline="0" fieldPosition="0">
        <references count="3">
          <reference field="4" count="2">
            <x v="5"/>
            <x v="7"/>
          </reference>
          <reference field="5" count="1" selected="0">
            <x v="6"/>
          </reference>
          <reference field="6" count="1" selected="0">
            <x v="1"/>
          </reference>
        </references>
      </pivotArea>
    </format>
    <format dxfId="7">
      <pivotArea dataOnly="0" labelOnly="1" outline="0" fieldPosition="0">
        <references count="3">
          <reference field="4" count="1">
            <x v="12"/>
          </reference>
          <reference field="5" count="1" selected="0">
            <x v="7"/>
          </reference>
          <reference field="6" count="1" selected="0">
            <x v="1"/>
          </reference>
        </references>
      </pivotArea>
    </format>
    <format dxfId="6">
      <pivotArea outline="0" fieldPosition="0">
        <references count="3">
          <reference field="4" count="3" selected="0">
            <x v="5"/>
            <x v="7"/>
            <x v="12"/>
          </reference>
          <reference field="5" count="3" selected="0">
            <x v="5"/>
            <x v="6"/>
            <x v="7"/>
          </reference>
          <reference field="6" count="1" selected="0">
            <x v="1"/>
          </reference>
        </references>
      </pivotArea>
    </format>
    <format dxfId="5">
      <pivotArea dataOnly="0" labelOnly="1" outline="0" fieldPosition="0">
        <references count="2">
          <reference field="5" count="3">
            <x v="5"/>
            <x v="6"/>
            <x v="7"/>
          </reference>
          <reference field="6" count="1" selected="0">
            <x v="1"/>
          </reference>
        </references>
      </pivotArea>
    </format>
    <format dxfId="4">
      <pivotArea dataOnly="0" labelOnly="1" outline="0" fieldPosition="0">
        <references count="3">
          <reference field="4" count="1">
            <x v="12"/>
          </reference>
          <reference field="5" count="1" selected="0">
            <x v="5"/>
          </reference>
          <reference field="6" count="1" selected="0">
            <x v="1"/>
          </reference>
        </references>
      </pivotArea>
    </format>
    <format dxfId="3">
      <pivotArea dataOnly="0" labelOnly="1" outline="0" fieldPosition="0">
        <references count="3">
          <reference field="4" count="2">
            <x v="5"/>
            <x v="7"/>
          </reference>
          <reference field="5" count="1" selected="0">
            <x v="6"/>
          </reference>
          <reference field="6" count="1" selected="0">
            <x v="1"/>
          </reference>
        </references>
      </pivotArea>
    </format>
    <format dxfId="2">
      <pivotArea dataOnly="0" labelOnly="1" outline="0" fieldPosition="0">
        <references count="3">
          <reference field="4" count="1">
            <x v="12"/>
          </reference>
          <reference field="5" count="1" selected="0">
            <x v="7"/>
          </reference>
          <reference field="6" count="1" selected="0">
            <x v="1"/>
          </reference>
        </references>
      </pivotArea>
    </format>
    <format dxfId="1">
      <pivotArea dataOnly="0" labelOnly="1" outline="0" fieldPosition="0">
        <references count="3">
          <reference field="4" count="1">
            <x v="8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0">
      <pivotArea dataOnly="0" labelOnly="1" outline="0" fieldPosition="0">
        <references count="3">
          <reference field="4" count="2">
            <x v="3"/>
            <x v="15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9"/>
  <sheetViews>
    <sheetView workbookViewId="0">
      <selection activeCell="C36" sqref="C36"/>
    </sheetView>
  </sheetViews>
  <sheetFormatPr defaultRowHeight="14.5" x14ac:dyDescent="0.35"/>
  <cols>
    <col min="1" max="1" width="14.26953125" customWidth="1"/>
    <col min="2" max="2" width="16.6328125" bestFit="1" customWidth="1"/>
    <col min="3" max="3" width="24.08984375" bestFit="1" customWidth="1"/>
    <col min="4" max="5" width="16.6328125" bestFit="1" customWidth="1"/>
  </cols>
  <sheetData>
    <row r="3" spans="1:4" x14ac:dyDescent="0.35">
      <c r="A3" s="7" t="s">
        <v>6</v>
      </c>
      <c r="B3" s="7" t="s">
        <v>5</v>
      </c>
      <c r="C3" s="7" t="s">
        <v>4</v>
      </c>
      <c r="D3" s="8" t="s">
        <v>63</v>
      </c>
    </row>
    <row r="4" spans="1:4" x14ac:dyDescent="0.35">
      <c r="A4" s="8" t="s">
        <v>6</v>
      </c>
      <c r="B4" s="9">
        <v>1</v>
      </c>
      <c r="C4" s="9" t="s">
        <v>38</v>
      </c>
      <c r="D4" s="9">
        <v>1</v>
      </c>
    </row>
    <row r="5" spans="1:4" x14ac:dyDescent="0.35">
      <c r="A5" s="8"/>
      <c r="B5" s="9">
        <v>2</v>
      </c>
      <c r="C5" s="9" t="s">
        <v>35</v>
      </c>
      <c r="D5" s="9">
        <v>1</v>
      </c>
    </row>
    <row r="6" spans="1:4" x14ac:dyDescent="0.35">
      <c r="A6" s="8"/>
      <c r="B6" s="9"/>
      <c r="C6" s="9" t="s">
        <v>19</v>
      </c>
      <c r="D6" s="9">
        <v>1</v>
      </c>
    </row>
    <row r="7" spans="1:4" x14ac:dyDescent="0.35">
      <c r="A7" s="8"/>
      <c r="B7" s="8">
        <v>9</v>
      </c>
      <c r="C7" s="8" t="s">
        <v>29</v>
      </c>
      <c r="D7" s="8">
        <v>1</v>
      </c>
    </row>
    <row r="8" spans="1:4" x14ac:dyDescent="0.35">
      <c r="A8" s="8"/>
      <c r="B8" s="8"/>
      <c r="C8" s="8" t="s">
        <v>15</v>
      </c>
      <c r="D8" s="8">
        <v>1</v>
      </c>
    </row>
    <row r="9" spans="1:4" x14ac:dyDescent="0.35">
      <c r="A9" s="8"/>
      <c r="B9" s="8">
        <v>11</v>
      </c>
      <c r="C9" s="8" t="s">
        <v>10</v>
      </c>
      <c r="D9" s="8">
        <v>1</v>
      </c>
    </row>
    <row r="10" spans="1:4" x14ac:dyDescent="0.35">
      <c r="A10" s="8"/>
      <c r="B10" s="8"/>
      <c r="C10" s="8" t="s">
        <v>26</v>
      </c>
      <c r="D10" s="8">
        <v>1</v>
      </c>
    </row>
    <row r="11" spans="1:4" x14ac:dyDescent="0.35">
      <c r="A11" s="8"/>
      <c r="B11" s="8">
        <v>12</v>
      </c>
      <c r="C11" s="8" t="s">
        <v>10</v>
      </c>
      <c r="D11" s="8">
        <v>1</v>
      </c>
    </row>
    <row r="12" spans="1:4" x14ac:dyDescent="0.35">
      <c r="A12" s="8"/>
      <c r="B12" s="8"/>
      <c r="C12" s="8" t="s">
        <v>45</v>
      </c>
      <c r="D12" s="8">
        <v>1</v>
      </c>
    </row>
    <row r="13" spans="1:4" x14ac:dyDescent="0.35">
      <c r="A13" s="8"/>
      <c r="B13" s="8"/>
      <c r="C13" s="8" t="s">
        <v>23</v>
      </c>
      <c r="D13" s="8">
        <v>1</v>
      </c>
    </row>
    <row r="14" spans="1:4" x14ac:dyDescent="0.35">
      <c r="A14" s="8"/>
      <c r="B14" s="8"/>
      <c r="C14" s="8" t="s">
        <v>43</v>
      </c>
      <c r="D14" s="8">
        <v>1</v>
      </c>
    </row>
    <row r="15" spans="1:4" x14ac:dyDescent="0.35">
      <c r="A15" s="8"/>
      <c r="B15" s="8"/>
      <c r="C15" s="8" t="s">
        <v>29</v>
      </c>
      <c r="D15" s="8">
        <v>1</v>
      </c>
    </row>
    <row r="16" spans="1:4" x14ac:dyDescent="0.35">
      <c r="A16" s="8"/>
      <c r="B16" s="8"/>
      <c r="C16" s="8" t="s">
        <v>12</v>
      </c>
      <c r="D16" s="8">
        <v>1</v>
      </c>
    </row>
    <row r="17" spans="1:4" x14ac:dyDescent="0.35">
      <c r="A17" s="8"/>
      <c r="B17" s="8"/>
      <c r="C17" s="8" t="s">
        <v>15</v>
      </c>
      <c r="D17" s="8">
        <v>1</v>
      </c>
    </row>
    <row r="18" spans="1:4" x14ac:dyDescent="0.35">
      <c r="A18" s="8"/>
      <c r="B18" s="8"/>
      <c r="C18" s="8" t="s">
        <v>19</v>
      </c>
      <c r="D18" s="8">
        <v>1</v>
      </c>
    </row>
    <row r="19" spans="1:4" x14ac:dyDescent="0.35">
      <c r="A19" s="8"/>
      <c r="B19" s="8"/>
      <c r="C19" s="8" t="s">
        <v>17</v>
      </c>
      <c r="D19" s="8">
        <v>1</v>
      </c>
    </row>
    <row r="20" spans="1:4" x14ac:dyDescent="0.35">
      <c r="A20" s="8" t="s">
        <v>49</v>
      </c>
      <c r="B20" s="8">
        <v>2</v>
      </c>
      <c r="C20" s="8" t="s">
        <v>26</v>
      </c>
      <c r="D20" s="8">
        <v>1</v>
      </c>
    </row>
    <row r="21" spans="1:4" x14ac:dyDescent="0.35">
      <c r="A21" s="8"/>
      <c r="B21" s="8"/>
      <c r="C21" s="8" t="s">
        <v>52</v>
      </c>
      <c r="D21" s="8">
        <v>1</v>
      </c>
    </row>
    <row r="22" spans="1:4" x14ac:dyDescent="0.35">
      <c r="A22" s="8"/>
      <c r="B22" s="8">
        <v>3</v>
      </c>
      <c r="C22" s="8" t="s">
        <v>61</v>
      </c>
      <c r="D22" s="8">
        <v>1</v>
      </c>
    </row>
    <row r="23" spans="1:4" x14ac:dyDescent="0.35">
      <c r="A23" s="8"/>
      <c r="B23" s="8">
        <v>4</v>
      </c>
      <c r="C23" s="8" t="s">
        <v>12</v>
      </c>
      <c r="D23" s="8">
        <v>1</v>
      </c>
    </row>
    <row r="24" spans="1:4" x14ac:dyDescent="0.35">
      <c r="A24" s="8"/>
      <c r="B24" s="8">
        <v>7</v>
      </c>
      <c r="C24" s="8" t="s">
        <v>57</v>
      </c>
      <c r="D24" s="8">
        <v>1</v>
      </c>
    </row>
    <row r="25" spans="1:4" x14ac:dyDescent="0.35">
      <c r="A25" s="8"/>
      <c r="B25" s="10">
        <v>9</v>
      </c>
      <c r="C25" s="10" t="s">
        <v>52</v>
      </c>
      <c r="D25" s="10">
        <v>1</v>
      </c>
    </row>
    <row r="26" spans="1:4" x14ac:dyDescent="0.35">
      <c r="A26" s="8"/>
      <c r="B26" s="10">
        <v>10</v>
      </c>
      <c r="C26" s="10" t="s">
        <v>54</v>
      </c>
      <c r="D26" s="10">
        <v>1</v>
      </c>
    </row>
    <row r="27" spans="1:4" x14ac:dyDescent="0.35">
      <c r="A27" s="8"/>
      <c r="B27" s="10"/>
      <c r="C27" s="10" t="s">
        <v>48</v>
      </c>
      <c r="D27" s="10">
        <v>1</v>
      </c>
    </row>
    <row r="28" spans="1:4" x14ac:dyDescent="0.35">
      <c r="A28" s="8"/>
      <c r="B28" s="10">
        <v>11</v>
      </c>
      <c r="C28" s="10" t="s">
        <v>52</v>
      </c>
      <c r="D28" s="10">
        <v>1</v>
      </c>
    </row>
    <row r="29" spans="1:4" x14ac:dyDescent="0.35">
      <c r="A29" s="8" t="s">
        <v>62</v>
      </c>
      <c r="B29" s="8"/>
      <c r="C29" s="8"/>
      <c r="D29" s="8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4"/>
  <sheetViews>
    <sheetView tabSelected="1" workbookViewId="0">
      <selection activeCell="D38" sqref="D38"/>
    </sheetView>
  </sheetViews>
  <sheetFormatPr defaultColWidth="8.7265625" defaultRowHeight="14" x14ac:dyDescent="0.3"/>
  <cols>
    <col min="1" max="1" width="4.453125" style="5" bestFit="1" customWidth="1"/>
    <col min="2" max="2" width="24.453125" style="5" bestFit="1" customWidth="1"/>
    <col min="3" max="3" width="10.453125" style="5" customWidth="1"/>
    <col min="4" max="4" width="39.90625" style="5" customWidth="1"/>
    <col min="5" max="5" width="28.08984375" style="5" bestFit="1" customWidth="1"/>
    <col min="6" max="7" width="14.453125" style="5" bestFit="1" customWidth="1"/>
    <col min="8" max="8" width="16.6328125" style="5" customWidth="1"/>
    <col min="9" max="16384" width="8.7265625" style="5"/>
  </cols>
  <sheetData>
    <row r="1" spans="1:9" ht="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ht="16.5" x14ac:dyDescent="0.3">
      <c r="A2" s="1">
        <v>1</v>
      </c>
      <c r="B2" s="14" t="s">
        <v>7</v>
      </c>
      <c r="C2" s="1" t="s">
        <v>8</v>
      </c>
      <c r="D2" s="3" t="s">
        <v>9</v>
      </c>
      <c r="E2" s="1" t="s">
        <v>10</v>
      </c>
      <c r="F2" s="1">
        <v>12</v>
      </c>
      <c r="G2" s="1" t="s">
        <v>6</v>
      </c>
      <c r="H2" s="5" t="s">
        <v>67</v>
      </c>
    </row>
    <row r="3" spans="1:9" ht="16.5" x14ac:dyDescent="0.3">
      <c r="A3" s="1">
        <v>2</v>
      </c>
      <c r="B3" s="14" t="s">
        <v>11</v>
      </c>
      <c r="C3" s="1" t="s">
        <v>8</v>
      </c>
      <c r="D3" s="3" t="s">
        <v>9</v>
      </c>
      <c r="E3" s="1" t="s">
        <v>12</v>
      </c>
      <c r="F3" s="1">
        <v>12</v>
      </c>
      <c r="G3" s="1" t="s">
        <v>6</v>
      </c>
      <c r="H3" s="5" t="s">
        <v>67</v>
      </c>
    </row>
    <row r="4" spans="1:9" ht="16.5" x14ac:dyDescent="0.3">
      <c r="A4" s="1">
        <v>3</v>
      </c>
      <c r="B4" s="14" t="s">
        <v>13</v>
      </c>
      <c r="C4" s="1" t="s">
        <v>8</v>
      </c>
      <c r="D4" s="3" t="s">
        <v>14</v>
      </c>
      <c r="E4" s="1" t="s">
        <v>15</v>
      </c>
      <c r="F4" s="1">
        <v>12</v>
      </c>
      <c r="G4" s="1" t="s">
        <v>6</v>
      </c>
      <c r="H4" s="5" t="s">
        <v>67</v>
      </c>
    </row>
    <row r="5" spans="1:9" ht="16.5" x14ac:dyDescent="0.3">
      <c r="A5" s="1">
        <v>4</v>
      </c>
      <c r="B5" s="14" t="s">
        <v>16</v>
      </c>
      <c r="C5" s="1" t="s">
        <v>8</v>
      </c>
      <c r="D5" s="3" t="s">
        <v>9</v>
      </c>
      <c r="E5" s="1" t="s">
        <v>17</v>
      </c>
      <c r="F5" s="1">
        <v>12</v>
      </c>
      <c r="G5" s="1" t="s">
        <v>6</v>
      </c>
      <c r="H5" s="5" t="s">
        <v>67</v>
      </c>
      <c r="I5" s="12"/>
    </row>
    <row r="6" spans="1:9" ht="16.5" x14ac:dyDescent="0.3">
      <c r="A6" s="1">
        <v>5</v>
      </c>
      <c r="B6" s="14" t="s">
        <v>18</v>
      </c>
      <c r="C6" s="1" t="s">
        <v>8</v>
      </c>
      <c r="D6" s="3" t="s">
        <v>9</v>
      </c>
      <c r="E6" s="1" t="s">
        <v>19</v>
      </c>
      <c r="F6" s="1">
        <v>12</v>
      </c>
      <c r="G6" s="1" t="s">
        <v>6</v>
      </c>
      <c r="H6" s="5" t="s">
        <v>67</v>
      </c>
    </row>
    <row r="7" spans="1:9" ht="16.5" x14ac:dyDescent="0.3">
      <c r="A7" s="1">
        <v>6</v>
      </c>
      <c r="B7" s="14" t="s">
        <v>20</v>
      </c>
      <c r="C7" s="1" t="s">
        <v>21</v>
      </c>
      <c r="D7" s="3" t="s">
        <v>22</v>
      </c>
      <c r="E7" s="1" t="s">
        <v>23</v>
      </c>
      <c r="F7" s="1">
        <v>12</v>
      </c>
      <c r="G7" s="1" t="s">
        <v>6</v>
      </c>
      <c r="H7" s="5" t="s">
        <v>67</v>
      </c>
    </row>
    <row r="8" spans="1:9" ht="16.5" hidden="1" x14ac:dyDescent="0.3">
      <c r="A8" s="1">
        <v>7</v>
      </c>
      <c r="B8" s="2" t="s">
        <v>24</v>
      </c>
      <c r="C8" s="1" t="s">
        <v>8</v>
      </c>
      <c r="D8" s="3" t="s">
        <v>25</v>
      </c>
      <c r="E8" s="1" t="s">
        <v>26</v>
      </c>
      <c r="F8" s="11">
        <f>ROUNDUP(VLOOKUP(B8,[1]Lương!$B:$H,7,0),0)</f>
        <v>11</v>
      </c>
      <c r="G8" s="11" t="s">
        <v>6</v>
      </c>
      <c r="H8" s="5" t="s">
        <v>68</v>
      </c>
    </row>
    <row r="9" spans="1:9" ht="16.5" hidden="1" x14ac:dyDescent="0.3">
      <c r="A9" s="1">
        <v>8</v>
      </c>
      <c r="B9" s="14" t="s">
        <v>27</v>
      </c>
      <c r="C9" s="1" t="s">
        <v>8</v>
      </c>
      <c r="D9" s="3" t="s">
        <v>28</v>
      </c>
      <c r="E9" s="1" t="s">
        <v>29</v>
      </c>
      <c r="F9" s="11">
        <f>ROUNDUP(VLOOKUP(B9,[1]Lương!$B:$H,7,0),0)</f>
        <v>9</v>
      </c>
      <c r="G9" s="11" t="s">
        <v>6</v>
      </c>
      <c r="H9" s="5" t="s">
        <v>69</v>
      </c>
    </row>
    <row r="10" spans="1:9" ht="16.5" hidden="1" x14ac:dyDescent="0.3">
      <c r="A10" s="1">
        <v>9</v>
      </c>
      <c r="B10" s="2" t="s">
        <v>30</v>
      </c>
      <c r="C10" s="1" t="s">
        <v>8</v>
      </c>
      <c r="D10" s="3" t="s">
        <v>14</v>
      </c>
      <c r="E10" s="1" t="s">
        <v>31</v>
      </c>
      <c r="F10" s="11">
        <f>ROUNDUP(VLOOKUP(B10,[1]Lương!$B:$H,7,0),0)</f>
        <v>9</v>
      </c>
      <c r="G10" s="11" t="s">
        <v>6</v>
      </c>
      <c r="H10" s="5" t="s">
        <v>69</v>
      </c>
    </row>
    <row r="11" spans="1:9" ht="16.5" hidden="1" x14ac:dyDescent="0.3">
      <c r="A11" s="1">
        <v>10</v>
      </c>
      <c r="B11" s="2" t="s">
        <v>32</v>
      </c>
      <c r="C11" s="1" t="s">
        <v>8</v>
      </c>
      <c r="D11" s="3" t="s">
        <v>9</v>
      </c>
      <c r="E11" s="1" t="s">
        <v>19</v>
      </c>
      <c r="F11" s="11">
        <f>ROUNDUP(VLOOKUP(B11,[1]Lương!$B:$H,7,0),0)</f>
        <v>2</v>
      </c>
      <c r="G11" s="11" t="s">
        <v>6</v>
      </c>
      <c r="H11" s="5" t="s">
        <v>70</v>
      </c>
    </row>
    <row r="12" spans="1:9" ht="16.5" hidden="1" x14ac:dyDescent="0.3">
      <c r="A12" s="1">
        <v>11</v>
      </c>
      <c r="B12" s="2" t="s">
        <v>33</v>
      </c>
      <c r="C12" s="1" t="s">
        <v>8</v>
      </c>
      <c r="D12" s="3" t="s">
        <v>34</v>
      </c>
      <c r="E12" s="1" t="s">
        <v>35</v>
      </c>
      <c r="F12" s="11">
        <f>ROUNDUP(VLOOKUP(B12,[1]Lương!$B:$H,7,0),0)</f>
        <v>2</v>
      </c>
      <c r="G12" s="11" t="s">
        <v>6</v>
      </c>
      <c r="H12" s="5" t="s">
        <v>70</v>
      </c>
    </row>
    <row r="13" spans="1:9" ht="16.5" hidden="1" x14ac:dyDescent="0.3">
      <c r="A13" s="1">
        <v>12</v>
      </c>
      <c r="B13" s="2" t="s">
        <v>36</v>
      </c>
      <c r="C13" s="1" t="s">
        <v>8</v>
      </c>
      <c r="D13" s="3" t="s">
        <v>37</v>
      </c>
      <c r="E13" s="1" t="s">
        <v>38</v>
      </c>
      <c r="F13" s="11">
        <f>ROUNDUP(VLOOKUP(B13,[1]Lương!$B:$H,7,0),0)</f>
        <v>1</v>
      </c>
      <c r="G13" s="11" t="s">
        <v>6</v>
      </c>
      <c r="H13" s="5" t="s">
        <v>71</v>
      </c>
    </row>
    <row r="14" spans="1:9" ht="16.5" x14ac:dyDescent="0.3">
      <c r="A14" s="1">
        <v>13</v>
      </c>
      <c r="B14" s="14" t="s">
        <v>39</v>
      </c>
      <c r="C14" s="1" t="s">
        <v>21</v>
      </c>
      <c r="D14" s="3" t="s">
        <v>40</v>
      </c>
      <c r="E14" s="1" t="s">
        <v>29</v>
      </c>
      <c r="F14" s="1">
        <v>12</v>
      </c>
      <c r="G14" s="1" t="s">
        <v>6</v>
      </c>
      <c r="H14" s="5" t="s">
        <v>67</v>
      </c>
    </row>
    <row r="15" spans="1:9" ht="16.5" x14ac:dyDescent="0.3">
      <c r="A15" s="1">
        <v>14</v>
      </c>
      <c r="B15" s="2" t="s">
        <v>41</v>
      </c>
      <c r="C15" s="1" t="s">
        <v>8</v>
      </c>
      <c r="D15" s="3" t="s">
        <v>42</v>
      </c>
      <c r="E15" s="1" t="s">
        <v>43</v>
      </c>
      <c r="F15" s="1">
        <v>12</v>
      </c>
      <c r="G15" s="1" t="s">
        <v>6</v>
      </c>
      <c r="H15" s="5" t="s">
        <v>67</v>
      </c>
    </row>
    <row r="16" spans="1:9" ht="16.5" x14ac:dyDescent="0.3">
      <c r="A16" s="1">
        <v>15</v>
      </c>
      <c r="B16" s="2" t="s">
        <v>44</v>
      </c>
      <c r="C16" s="1" t="s">
        <v>8</v>
      </c>
      <c r="D16" s="3" t="s">
        <v>42</v>
      </c>
      <c r="E16" s="1" t="s">
        <v>45</v>
      </c>
      <c r="F16" s="1">
        <v>12</v>
      </c>
      <c r="G16" s="1" t="s">
        <v>6</v>
      </c>
      <c r="H16" s="5" t="s">
        <v>67</v>
      </c>
    </row>
    <row r="17" spans="1:8" ht="16.5" hidden="1" x14ac:dyDescent="0.3">
      <c r="A17" s="1">
        <v>16</v>
      </c>
      <c r="B17" s="14" t="s">
        <v>46</v>
      </c>
      <c r="C17" s="1" t="s">
        <v>8</v>
      </c>
      <c r="D17" s="3" t="s">
        <v>42</v>
      </c>
      <c r="E17" s="1" t="s">
        <v>10</v>
      </c>
      <c r="F17" s="11">
        <f>ROUNDUP(VLOOKUP(B17,[1]Lương!$B:$H,7,0),0)</f>
        <v>11</v>
      </c>
      <c r="G17" s="11" t="s">
        <v>6</v>
      </c>
      <c r="H17" s="5" t="s">
        <v>68</v>
      </c>
    </row>
    <row r="18" spans="1:8" ht="16.5" hidden="1" x14ac:dyDescent="0.3">
      <c r="A18" s="1">
        <v>17</v>
      </c>
      <c r="B18" s="6" t="s">
        <v>51</v>
      </c>
      <c r="C18" s="6"/>
      <c r="D18" s="6"/>
      <c r="E18" s="6" t="s">
        <v>52</v>
      </c>
      <c r="F18" s="11">
        <f>ROUNDUP(VLOOKUP(B18,[1]Lương!$B:$H,7,0),0)</f>
        <v>11</v>
      </c>
      <c r="G18" s="13" t="s">
        <v>65</v>
      </c>
      <c r="H18" s="5" t="s">
        <v>68</v>
      </c>
    </row>
    <row r="19" spans="1:8" ht="16.5" hidden="1" x14ac:dyDescent="0.3">
      <c r="A19" s="1">
        <v>18</v>
      </c>
      <c r="B19" s="6" t="s">
        <v>53</v>
      </c>
      <c r="C19" s="6"/>
      <c r="D19" s="6"/>
      <c r="E19" s="6" t="s">
        <v>54</v>
      </c>
      <c r="F19" s="11">
        <f>ROUNDUP(VLOOKUP(B19,[1]Lương!$B:$H,7,0),0)</f>
        <v>10</v>
      </c>
      <c r="G19" s="13" t="s">
        <v>65</v>
      </c>
      <c r="H19" s="5" t="s">
        <v>72</v>
      </c>
    </row>
    <row r="20" spans="1:8" ht="16.5" hidden="1" x14ac:dyDescent="0.3">
      <c r="A20" s="1">
        <v>19</v>
      </c>
      <c r="B20" s="6" t="s">
        <v>55</v>
      </c>
      <c r="C20" s="6"/>
      <c r="D20" s="6"/>
      <c r="E20" s="6" t="s">
        <v>52</v>
      </c>
      <c r="F20" s="11">
        <f>ROUNDUP(VLOOKUP(B20,[1]Lương!$B:$H,7,0),0)</f>
        <v>9</v>
      </c>
      <c r="G20" s="13" t="s">
        <v>65</v>
      </c>
      <c r="H20" s="5" t="s">
        <v>69</v>
      </c>
    </row>
    <row r="21" spans="1:8" ht="16.5" hidden="1" x14ac:dyDescent="0.3">
      <c r="A21" s="1">
        <v>20</v>
      </c>
      <c r="B21" s="15" t="s">
        <v>59</v>
      </c>
      <c r="C21" s="6"/>
      <c r="D21" s="6"/>
      <c r="E21" s="6" t="s">
        <v>12</v>
      </c>
      <c r="F21" s="11">
        <f>ROUNDUP(VLOOKUP(B21,[1]Lương!$B:$H,7,0),0)</f>
        <v>4</v>
      </c>
      <c r="G21" s="13" t="s">
        <v>65</v>
      </c>
      <c r="H21" s="5" t="s">
        <v>73</v>
      </c>
    </row>
    <row r="22" spans="1:8" ht="16.5" hidden="1" x14ac:dyDescent="0.3">
      <c r="A22" s="1">
        <v>21</v>
      </c>
      <c r="B22" s="2" t="s">
        <v>64</v>
      </c>
      <c r="C22" s="1"/>
      <c r="D22" s="3"/>
      <c r="E22" s="1"/>
      <c r="F22" s="11">
        <v>5</v>
      </c>
      <c r="G22" s="11" t="s">
        <v>65</v>
      </c>
      <c r="H22" s="5" t="s">
        <v>66</v>
      </c>
    </row>
    <row r="23" spans="1:8" ht="16.5" hidden="1" x14ac:dyDescent="0.3">
      <c r="A23" s="1"/>
      <c r="B23" s="2"/>
      <c r="C23" s="1"/>
      <c r="D23" s="3"/>
      <c r="E23" s="1"/>
      <c r="F23" s="11"/>
      <c r="G23" s="11"/>
    </row>
    <row r="24" spans="1:8" ht="16.5" hidden="1" x14ac:dyDescent="0.3">
      <c r="A24" s="1"/>
      <c r="B24" s="2"/>
      <c r="C24" s="1"/>
      <c r="D24" s="3"/>
      <c r="E24" s="1"/>
      <c r="F24" s="11"/>
      <c r="G24" s="11"/>
    </row>
    <row r="25" spans="1:8" ht="16.5" hidden="1" x14ac:dyDescent="0.3">
      <c r="A25" s="1"/>
      <c r="B25" s="2"/>
      <c r="C25" s="1"/>
      <c r="D25" s="3"/>
      <c r="E25" s="1"/>
      <c r="F25" s="11"/>
      <c r="G25" s="11"/>
    </row>
    <row r="26" spans="1:8" ht="16.5" hidden="1" x14ac:dyDescent="0.3">
      <c r="A26" s="1">
        <v>17</v>
      </c>
      <c r="B26" s="6" t="s">
        <v>47</v>
      </c>
      <c r="C26" s="6"/>
      <c r="D26" s="6"/>
      <c r="E26" s="6" t="s">
        <v>48</v>
      </c>
      <c r="F26" s="1">
        <f>ROUNDUP(VLOOKUP(B26,[1]Lương!$B:$H,7,0),0)</f>
        <v>10</v>
      </c>
      <c r="G26" s="6" t="s">
        <v>49</v>
      </c>
    </row>
    <row r="27" spans="1:8" ht="16.5" hidden="1" x14ac:dyDescent="0.3">
      <c r="A27" s="1">
        <v>18</v>
      </c>
      <c r="B27" s="6" t="s">
        <v>50</v>
      </c>
      <c r="C27" s="6"/>
      <c r="D27" s="6"/>
      <c r="E27" s="6" t="s">
        <v>26</v>
      </c>
      <c r="F27" s="1">
        <f>ROUNDUP(VLOOKUP(B27,[1]Lương!$B:$H,7,0),0)</f>
        <v>2</v>
      </c>
      <c r="G27" s="6" t="s">
        <v>49</v>
      </c>
    </row>
    <row r="28" spans="1:8" ht="16.5" hidden="1" x14ac:dyDescent="0.3">
      <c r="A28" s="1">
        <v>19</v>
      </c>
      <c r="B28" s="6" t="s">
        <v>51</v>
      </c>
      <c r="C28" s="6"/>
      <c r="D28" s="6"/>
      <c r="E28" s="6" t="s">
        <v>52</v>
      </c>
      <c r="F28" s="11">
        <f>ROUNDUP(VLOOKUP(B28,[1]Lương!$B:$H,7,0),0)</f>
        <v>11</v>
      </c>
      <c r="G28" s="6" t="s">
        <v>49</v>
      </c>
    </row>
    <row r="29" spans="1:8" ht="16.5" hidden="1" x14ac:dyDescent="0.3">
      <c r="A29" s="1">
        <v>20</v>
      </c>
      <c r="B29" s="6" t="s">
        <v>53</v>
      </c>
      <c r="C29" s="6"/>
      <c r="D29" s="6"/>
      <c r="E29" s="6" t="s">
        <v>54</v>
      </c>
      <c r="F29" s="11">
        <f>ROUNDUP(VLOOKUP(B29,[1]Lương!$B:$H,7,0),0)</f>
        <v>10</v>
      </c>
      <c r="G29" s="6" t="s">
        <v>49</v>
      </c>
    </row>
    <row r="30" spans="1:8" ht="16.5" hidden="1" x14ac:dyDescent="0.3">
      <c r="A30" s="1">
        <v>21</v>
      </c>
      <c r="B30" s="6" t="s">
        <v>55</v>
      </c>
      <c r="C30" s="6"/>
      <c r="D30" s="6"/>
      <c r="E30" s="6" t="s">
        <v>52</v>
      </c>
      <c r="F30" s="11">
        <f>ROUNDUP(VLOOKUP(B30,[1]Lương!$B:$H,7,0),0)</f>
        <v>9</v>
      </c>
      <c r="G30" s="6" t="s">
        <v>49</v>
      </c>
    </row>
    <row r="31" spans="1:8" ht="16.5" hidden="1" x14ac:dyDescent="0.3">
      <c r="A31" s="1">
        <v>22</v>
      </c>
      <c r="B31" s="6" t="s">
        <v>56</v>
      </c>
      <c r="C31" s="6"/>
      <c r="D31" s="6"/>
      <c r="E31" s="6" t="s">
        <v>57</v>
      </c>
      <c r="F31" s="1">
        <f>ROUNDUP(VLOOKUP(B31,[1]Lương!$B:$H,7,0),0)</f>
        <v>7</v>
      </c>
      <c r="G31" s="6" t="s">
        <v>49</v>
      </c>
    </row>
    <row r="32" spans="1:8" ht="16.5" hidden="1" x14ac:dyDescent="0.3">
      <c r="A32" s="1">
        <v>23</v>
      </c>
      <c r="B32" s="6" t="s">
        <v>58</v>
      </c>
      <c r="C32" s="6"/>
      <c r="D32" s="6"/>
      <c r="E32" s="6" t="s">
        <v>52</v>
      </c>
      <c r="F32" s="1">
        <f>ROUNDUP(VLOOKUP(B32,[1]Lương!$B:$H,7,0),0)</f>
        <v>2</v>
      </c>
      <c r="G32" s="6" t="s">
        <v>49</v>
      </c>
    </row>
    <row r="33" spans="1:7" ht="16.5" hidden="1" x14ac:dyDescent="0.3">
      <c r="A33" s="1">
        <v>24</v>
      </c>
      <c r="B33" s="15" t="s">
        <v>59</v>
      </c>
      <c r="C33" s="6"/>
      <c r="D33" s="6"/>
      <c r="E33" s="6" t="s">
        <v>12</v>
      </c>
      <c r="F33" s="11">
        <f>ROUNDUP(VLOOKUP(B33,[1]Lương!$B:$H,7,0),0)</f>
        <v>4</v>
      </c>
      <c r="G33" s="6" t="s">
        <v>49</v>
      </c>
    </row>
    <row r="34" spans="1:7" ht="16.5" hidden="1" x14ac:dyDescent="0.3">
      <c r="A34" s="1">
        <v>25</v>
      </c>
      <c r="B34" s="6" t="s">
        <v>60</v>
      </c>
      <c r="C34" s="6"/>
      <c r="D34" s="6"/>
      <c r="E34" s="6" t="s">
        <v>61</v>
      </c>
      <c r="F34" s="1">
        <f>ROUNDUP(VLOOKUP(B34,[1]Lương!$B:$H,7,0),0)</f>
        <v>3</v>
      </c>
      <c r="G34" s="6" t="s">
        <v>49</v>
      </c>
    </row>
  </sheetData>
  <autoFilter ref="A1:H34" xr:uid="{00000000-0009-0000-0000-000001000000}">
    <filterColumn colId="5">
      <filters>
        <filter val="12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Phương, Phạm Ngọc Phương</dc:creator>
  <cp:lastModifiedBy>Phương, Phạm Ngọc Phương</cp:lastModifiedBy>
  <dcterms:created xsi:type="dcterms:W3CDTF">2023-08-22T07:18:36Z</dcterms:created>
  <dcterms:modified xsi:type="dcterms:W3CDTF">2023-10-11T17:17:26Z</dcterms:modified>
</cp:coreProperties>
</file>